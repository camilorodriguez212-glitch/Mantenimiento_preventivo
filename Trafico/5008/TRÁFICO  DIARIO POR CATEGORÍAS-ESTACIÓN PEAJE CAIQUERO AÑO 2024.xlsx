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AB94947E-6C82-41DD-8490-3D95EC29D146}" xr6:coauthVersionLast="47" xr6:coauthVersionMax="47" xr10:uidLastSave="{00000000-0000-0000-0000-000000000000}"/>
  <bookViews>
    <workbookView xWindow="-108" yWindow="-108" windowWidth="23256" windowHeight="12456" xr2:uid="{A27FBEC4-76DC-46A4-9DEF-E533F1071564}"/>
  </bookViews>
  <sheets>
    <sheet name="ENERO 2024" sheetId="1" r:id="rId1"/>
    <sheet name="FEBRERO 2024" sheetId="2" r:id="rId2"/>
    <sheet name="MARZO 2024" sheetId="3" r:id="rId3"/>
    <sheet name="ABRIL 2024" sheetId="4" r:id="rId4"/>
    <sheet name="MAYO 2024" sheetId="5" r:id="rId5"/>
    <sheet name="JUNIO 2024" sheetId="6" r:id="rId6"/>
    <sheet name="JULIO 2024" sheetId="7" r:id="rId7"/>
    <sheet name="AGOSTO 2024" sheetId="8" r:id="rId8"/>
    <sheet name="SEPTIEMBRE 2024" sheetId="9" r:id="rId9"/>
    <sheet name="OCTUBRE 2024" sheetId="10" r:id="rId10"/>
    <sheet name="NOVIEMBRE 2024" sheetId="11" r:id="rId11"/>
    <sheet name="DICIEMBRE 2024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2" l="1"/>
  <c r="M37" i="12"/>
  <c r="L37" i="12"/>
  <c r="I37" i="12"/>
  <c r="G37" i="12"/>
  <c r="G38" i="12" s="1"/>
  <c r="F37" i="12"/>
  <c r="F38" i="12" s="1"/>
  <c r="E37" i="12"/>
  <c r="E38" i="12" s="1"/>
  <c r="D37" i="12"/>
  <c r="D38" i="12" s="1"/>
  <c r="C37" i="12"/>
  <c r="B37" i="12"/>
  <c r="B38" i="12" s="1"/>
  <c r="O36" i="12"/>
  <c r="H36" i="12"/>
  <c r="O35" i="12"/>
  <c r="H35" i="12"/>
  <c r="O34" i="12"/>
  <c r="H34" i="12"/>
  <c r="O33" i="12"/>
  <c r="H33" i="12"/>
  <c r="O32" i="12"/>
  <c r="H32" i="12"/>
  <c r="O31" i="12"/>
  <c r="H31" i="12"/>
  <c r="O30" i="12"/>
  <c r="H30" i="12"/>
  <c r="O29" i="12"/>
  <c r="H29" i="12"/>
  <c r="O28" i="12"/>
  <c r="H28" i="12"/>
  <c r="O27" i="12"/>
  <c r="H27" i="12"/>
  <c r="O26" i="12"/>
  <c r="H26" i="12"/>
  <c r="O25" i="12"/>
  <c r="H25" i="12"/>
  <c r="O24" i="12"/>
  <c r="H24" i="12"/>
  <c r="O23" i="12"/>
  <c r="H23" i="12"/>
  <c r="O22" i="12"/>
  <c r="H22" i="12"/>
  <c r="O21" i="12"/>
  <c r="H21" i="12"/>
  <c r="O20" i="12"/>
  <c r="H20" i="12"/>
  <c r="O19" i="12"/>
  <c r="H19" i="12"/>
  <c r="O18" i="12"/>
  <c r="H18" i="12"/>
  <c r="O17" i="12"/>
  <c r="H17" i="12"/>
  <c r="O16" i="12"/>
  <c r="H16" i="12"/>
  <c r="O15" i="12"/>
  <c r="H15" i="12"/>
  <c r="O14" i="12"/>
  <c r="H14" i="12"/>
  <c r="O13" i="12"/>
  <c r="H13" i="12"/>
  <c r="O12" i="12"/>
  <c r="H12" i="12"/>
  <c r="O11" i="12"/>
  <c r="H11" i="12"/>
  <c r="P10" i="12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O10" i="12"/>
  <c r="H10" i="12"/>
  <c r="O9" i="12"/>
  <c r="H9" i="12"/>
  <c r="O8" i="12"/>
  <c r="H8" i="12"/>
  <c r="P7" i="12"/>
  <c r="P8" i="12" s="1"/>
  <c r="O7" i="12"/>
  <c r="H7" i="12"/>
  <c r="O6" i="12"/>
  <c r="H6" i="12"/>
  <c r="H37" i="12" l="1"/>
  <c r="O37" i="12"/>
  <c r="P37" i="12"/>
  <c r="H38" i="12"/>
  <c r="N37" i="11" l="1"/>
  <c r="M37" i="11"/>
  <c r="L37" i="11"/>
  <c r="I37" i="11"/>
  <c r="G37" i="11"/>
  <c r="G38" i="11" s="1"/>
  <c r="F37" i="11"/>
  <c r="F38" i="11" s="1"/>
  <c r="E37" i="11"/>
  <c r="E38" i="11" s="1"/>
  <c r="D37" i="11"/>
  <c r="D38" i="11" s="1"/>
  <c r="C37" i="11"/>
  <c r="B37" i="11"/>
  <c r="O36" i="11"/>
  <c r="H36" i="11"/>
  <c r="O35" i="11"/>
  <c r="H35" i="11"/>
  <c r="O34" i="11"/>
  <c r="H34" i="11"/>
  <c r="O33" i="11"/>
  <c r="H33" i="11"/>
  <c r="O32" i="11"/>
  <c r="H32" i="11"/>
  <c r="O31" i="11"/>
  <c r="H31" i="11"/>
  <c r="O30" i="11"/>
  <c r="H30" i="11"/>
  <c r="O29" i="11"/>
  <c r="H29" i="11"/>
  <c r="O28" i="11"/>
  <c r="H28" i="11"/>
  <c r="O27" i="11"/>
  <c r="H27" i="11"/>
  <c r="O26" i="11"/>
  <c r="H26" i="11"/>
  <c r="O25" i="11"/>
  <c r="H25" i="11"/>
  <c r="O24" i="11"/>
  <c r="H24" i="11"/>
  <c r="O23" i="11"/>
  <c r="H23" i="11"/>
  <c r="O22" i="11"/>
  <c r="H22" i="11"/>
  <c r="O21" i="11"/>
  <c r="H21" i="11"/>
  <c r="O20" i="11"/>
  <c r="H20" i="11"/>
  <c r="O19" i="11"/>
  <c r="H19" i="11"/>
  <c r="O18" i="11"/>
  <c r="H18" i="11"/>
  <c r="O17" i="11"/>
  <c r="H17" i="11"/>
  <c r="O16" i="11"/>
  <c r="H16" i="11"/>
  <c r="O15" i="11"/>
  <c r="H15" i="11"/>
  <c r="O14" i="11"/>
  <c r="H14" i="11"/>
  <c r="O13" i="11"/>
  <c r="H13" i="11"/>
  <c r="O12" i="11"/>
  <c r="H12" i="11"/>
  <c r="O11" i="11"/>
  <c r="H11" i="11"/>
  <c r="P10" i="1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O10" i="11"/>
  <c r="H10" i="11"/>
  <c r="O9" i="11"/>
  <c r="H9" i="11"/>
  <c r="O8" i="11"/>
  <c r="H8" i="11"/>
  <c r="P7" i="11"/>
  <c r="O7" i="11"/>
  <c r="H7" i="11"/>
  <c r="O6" i="11"/>
  <c r="H6" i="11"/>
  <c r="O37" i="11" l="1"/>
  <c r="H37" i="11"/>
  <c r="B38" i="11"/>
  <c r="H38" i="11" s="1"/>
  <c r="P8" i="11"/>
  <c r="P37" i="11" s="1"/>
  <c r="N37" i="10" l="1"/>
  <c r="M37" i="10"/>
  <c r="L37" i="10"/>
  <c r="I37" i="10"/>
  <c r="G37" i="10"/>
  <c r="G38" i="10" s="1"/>
  <c r="F37" i="10"/>
  <c r="F38" i="10" s="1"/>
  <c r="E37" i="10"/>
  <c r="E38" i="10" s="1"/>
  <c r="D37" i="10"/>
  <c r="D38" i="10" s="1"/>
  <c r="C37" i="10"/>
  <c r="B37" i="10"/>
  <c r="B38" i="10" s="1"/>
  <c r="O36" i="10"/>
  <c r="H36" i="10"/>
  <c r="O35" i="10"/>
  <c r="H35" i="10"/>
  <c r="O34" i="10"/>
  <c r="H34" i="10"/>
  <c r="O33" i="10"/>
  <c r="H33" i="10"/>
  <c r="O32" i="10"/>
  <c r="H32" i="10"/>
  <c r="O31" i="10"/>
  <c r="H31" i="10"/>
  <c r="O30" i="10"/>
  <c r="H30" i="10"/>
  <c r="O29" i="10"/>
  <c r="H29" i="10"/>
  <c r="O28" i="10"/>
  <c r="H28" i="10"/>
  <c r="O27" i="10"/>
  <c r="H27" i="10"/>
  <c r="O26" i="10"/>
  <c r="H26" i="10"/>
  <c r="O25" i="10"/>
  <c r="H25" i="10"/>
  <c r="O24" i="10"/>
  <c r="H24" i="10"/>
  <c r="O23" i="10"/>
  <c r="H23" i="10"/>
  <c r="O22" i="10"/>
  <c r="H22" i="10"/>
  <c r="O21" i="10"/>
  <c r="H21" i="10"/>
  <c r="O20" i="10"/>
  <c r="H20" i="10"/>
  <c r="O19" i="10"/>
  <c r="H19" i="10"/>
  <c r="O18" i="10"/>
  <c r="H18" i="10"/>
  <c r="O17" i="10"/>
  <c r="H17" i="10"/>
  <c r="O16" i="10"/>
  <c r="H16" i="10"/>
  <c r="O15" i="10"/>
  <c r="H15" i="10"/>
  <c r="O14" i="10"/>
  <c r="H14" i="10"/>
  <c r="O13" i="10"/>
  <c r="H13" i="10"/>
  <c r="O12" i="10"/>
  <c r="H12" i="10"/>
  <c r="O11" i="10"/>
  <c r="H11" i="10"/>
  <c r="P10" i="10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O10" i="10"/>
  <c r="H10" i="10"/>
  <c r="O9" i="10"/>
  <c r="H9" i="10"/>
  <c r="O8" i="10"/>
  <c r="H8" i="10"/>
  <c r="P7" i="10"/>
  <c r="P8" i="10" s="1"/>
  <c r="O7" i="10"/>
  <c r="H7" i="10"/>
  <c r="O6" i="10"/>
  <c r="H6" i="10"/>
  <c r="H37" i="10" l="1"/>
  <c r="O37" i="10"/>
  <c r="P37" i="10"/>
  <c r="H38" i="10"/>
  <c r="N37" i="9" l="1"/>
  <c r="M37" i="9"/>
  <c r="L37" i="9"/>
  <c r="I37" i="9"/>
  <c r="G37" i="9"/>
  <c r="G38" i="9" s="1"/>
  <c r="F37" i="9"/>
  <c r="F38" i="9" s="1"/>
  <c r="E37" i="9"/>
  <c r="E38" i="9" s="1"/>
  <c r="D37" i="9"/>
  <c r="D38" i="9" s="1"/>
  <c r="C37" i="9"/>
  <c r="B37" i="9"/>
  <c r="B38" i="9" s="1"/>
  <c r="O36" i="9"/>
  <c r="H36" i="9"/>
  <c r="O35" i="9"/>
  <c r="H35" i="9"/>
  <c r="O34" i="9"/>
  <c r="H34" i="9"/>
  <c r="O33" i="9"/>
  <c r="H33" i="9"/>
  <c r="O32" i="9"/>
  <c r="H32" i="9"/>
  <c r="O31" i="9"/>
  <c r="H31" i="9"/>
  <c r="O30" i="9"/>
  <c r="H30" i="9"/>
  <c r="O29" i="9"/>
  <c r="H29" i="9"/>
  <c r="O28" i="9"/>
  <c r="H28" i="9"/>
  <c r="O27" i="9"/>
  <c r="H27" i="9"/>
  <c r="O26" i="9"/>
  <c r="H26" i="9"/>
  <c r="O25" i="9"/>
  <c r="H25" i="9"/>
  <c r="O24" i="9"/>
  <c r="H24" i="9"/>
  <c r="O23" i="9"/>
  <c r="H23" i="9"/>
  <c r="O22" i="9"/>
  <c r="H22" i="9"/>
  <c r="O21" i="9"/>
  <c r="H21" i="9"/>
  <c r="O20" i="9"/>
  <c r="H20" i="9"/>
  <c r="O19" i="9"/>
  <c r="H19" i="9"/>
  <c r="O18" i="9"/>
  <c r="H18" i="9"/>
  <c r="O17" i="9"/>
  <c r="H17" i="9"/>
  <c r="O16" i="9"/>
  <c r="H16" i="9"/>
  <c r="O15" i="9"/>
  <c r="H15" i="9"/>
  <c r="O14" i="9"/>
  <c r="H14" i="9"/>
  <c r="O13" i="9"/>
  <c r="H13" i="9"/>
  <c r="O12" i="9"/>
  <c r="H12" i="9"/>
  <c r="O11" i="9"/>
  <c r="H11" i="9"/>
  <c r="P10" i="9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O10" i="9"/>
  <c r="H10" i="9"/>
  <c r="O9" i="9"/>
  <c r="H9" i="9"/>
  <c r="O8" i="9"/>
  <c r="H8" i="9"/>
  <c r="P7" i="9"/>
  <c r="O7" i="9"/>
  <c r="H7" i="9"/>
  <c r="O6" i="9"/>
  <c r="H6" i="9"/>
  <c r="O37" i="9" l="1"/>
  <c r="H37" i="9"/>
  <c r="H38" i="9"/>
  <c r="P8" i="9"/>
  <c r="P37" i="9" s="1"/>
  <c r="N37" i="8" l="1"/>
  <c r="M37" i="8"/>
  <c r="L37" i="8"/>
  <c r="I37" i="8"/>
  <c r="G37" i="8"/>
  <c r="G38" i="8" s="1"/>
  <c r="F37" i="8"/>
  <c r="F38" i="8" s="1"/>
  <c r="E37" i="8"/>
  <c r="E38" i="8" s="1"/>
  <c r="D37" i="8"/>
  <c r="D38" i="8" s="1"/>
  <c r="C37" i="8"/>
  <c r="B37" i="8"/>
  <c r="B38" i="8" s="1"/>
  <c r="O36" i="8"/>
  <c r="H36" i="8"/>
  <c r="O35" i="8"/>
  <c r="H35" i="8"/>
  <c r="O34" i="8"/>
  <c r="H34" i="8"/>
  <c r="O33" i="8"/>
  <c r="H33" i="8"/>
  <c r="O32" i="8"/>
  <c r="H32" i="8"/>
  <c r="O31" i="8"/>
  <c r="H31" i="8"/>
  <c r="O30" i="8"/>
  <c r="H30" i="8"/>
  <c r="O29" i="8"/>
  <c r="H29" i="8"/>
  <c r="O28" i="8"/>
  <c r="H28" i="8"/>
  <c r="O27" i="8"/>
  <c r="H27" i="8"/>
  <c r="O26" i="8"/>
  <c r="H26" i="8"/>
  <c r="O25" i="8"/>
  <c r="H25" i="8"/>
  <c r="O24" i="8"/>
  <c r="H24" i="8"/>
  <c r="O23" i="8"/>
  <c r="H23" i="8"/>
  <c r="O22" i="8"/>
  <c r="H22" i="8"/>
  <c r="O21" i="8"/>
  <c r="H21" i="8"/>
  <c r="O20" i="8"/>
  <c r="H20" i="8"/>
  <c r="O19" i="8"/>
  <c r="H19" i="8"/>
  <c r="O18" i="8"/>
  <c r="H18" i="8"/>
  <c r="O17" i="8"/>
  <c r="H17" i="8"/>
  <c r="O16" i="8"/>
  <c r="H16" i="8"/>
  <c r="O15" i="8"/>
  <c r="H15" i="8"/>
  <c r="O14" i="8"/>
  <c r="H14" i="8"/>
  <c r="O13" i="8"/>
  <c r="H13" i="8"/>
  <c r="O12" i="8"/>
  <c r="H12" i="8"/>
  <c r="O11" i="8"/>
  <c r="H11" i="8"/>
  <c r="P10" i="8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O10" i="8"/>
  <c r="H10" i="8"/>
  <c r="O9" i="8"/>
  <c r="H9" i="8"/>
  <c r="O8" i="8"/>
  <c r="H8" i="8"/>
  <c r="P7" i="8"/>
  <c r="P8" i="8" s="1"/>
  <c r="O7" i="8"/>
  <c r="H7" i="8"/>
  <c r="O6" i="8"/>
  <c r="H6" i="8"/>
  <c r="O37" i="8" l="1"/>
  <c r="H37" i="8"/>
  <c r="P37" i="8"/>
  <c r="H38" i="8"/>
  <c r="N37" i="7" l="1"/>
  <c r="M37" i="7"/>
  <c r="L37" i="7"/>
  <c r="I37" i="7"/>
  <c r="G37" i="7"/>
  <c r="G38" i="7" s="1"/>
  <c r="F37" i="7"/>
  <c r="F38" i="7" s="1"/>
  <c r="E37" i="7"/>
  <c r="E38" i="7" s="1"/>
  <c r="D37" i="7"/>
  <c r="D38" i="7" s="1"/>
  <c r="C37" i="7"/>
  <c r="B37" i="7"/>
  <c r="B38" i="7" s="1"/>
  <c r="O36" i="7"/>
  <c r="H36" i="7"/>
  <c r="O35" i="7"/>
  <c r="H35" i="7"/>
  <c r="O34" i="7"/>
  <c r="H34" i="7"/>
  <c r="O33" i="7"/>
  <c r="H33" i="7"/>
  <c r="O32" i="7"/>
  <c r="H32" i="7"/>
  <c r="O31" i="7"/>
  <c r="H31" i="7"/>
  <c r="O30" i="7"/>
  <c r="H30" i="7"/>
  <c r="O29" i="7"/>
  <c r="H29" i="7"/>
  <c r="O28" i="7"/>
  <c r="H28" i="7"/>
  <c r="O27" i="7"/>
  <c r="H27" i="7"/>
  <c r="O26" i="7"/>
  <c r="H26" i="7"/>
  <c r="O25" i="7"/>
  <c r="H25" i="7"/>
  <c r="O24" i="7"/>
  <c r="H24" i="7"/>
  <c r="O23" i="7"/>
  <c r="H23" i="7"/>
  <c r="O22" i="7"/>
  <c r="H22" i="7"/>
  <c r="O21" i="7"/>
  <c r="H21" i="7"/>
  <c r="O20" i="7"/>
  <c r="H20" i="7"/>
  <c r="O19" i="7"/>
  <c r="H19" i="7"/>
  <c r="O18" i="7"/>
  <c r="H18" i="7"/>
  <c r="O17" i="7"/>
  <c r="H17" i="7"/>
  <c r="O16" i="7"/>
  <c r="H16" i="7"/>
  <c r="O15" i="7"/>
  <c r="H15" i="7"/>
  <c r="O14" i="7"/>
  <c r="H14" i="7"/>
  <c r="O13" i="7"/>
  <c r="H13" i="7"/>
  <c r="O12" i="7"/>
  <c r="H12" i="7"/>
  <c r="O11" i="7"/>
  <c r="H11" i="7"/>
  <c r="P10" i="7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O10" i="7"/>
  <c r="H10" i="7"/>
  <c r="O9" i="7"/>
  <c r="H9" i="7"/>
  <c r="O8" i="7"/>
  <c r="H8" i="7"/>
  <c r="P7" i="7"/>
  <c r="P8" i="7" s="1"/>
  <c r="O7" i="7"/>
  <c r="H7" i="7"/>
  <c r="O6" i="7"/>
  <c r="H6" i="7"/>
  <c r="H37" i="7" l="1"/>
  <c r="O37" i="7"/>
  <c r="P37" i="7"/>
  <c r="H38" i="7"/>
  <c r="N37" i="6" l="1"/>
  <c r="M37" i="6"/>
  <c r="L37" i="6"/>
  <c r="I37" i="6"/>
  <c r="G37" i="6"/>
  <c r="G38" i="6" s="1"/>
  <c r="F37" i="6"/>
  <c r="F38" i="6" s="1"/>
  <c r="E37" i="6"/>
  <c r="E38" i="6" s="1"/>
  <c r="D37" i="6"/>
  <c r="D38" i="6" s="1"/>
  <c r="C37" i="6"/>
  <c r="B37" i="6"/>
  <c r="O36" i="6"/>
  <c r="H36" i="6"/>
  <c r="O35" i="6"/>
  <c r="H35" i="6"/>
  <c r="O34" i="6"/>
  <c r="H34" i="6"/>
  <c r="O33" i="6"/>
  <c r="H33" i="6"/>
  <c r="O32" i="6"/>
  <c r="H32" i="6"/>
  <c r="O31" i="6"/>
  <c r="H31" i="6"/>
  <c r="O30" i="6"/>
  <c r="H30" i="6"/>
  <c r="O29" i="6"/>
  <c r="H29" i="6"/>
  <c r="O28" i="6"/>
  <c r="H28" i="6"/>
  <c r="O27" i="6"/>
  <c r="H27" i="6"/>
  <c r="O26" i="6"/>
  <c r="H26" i="6"/>
  <c r="O25" i="6"/>
  <c r="H25" i="6"/>
  <c r="O24" i="6"/>
  <c r="H24" i="6"/>
  <c r="O23" i="6"/>
  <c r="H23" i="6"/>
  <c r="O22" i="6"/>
  <c r="H22" i="6"/>
  <c r="O21" i="6"/>
  <c r="H21" i="6"/>
  <c r="O20" i="6"/>
  <c r="H20" i="6"/>
  <c r="O19" i="6"/>
  <c r="H19" i="6"/>
  <c r="O18" i="6"/>
  <c r="H18" i="6"/>
  <c r="O17" i="6"/>
  <c r="H17" i="6"/>
  <c r="O16" i="6"/>
  <c r="H16" i="6"/>
  <c r="O15" i="6"/>
  <c r="H15" i="6"/>
  <c r="O14" i="6"/>
  <c r="H14" i="6"/>
  <c r="O13" i="6"/>
  <c r="H13" i="6"/>
  <c r="O12" i="6"/>
  <c r="H12" i="6"/>
  <c r="O11" i="6"/>
  <c r="H11" i="6"/>
  <c r="P10" i="6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O10" i="6"/>
  <c r="H10" i="6"/>
  <c r="O9" i="6"/>
  <c r="H9" i="6"/>
  <c r="O8" i="6"/>
  <c r="H8" i="6"/>
  <c r="P7" i="6"/>
  <c r="P8" i="6" s="1"/>
  <c r="O7" i="6"/>
  <c r="H7" i="6"/>
  <c r="O6" i="6"/>
  <c r="H6" i="6"/>
  <c r="B38" i="6" l="1"/>
  <c r="H38" i="6"/>
  <c r="O37" i="6"/>
  <c r="H37" i="6"/>
  <c r="P37" i="6"/>
  <c r="N37" i="5" l="1"/>
  <c r="M37" i="5"/>
  <c r="L37" i="5"/>
  <c r="I37" i="5"/>
  <c r="G37" i="5"/>
  <c r="G38" i="5" s="1"/>
  <c r="F37" i="5"/>
  <c r="F38" i="5" s="1"/>
  <c r="E37" i="5"/>
  <c r="E38" i="5" s="1"/>
  <c r="D37" i="5"/>
  <c r="D38" i="5" s="1"/>
  <c r="C37" i="5"/>
  <c r="B37" i="5"/>
  <c r="O36" i="5"/>
  <c r="H36" i="5"/>
  <c r="O35" i="5"/>
  <c r="H35" i="5"/>
  <c r="O34" i="5"/>
  <c r="H34" i="5"/>
  <c r="O33" i="5"/>
  <c r="H33" i="5"/>
  <c r="O32" i="5"/>
  <c r="H32" i="5"/>
  <c r="O31" i="5"/>
  <c r="H31" i="5"/>
  <c r="O30" i="5"/>
  <c r="H30" i="5"/>
  <c r="O29" i="5"/>
  <c r="H29" i="5"/>
  <c r="O28" i="5"/>
  <c r="H28" i="5"/>
  <c r="O27" i="5"/>
  <c r="H27" i="5"/>
  <c r="O26" i="5"/>
  <c r="H26" i="5"/>
  <c r="O25" i="5"/>
  <c r="H25" i="5"/>
  <c r="O24" i="5"/>
  <c r="H24" i="5"/>
  <c r="O23" i="5"/>
  <c r="H23" i="5"/>
  <c r="O22" i="5"/>
  <c r="H22" i="5"/>
  <c r="O21" i="5"/>
  <c r="H21" i="5"/>
  <c r="O20" i="5"/>
  <c r="H20" i="5"/>
  <c r="O19" i="5"/>
  <c r="H19" i="5"/>
  <c r="O18" i="5"/>
  <c r="H18" i="5"/>
  <c r="O17" i="5"/>
  <c r="H17" i="5"/>
  <c r="O16" i="5"/>
  <c r="H16" i="5"/>
  <c r="O15" i="5"/>
  <c r="H15" i="5"/>
  <c r="O14" i="5"/>
  <c r="H14" i="5"/>
  <c r="O13" i="5"/>
  <c r="H13" i="5"/>
  <c r="O12" i="5"/>
  <c r="H12" i="5"/>
  <c r="O11" i="5"/>
  <c r="H11" i="5"/>
  <c r="P10" i="5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O10" i="5"/>
  <c r="H10" i="5"/>
  <c r="O9" i="5"/>
  <c r="H9" i="5"/>
  <c r="O8" i="5"/>
  <c r="H8" i="5"/>
  <c r="P7" i="5"/>
  <c r="O7" i="5"/>
  <c r="H7" i="5"/>
  <c r="O6" i="5"/>
  <c r="H6" i="5"/>
  <c r="B38" i="5" l="1"/>
  <c r="O37" i="5"/>
  <c r="H37" i="5"/>
  <c r="H38" i="5"/>
  <c r="P8" i="5"/>
  <c r="P37" i="5" s="1"/>
  <c r="N37" i="4" l="1"/>
  <c r="M37" i="4"/>
  <c r="L37" i="4"/>
  <c r="I37" i="4"/>
  <c r="G37" i="4"/>
  <c r="G38" i="4" s="1"/>
  <c r="F37" i="4"/>
  <c r="F38" i="4" s="1"/>
  <c r="E37" i="4"/>
  <c r="E38" i="4" s="1"/>
  <c r="D37" i="4"/>
  <c r="D38" i="4" s="1"/>
  <c r="C37" i="4"/>
  <c r="B37" i="4"/>
  <c r="B38" i="4" s="1"/>
  <c r="O36" i="4"/>
  <c r="H36" i="4"/>
  <c r="O35" i="4"/>
  <c r="H35" i="4"/>
  <c r="O34" i="4"/>
  <c r="H34" i="4"/>
  <c r="O33" i="4"/>
  <c r="H33" i="4"/>
  <c r="O32" i="4"/>
  <c r="H32" i="4"/>
  <c r="O31" i="4"/>
  <c r="H31" i="4"/>
  <c r="O30" i="4"/>
  <c r="H30" i="4"/>
  <c r="O29" i="4"/>
  <c r="H29" i="4"/>
  <c r="O28" i="4"/>
  <c r="H28" i="4"/>
  <c r="O27" i="4"/>
  <c r="H27" i="4"/>
  <c r="O26" i="4"/>
  <c r="H26" i="4"/>
  <c r="O25" i="4"/>
  <c r="H25" i="4"/>
  <c r="O24" i="4"/>
  <c r="H24" i="4"/>
  <c r="O23" i="4"/>
  <c r="H23" i="4"/>
  <c r="O22" i="4"/>
  <c r="H22" i="4"/>
  <c r="O21" i="4"/>
  <c r="H21" i="4"/>
  <c r="O20" i="4"/>
  <c r="H20" i="4"/>
  <c r="O19" i="4"/>
  <c r="H19" i="4"/>
  <c r="O18" i="4"/>
  <c r="H18" i="4"/>
  <c r="O17" i="4"/>
  <c r="H17" i="4"/>
  <c r="O16" i="4"/>
  <c r="H16" i="4"/>
  <c r="O15" i="4"/>
  <c r="H15" i="4"/>
  <c r="O14" i="4"/>
  <c r="H14" i="4"/>
  <c r="O13" i="4"/>
  <c r="H13" i="4"/>
  <c r="O12" i="4"/>
  <c r="H12" i="4"/>
  <c r="O11" i="4"/>
  <c r="H11" i="4"/>
  <c r="P10" i="4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O10" i="4"/>
  <c r="H10" i="4"/>
  <c r="O9" i="4"/>
  <c r="H9" i="4"/>
  <c r="O8" i="4"/>
  <c r="H8" i="4"/>
  <c r="P7" i="4"/>
  <c r="O7" i="4"/>
  <c r="H7" i="4"/>
  <c r="O6" i="4"/>
  <c r="H6" i="4"/>
  <c r="N37" i="3"/>
  <c r="M37" i="3"/>
  <c r="L37" i="3"/>
  <c r="I37" i="3"/>
  <c r="G37" i="3"/>
  <c r="G38" i="3" s="1"/>
  <c r="F37" i="3"/>
  <c r="F38" i="3" s="1"/>
  <c r="E37" i="3"/>
  <c r="E38" i="3" s="1"/>
  <c r="D37" i="3"/>
  <c r="D38" i="3" s="1"/>
  <c r="C37" i="3"/>
  <c r="B37" i="3"/>
  <c r="B38" i="3" s="1"/>
  <c r="O36" i="3"/>
  <c r="H36" i="3"/>
  <c r="O35" i="3"/>
  <c r="H35" i="3"/>
  <c r="O34" i="3"/>
  <c r="H34" i="3"/>
  <c r="O33" i="3"/>
  <c r="H33" i="3"/>
  <c r="O32" i="3"/>
  <c r="H32" i="3"/>
  <c r="O31" i="3"/>
  <c r="H31" i="3"/>
  <c r="O30" i="3"/>
  <c r="H30" i="3"/>
  <c r="O29" i="3"/>
  <c r="H29" i="3"/>
  <c r="O28" i="3"/>
  <c r="H28" i="3"/>
  <c r="O27" i="3"/>
  <c r="H27" i="3"/>
  <c r="O26" i="3"/>
  <c r="H26" i="3"/>
  <c r="O25" i="3"/>
  <c r="H25" i="3"/>
  <c r="O24" i="3"/>
  <c r="H24" i="3"/>
  <c r="O23" i="3"/>
  <c r="H23" i="3"/>
  <c r="O22" i="3"/>
  <c r="H22" i="3"/>
  <c r="O21" i="3"/>
  <c r="H21" i="3"/>
  <c r="O20" i="3"/>
  <c r="H20" i="3"/>
  <c r="O19" i="3"/>
  <c r="H19" i="3"/>
  <c r="O18" i="3"/>
  <c r="H18" i="3"/>
  <c r="O17" i="3"/>
  <c r="H17" i="3"/>
  <c r="O16" i="3"/>
  <c r="H16" i="3"/>
  <c r="O15" i="3"/>
  <c r="H15" i="3"/>
  <c r="O14" i="3"/>
  <c r="H14" i="3"/>
  <c r="O13" i="3"/>
  <c r="H13" i="3"/>
  <c r="O12" i="3"/>
  <c r="H12" i="3"/>
  <c r="O11" i="3"/>
  <c r="H11" i="3"/>
  <c r="P10" i="3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O10" i="3"/>
  <c r="H10" i="3"/>
  <c r="O9" i="3"/>
  <c r="H9" i="3"/>
  <c r="O8" i="3"/>
  <c r="H8" i="3"/>
  <c r="P7" i="3"/>
  <c r="O7" i="3"/>
  <c r="H7" i="3"/>
  <c r="O6" i="3"/>
  <c r="H6" i="3"/>
  <c r="H37" i="4" l="1"/>
  <c r="O37" i="4"/>
  <c r="H38" i="4"/>
  <c r="P8" i="4"/>
  <c r="P37" i="4" s="1"/>
  <c r="O37" i="3"/>
  <c r="H37" i="3"/>
  <c r="H38" i="3"/>
  <c r="P8" i="3"/>
  <c r="P37" i="3" s="1"/>
  <c r="N37" i="2" l="1"/>
  <c r="M37" i="2"/>
  <c r="L37" i="2"/>
  <c r="I37" i="2"/>
  <c r="G37" i="2"/>
  <c r="G38" i="2" s="1"/>
  <c r="F37" i="2"/>
  <c r="F38" i="2" s="1"/>
  <c r="E37" i="2"/>
  <c r="E38" i="2" s="1"/>
  <c r="D37" i="2"/>
  <c r="D38" i="2" s="1"/>
  <c r="C37" i="2"/>
  <c r="B37" i="2"/>
  <c r="B38" i="2" s="1"/>
  <c r="O36" i="2"/>
  <c r="H36" i="2"/>
  <c r="O35" i="2"/>
  <c r="H35" i="2"/>
  <c r="O34" i="2"/>
  <c r="H34" i="2"/>
  <c r="O33" i="2"/>
  <c r="H33" i="2"/>
  <c r="O32" i="2"/>
  <c r="H32" i="2"/>
  <c r="O31" i="2"/>
  <c r="H31" i="2"/>
  <c r="O30" i="2"/>
  <c r="H30" i="2"/>
  <c r="O29" i="2"/>
  <c r="H29" i="2"/>
  <c r="O28" i="2"/>
  <c r="H28" i="2"/>
  <c r="O27" i="2"/>
  <c r="H27" i="2"/>
  <c r="O26" i="2"/>
  <c r="H26" i="2"/>
  <c r="O25" i="2"/>
  <c r="H25" i="2"/>
  <c r="O24" i="2"/>
  <c r="H24" i="2"/>
  <c r="O23" i="2"/>
  <c r="H23" i="2"/>
  <c r="O22" i="2"/>
  <c r="H22" i="2"/>
  <c r="O21" i="2"/>
  <c r="H21" i="2"/>
  <c r="O20" i="2"/>
  <c r="H20" i="2"/>
  <c r="O19" i="2"/>
  <c r="H19" i="2"/>
  <c r="O18" i="2"/>
  <c r="H18" i="2"/>
  <c r="O17" i="2"/>
  <c r="H17" i="2"/>
  <c r="O16" i="2"/>
  <c r="H16" i="2"/>
  <c r="O15" i="2"/>
  <c r="H15" i="2"/>
  <c r="O14" i="2"/>
  <c r="H14" i="2"/>
  <c r="O13" i="2"/>
  <c r="H13" i="2"/>
  <c r="O12" i="2"/>
  <c r="H12" i="2"/>
  <c r="O11" i="2"/>
  <c r="H11" i="2"/>
  <c r="P10" i="2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O10" i="2"/>
  <c r="H10" i="2"/>
  <c r="O9" i="2"/>
  <c r="H9" i="2"/>
  <c r="O8" i="2"/>
  <c r="H8" i="2"/>
  <c r="P7" i="2"/>
  <c r="O7" i="2"/>
  <c r="H7" i="2"/>
  <c r="O6" i="2"/>
  <c r="H6" i="2"/>
  <c r="H37" i="2" l="1"/>
  <c r="O37" i="2"/>
  <c r="H38" i="2"/>
  <c r="P8" i="2"/>
  <c r="P37" i="2" s="1"/>
  <c r="N37" i="1" l="1"/>
  <c r="M37" i="1"/>
  <c r="L37" i="1"/>
  <c r="I37" i="1"/>
  <c r="G37" i="1"/>
  <c r="G38" i="1" s="1"/>
  <c r="F37" i="1"/>
  <c r="F38" i="1" s="1"/>
  <c r="E37" i="1"/>
  <c r="E38" i="1" s="1"/>
  <c r="D37" i="1"/>
  <c r="D38" i="1" s="1"/>
  <c r="C37" i="1"/>
  <c r="B37" i="1"/>
  <c r="B38" i="1" s="1"/>
  <c r="O36" i="1"/>
  <c r="H36" i="1"/>
  <c r="O35" i="1"/>
  <c r="H35" i="1"/>
  <c r="O34" i="1"/>
  <c r="H34" i="1"/>
  <c r="O33" i="1"/>
  <c r="H33" i="1"/>
  <c r="O32" i="1"/>
  <c r="H32" i="1"/>
  <c r="O31" i="1"/>
  <c r="H31" i="1"/>
  <c r="O30" i="1"/>
  <c r="H30" i="1"/>
  <c r="O29" i="1"/>
  <c r="H29" i="1"/>
  <c r="O28" i="1"/>
  <c r="H28" i="1"/>
  <c r="O27" i="1"/>
  <c r="H27" i="1"/>
  <c r="O26" i="1"/>
  <c r="H26" i="1"/>
  <c r="O25" i="1"/>
  <c r="H25" i="1"/>
  <c r="O24" i="1"/>
  <c r="H24" i="1"/>
  <c r="O23" i="1"/>
  <c r="H23" i="1"/>
  <c r="O22" i="1"/>
  <c r="H22" i="1"/>
  <c r="O21" i="1"/>
  <c r="H21" i="1"/>
  <c r="O20" i="1"/>
  <c r="H20" i="1"/>
  <c r="O19" i="1"/>
  <c r="H19" i="1"/>
  <c r="O18" i="1"/>
  <c r="H18" i="1"/>
  <c r="O17" i="1"/>
  <c r="H17" i="1"/>
  <c r="O16" i="1"/>
  <c r="H16" i="1"/>
  <c r="O15" i="1"/>
  <c r="H15" i="1"/>
  <c r="H37" i="1" s="1"/>
  <c r="O14" i="1"/>
  <c r="H14" i="1"/>
  <c r="O13" i="1"/>
  <c r="H13" i="1"/>
  <c r="O12" i="1"/>
  <c r="H12" i="1"/>
  <c r="O11" i="1"/>
  <c r="H11" i="1"/>
  <c r="P10" i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O10" i="1"/>
  <c r="H10" i="1"/>
  <c r="O9" i="1"/>
  <c r="H9" i="1"/>
  <c r="P8" i="1"/>
  <c r="O8" i="1"/>
  <c r="H8" i="1"/>
  <c r="P7" i="1"/>
  <c r="O7" i="1"/>
  <c r="H7" i="1"/>
  <c r="O6" i="1"/>
  <c r="H6" i="1"/>
  <c r="O37" i="1" l="1"/>
  <c r="P37" i="1"/>
  <c r="H38" i="1"/>
</calcChain>
</file>

<file path=xl/sharedStrings.xml><?xml version="1.0" encoding="utf-8"?>
<sst xmlns="http://schemas.openxmlformats.org/spreadsheetml/2006/main" count="328" uniqueCount="37">
  <si>
    <t>CONCESION SABANA DE OCCIDENTE S.A.S</t>
  </si>
  <si>
    <t>ENERO 2024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</si>
  <si>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</si>
  <si>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</si>
  <si>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</si>
  <si>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</si>
  <si>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</si>
  <si>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</si>
  <si>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</si>
  <si>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</si>
  <si>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</si>
  <si>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</si>
  <si>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</si>
  <si>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</si>
  <si>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</si>
  <si>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</si>
  <si>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</si>
  <si>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</si>
  <si>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</si>
  <si>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</si>
  <si>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</si>
  <si>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 xml:space="preserve">  </t>
  </si>
  <si>
    <t xml:space="preserve"> </t>
  </si>
  <si>
    <t>TRÁFICO POR CATEGORÍAS ESTACIÓN DE PEAJE CAIQUERO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</si>
  <si>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</si>
  <si>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</si>
  <si>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</si>
  <si>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</si>
  <si>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</si>
  <si>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</si>
  <si>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</si>
  <si>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AUTOMÓVILES, CAMPEROS Y CAMIONETAS.</t>
  </si>
  <si>
    <t xml:space="preserve">TOTAL </t>
  </si>
  <si>
    <t>SEPTIEMBRE  2024</t>
  </si>
  <si>
    <t>OCTUBRE  2024</t>
  </si>
  <si>
    <t>NOVIEMBRE 2024</t>
  </si>
  <si>
    <t>DICIEMBRE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</si>
</sst>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_([$$-240A]\ * #,##0_);_([$$-240A]\ * \(#,##0\);_([$$-240A]\ * &quot;-&quot;??_);_(@_)"/>
    <numFmt numFmtId="166" formatCode="#,##0_ ;\-#,##0\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37" fontId="4" fillId="0" borderId="2" xfId="1" applyNumberFormat="1" applyFont="1" applyFill="1" applyBorder="1" applyAlignment="1" applyProtection="1">
      <alignment horizontal="center" vertical="center"/>
    </xf>
    <xf numFmtId="37" fontId="5" fillId="0" borderId="2" xfId="1" applyNumberFormat="1" applyFont="1" applyFill="1" applyBorder="1" applyAlignment="1" applyProtection="1">
      <alignment horizontal="center" vertical="center"/>
    </xf>
    <xf numFmtId="37" fontId="5" fillId="0" borderId="0" xfId="1" applyNumberFormat="1" applyFont="1" applyFill="1" applyBorder="1" applyAlignment="1" applyProtection="1">
      <alignment horizontal="center" vertical="center" wrapText="1"/>
    </xf>
    <xf numFmtId="164" fontId="5" fillId="0" borderId="4" xfId="1" applyNumberFormat="1" applyFont="1" applyFill="1" applyBorder="1" applyAlignment="1" applyProtection="1"/>
    <xf numFmtId="3" fontId="5" fillId="0" borderId="0" xfId="0" applyNumberFormat="1" applyFont="1"/>
    <xf numFmtId="37" fontId="5" fillId="0" borderId="0" xfId="1" applyNumberFormat="1" applyFont="1" applyFill="1" applyBorder="1" applyAlignment="1" applyProtection="1">
      <alignment horizontal="center" vertical="center"/>
    </xf>
    <xf numFmtId="164" fontId="5" fillId="2" borderId="4" xfId="1" applyNumberFormat="1" applyFont="1" applyFill="1" applyBorder="1" applyAlignment="1" applyProtection="1"/>
    <xf numFmtId="0" fontId="5" fillId="2" borderId="0" xfId="0" applyFont="1" applyFill="1"/>
    <xf numFmtId="165" fontId="5" fillId="0" borderId="0" xfId="3" applyNumberFormat="1" applyFont="1" applyFill="1" applyProtection="1"/>
    <xf numFmtId="166" fontId="5" fillId="0" borderId="2" xfId="1" applyNumberFormat="1" applyFont="1" applyFill="1" applyBorder="1" applyAlignment="1" applyProtection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0" fontId="4" fillId="0" borderId="0" xfId="2" applyNumberFormat="1" applyFont="1" applyAlignment="1" applyProtection="1">
      <alignment horizontal="right"/>
    </xf>
    <xf numFmtId="10" fontId="5" fillId="0" borderId="0" xfId="2" applyNumberFormat="1" applyFont="1" applyAlignment="1" applyProtection="1">
      <alignment horizontal="right"/>
    </xf>
    <xf numFmtId="17" fontId="5" fillId="0" borderId="0" xfId="0" applyNumberFormat="1" applyFont="1"/>
    <xf numFmtId="3" fontId="4" fillId="0" borderId="0" xfId="0" applyNumberFormat="1" applyFont="1"/>
    <xf numFmtId="1" fontId="0" fillId="0" borderId="1" xfId="0" applyNumberFormat="1" applyBorder="1" applyAlignment="1">
      <alignment horizontal="center"/>
    </xf>
    <xf numFmtId="37" fontId="5" fillId="0" borderId="1" xfId="1" applyNumberFormat="1" applyFont="1" applyFill="1" applyBorder="1" applyAlignment="1" applyProtection="1">
      <alignment horizontal="center" vertical="center"/>
    </xf>
    <xf numFmtId="37" fontId="4" fillId="0" borderId="1" xfId="1" applyNumberFormat="1" applyFont="1" applyFill="1" applyBorder="1" applyAlignment="1" applyProtection="1">
      <alignment horizontal="center" vertical="center"/>
    </xf>
    <xf numFmtId="1" fontId="0" fillId="0" borderId="2" xfId="0" applyNumberFormat="1" applyBorder="1" applyAlignment="1">
      <alignment horizontal="center"/>
    </xf>
    <xf numFmtId="1" fontId="5" fillId="0" borderId="2" xfId="1" applyNumberFormat="1" applyFont="1" applyFill="1" applyBorder="1" applyAlignment="1" applyProtection="1">
      <alignment horizontal="center" vertical="center"/>
    </xf>
    <xf numFmtId="1" fontId="4" fillId="0" borderId="2" xfId="1" applyNumberFormat="1" applyFont="1" applyFill="1" applyBorder="1" applyAlignment="1" applyProtection="1">
      <alignment horizontal="center" vertical="center"/>
    </xf>
    <xf numFmtId="37" fontId="4" fillId="3" borderId="2" xfId="1" applyNumberFormat="1" applyFont="1" applyFill="1" applyBorder="1" applyAlignment="1" applyProtection="1">
      <alignment horizontal="center" vertical="center"/>
    </xf>
    <xf numFmtId="37" fontId="5" fillId="3" borderId="2" xfId="1" applyNumberFormat="1" applyFont="1" applyFill="1" applyBorder="1" applyAlignment="1" applyProtection="1">
      <alignment horizontal="center" vertical="center"/>
    </xf>
    <xf numFmtId="37" fontId="5" fillId="3" borderId="0" xfId="1" applyNumberFormat="1" applyFont="1" applyFill="1" applyBorder="1" applyAlignment="1" applyProtection="1">
      <alignment horizontal="center" vertical="center"/>
    </xf>
    <xf numFmtId="37" fontId="4" fillId="2" borderId="2" xfId="1" applyNumberFormat="1" applyFont="1" applyFill="1" applyBorder="1" applyAlignment="1" applyProtection="1">
      <alignment horizontal="center" vertical="center"/>
    </xf>
    <xf numFmtId="37" fontId="5" fillId="2" borderId="2" xfId="1" applyNumberFormat="1" applyFont="1" applyFill="1" applyBorder="1" applyAlignment="1" applyProtection="1">
      <alignment horizontal="center" vertical="center"/>
    </xf>
    <xf numFmtId="37" fontId="5" fillId="2" borderId="0" xfId="1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4">
    <cellStyle name="Millares" xfId="1" builtinId="3"/>
    <cellStyle name="Millares_TRAFICO CAIQUERO_1" xfId="3" xr:uid="{6BD7CD7C-518F-4083-8821-329D9ED75721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59B7-BC77-4C32-9077-6F1D2A2ACB88}">
  <dimension ref="A1:Z39"/>
  <sheetViews>
    <sheetView tabSelected="1" workbookViewId="0">
      <selection activeCell="Q4" sqref="Q4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78" customHeight="1" x14ac:dyDescent="0.3">
      <c r="A4" s="46" t="s">
        <v>2</v>
      </c>
      <c r="B4" s="42" t="s">
        <v>3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13133</v>
      </c>
      <c r="C6" s="7">
        <v>0</v>
      </c>
      <c r="D6" s="7">
        <v>529</v>
      </c>
      <c r="E6" s="7">
        <v>53</v>
      </c>
      <c r="F6" s="7">
        <v>46</v>
      </c>
      <c r="G6" s="7">
        <v>86</v>
      </c>
      <c r="H6" s="7">
        <f>SUM(B6:G6)</f>
        <v>13847</v>
      </c>
      <c r="I6" s="7">
        <v>0</v>
      </c>
      <c r="J6" s="8"/>
      <c r="K6" s="6">
        <v>1</v>
      </c>
      <c r="L6" s="7">
        <v>0</v>
      </c>
      <c r="M6" s="7">
        <v>0</v>
      </c>
      <c r="N6" s="7">
        <v>1</v>
      </c>
      <c r="O6" s="7">
        <f>SUM(L6:N6)</f>
        <v>1</v>
      </c>
      <c r="P6" s="9">
        <v>6135</v>
      </c>
    </row>
    <row r="7" spans="1:19" ht="18" customHeight="1" thickTop="1" thickBot="1" x14ac:dyDescent="0.35">
      <c r="A7" s="6">
        <v>2</v>
      </c>
      <c r="B7" s="7">
        <v>15187</v>
      </c>
      <c r="C7" s="7">
        <v>0</v>
      </c>
      <c r="D7" s="7">
        <v>1120</v>
      </c>
      <c r="E7" s="7">
        <v>187</v>
      </c>
      <c r="F7" s="7">
        <v>171</v>
      </c>
      <c r="G7" s="7">
        <v>344</v>
      </c>
      <c r="H7" s="7">
        <f t="shared" ref="H7:H36" si="0">SUM(B7:G7)</f>
        <v>17009</v>
      </c>
      <c r="I7" s="7">
        <v>0</v>
      </c>
      <c r="J7" s="8"/>
      <c r="K7" s="6">
        <v>2</v>
      </c>
      <c r="L7" s="7">
        <v>6</v>
      </c>
      <c r="M7" s="7">
        <v>32</v>
      </c>
      <c r="N7" s="7">
        <v>0</v>
      </c>
      <c r="O7" s="7">
        <f t="shared" ref="O7:O36" si="1">SUM(L7:N7)</f>
        <v>38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12651</v>
      </c>
      <c r="C8" s="7">
        <v>0</v>
      </c>
      <c r="D8" s="7">
        <v>1455</v>
      </c>
      <c r="E8" s="7">
        <v>187</v>
      </c>
      <c r="F8" s="7">
        <v>231</v>
      </c>
      <c r="G8" s="7">
        <v>393</v>
      </c>
      <c r="H8" s="7">
        <f t="shared" si="0"/>
        <v>14917</v>
      </c>
      <c r="I8" s="7">
        <v>0</v>
      </c>
      <c r="J8" s="8"/>
      <c r="K8" s="6">
        <v>3</v>
      </c>
      <c r="L8" s="7">
        <v>2</v>
      </c>
      <c r="M8" s="7">
        <v>6</v>
      </c>
      <c r="N8" s="7">
        <v>4</v>
      </c>
      <c r="O8" s="7">
        <f t="shared" si="1"/>
        <v>12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11200</v>
      </c>
      <c r="C9" s="7">
        <v>0</v>
      </c>
      <c r="D9" s="7">
        <v>1620</v>
      </c>
      <c r="E9" s="7">
        <v>230</v>
      </c>
      <c r="F9" s="7">
        <v>265</v>
      </c>
      <c r="G9" s="7">
        <v>430</v>
      </c>
      <c r="H9" s="7">
        <f t="shared" si="0"/>
        <v>13745</v>
      </c>
      <c r="I9" s="7">
        <v>0</v>
      </c>
      <c r="J9" s="8"/>
      <c r="K9" s="6">
        <v>4</v>
      </c>
      <c r="L9" s="7">
        <v>4</v>
      </c>
      <c r="M9" s="7">
        <v>20</v>
      </c>
      <c r="N9" s="7">
        <v>3</v>
      </c>
      <c r="O9" s="7">
        <f t="shared" si="1"/>
        <v>27</v>
      </c>
      <c r="P9" s="9">
        <v>0</v>
      </c>
    </row>
    <row r="10" spans="1:19" ht="18" customHeight="1" thickTop="1" thickBot="1" x14ac:dyDescent="0.35">
      <c r="A10" s="6">
        <v>5</v>
      </c>
      <c r="B10" s="7">
        <v>11887</v>
      </c>
      <c r="C10" s="7">
        <v>0</v>
      </c>
      <c r="D10" s="7">
        <v>1455</v>
      </c>
      <c r="E10" s="7">
        <v>185</v>
      </c>
      <c r="F10" s="7">
        <v>229</v>
      </c>
      <c r="G10" s="7">
        <v>312</v>
      </c>
      <c r="H10" s="7">
        <f t="shared" si="0"/>
        <v>14068</v>
      </c>
      <c r="I10" s="7">
        <v>0</v>
      </c>
      <c r="J10" s="8"/>
      <c r="K10" s="6">
        <v>5</v>
      </c>
      <c r="L10" s="7">
        <v>6</v>
      </c>
      <c r="M10" s="7">
        <v>12</v>
      </c>
      <c r="N10" s="7">
        <v>6</v>
      </c>
      <c r="O10" s="7">
        <f t="shared" si="1"/>
        <v>24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15268</v>
      </c>
      <c r="C11" s="7">
        <v>0</v>
      </c>
      <c r="D11" s="7">
        <v>1318</v>
      </c>
      <c r="E11" s="7">
        <v>120</v>
      </c>
      <c r="F11" s="7">
        <v>255</v>
      </c>
      <c r="G11" s="7">
        <v>291</v>
      </c>
      <c r="H11" s="7">
        <f t="shared" si="0"/>
        <v>17252</v>
      </c>
      <c r="I11" s="7">
        <v>0</v>
      </c>
      <c r="J11" s="8"/>
      <c r="K11" s="6">
        <v>6</v>
      </c>
      <c r="L11" s="7">
        <v>2</v>
      </c>
      <c r="M11" s="7">
        <v>15</v>
      </c>
      <c r="N11" s="7">
        <v>2</v>
      </c>
      <c r="O11" s="7">
        <f t="shared" si="1"/>
        <v>19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16365</v>
      </c>
      <c r="C12" s="7">
        <v>0</v>
      </c>
      <c r="D12" s="7">
        <v>1296</v>
      </c>
      <c r="E12" s="7">
        <v>140</v>
      </c>
      <c r="F12" s="7">
        <v>137</v>
      </c>
      <c r="G12" s="7">
        <v>276</v>
      </c>
      <c r="H12" s="7">
        <f t="shared" si="0"/>
        <v>18214</v>
      </c>
      <c r="I12" s="7">
        <v>0</v>
      </c>
      <c r="J12" s="11"/>
      <c r="K12" s="6">
        <v>7</v>
      </c>
      <c r="L12" s="7">
        <v>7</v>
      </c>
      <c r="M12" s="7">
        <v>9</v>
      </c>
      <c r="N12" s="7">
        <v>2</v>
      </c>
      <c r="O12" s="7">
        <f t="shared" si="1"/>
        <v>18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15110</v>
      </c>
      <c r="C13" s="7">
        <v>0</v>
      </c>
      <c r="D13" s="7">
        <v>1179</v>
      </c>
      <c r="E13" s="7">
        <v>60</v>
      </c>
      <c r="F13" s="7">
        <v>73</v>
      </c>
      <c r="G13" s="7">
        <v>112</v>
      </c>
      <c r="H13" s="7">
        <f t="shared" si="0"/>
        <v>16534</v>
      </c>
      <c r="I13" s="7">
        <v>0</v>
      </c>
      <c r="J13" s="11"/>
      <c r="K13" s="6">
        <v>8</v>
      </c>
      <c r="L13" s="7">
        <v>4</v>
      </c>
      <c r="M13" s="7">
        <v>0</v>
      </c>
      <c r="N13" s="7">
        <v>1</v>
      </c>
      <c r="O13" s="7">
        <f t="shared" si="1"/>
        <v>5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10009</v>
      </c>
      <c r="C14" s="7">
        <v>0</v>
      </c>
      <c r="D14" s="7">
        <v>1589</v>
      </c>
      <c r="E14" s="7">
        <v>238</v>
      </c>
      <c r="F14" s="7">
        <v>203</v>
      </c>
      <c r="G14" s="7">
        <v>441</v>
      </c>
      <c r="H14" s="7">
        <f t="shared" si="0"/>
        <v>12480</v>
      </c>
      <c r="I14" s="7">
        <v>0</v>
      </c>
      <c r="J14" s="11"/>
      <c r="K14" s="6">
        <v>9</v>
      </c>
      <c r="L14" s="7">
        <v>3</v>
      </c>
      <c r="M14" s="7">
        <v>13</v>
      </c>
      <c r="N14" s="7">
        <v>3</v>
      </c>
      <c r="O14" s="7">
        <f t="shared" si="1"/>
        <v>19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7550</v>
      </c>
      <c r="C15" s="7">
        <v>0</v>
      </c>
      <c r="D15" s="7">
        <v>1757</v>
      </c>
      <c r="E15" s="7">
        <v>224</v>
      </c>
      <c r="F15" s="7">
        <v>284</v>
      </c>
      <c r="G15" s="7">
        <v>394</v>
      </c>
      <c r="H15" s="7">
        <f t="shared" si="0"/>
        <v>10209</v>
      </c>
      <c r="I15" s="7">
        <v>0</v>
      </c>
      <c r="J15" s="11"/>
      <c r="K15" s="6">
        <v>10</v>
      </c>
      <c r="L15" s="7">
        <v>7</v>
      </c>
      <c r="M15" s="7">
        <v>5</v>
      </c>
      <c r="N15" s="7">
        <v>4</v>
      </c>
      <c r="O15" s="7">
        <f t="shared" si="1"/>
        <v>16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7221</v>
      </c>
      <c r="C16" s="7">
        <v>0</v>
      </c>
      <c r="D16" s="7">
        <v>1962</v>
      </c>
      <c r="E16" s="7">
        <v>273</v>
      </c>
      <c r="F16" s="7">
        <v>288</v>
      </c>
      <c r="G16" s="7">
        <v>525</v>
      </c>
      <c r="H16" s="7">
        <f t="shared" si="0"/>
        <v>10269</v>
      </c>
      <c r="I16" s="7">
        <v>0</v>
      </c>
      <c r="J16" s="11"/>
      <c r="K16" s="6">
        <v>11</v>
      </c>
      <c r="L16" s="7">
        <v>6</v>
      </c>
      <c r="M16" s="7">
        <v>13</v>
      </c>
      <c r="N16" s="7">
        <v>4</v>
      </c>
      <c r="O16" s="7">
        <f t="shared" si="1"/>
        <v>23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7619</v>
      </c>
      <c r="C17" s="7">
        <v>0</v>
      </c>
      <c r="D17" s="7">
        <v>1700</v>
      </c>
      <c r="E17" s="7">
        <v>245</v>
      </c>
      <c r="F17" s="7">
        <v>276</v>
      </c>
      <c r="G17" s="7">
        <v>430</v>
      </c>
      <c r="H17" s="7">
        <f t="shared" si="0"/>
        <v>10270</v>
      </c>
      <c r="I17" s="7">
        <v>0</v>
      </c>
      <c r="J17" s="11"/>
      <c r="K17" s="6">
        <v>12</v>
      </c>
      <c r="L17" s="7">
        <v>4</v>
      </c>
      <c r="M17" s="7">
        <v>20</v>
      </c>
      <c r="N17" s="7">
        <v>3</v>
      </c>
      <c r="O17" s="7">
        <f t="shared" si="1"/>
        <v>27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9158</v>
      </c>
      <c r="C18" s="7">
        <v>0</v>
      </c>
      <c r="D18" s="7">
        <v>1570</v>
      </c>
      <c r="E18" s="7">
        <v>255</v>
      </c>
      <c r="F18" s="7">
        <v>287</v>
      </c>
      <c r="G18" s="7">
        <v>379</v>
      </c>
      <c r="H18" s="7">
        <f t="shared" si="0"/>
        <v>11649</v>
      </c>
      <c r="I18" s="7">
        <v>0</v>
      </c>
      <c r="J18" s="11"/>
      <c r="K18" s="6">
        <v>13</v>
      </c>
      <c r="L18" s="7">
        <v>3</v>
      </c>
      <c r="M18" s="7">
        <v>10</v>
      </c>
      <c r="N18" s="7">
        <v>5</v>
      </c>
      <c r="O18" s="7">
        <f t="shared" si="1"/>
        <v>18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9889</v>
      </c>
      <c r="C19" s="7">
        <v>0</v>
      </c>
      <c r="D19" s="7">
        <v>1313</v>
      </c>
      <c r="E19" s="7">
        <v>152</v>
      </c>
      <c r="F19" s="7">
        <v>151</v>
      </c>
      <c r="G19" s="7">
        <v>304</v>
      </c>
      <c r="H19" s="7">
        <f t="shared" si="0"/>
        <v>11809</v>
      </c>
      <c r="I19" s="7">
        <v>0</v>
      </c>
      <c r="J19" s="11"/>
      <c r="K19" s="6">
        <v>14</v>
      </c>
      <c r="L19" s="7">
        <v>0</v>
      </c>
      <c r="M19" s="7">
        <v>3</v>
      </c>
      <c r="N19" s="7">
        <v>4</v>
      </c>
      <c r="O19" s="7">
        <f t="shared" si="1"/>
        <v>7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5622</v>
      </c>
      <c r="C20" s="7">
        <v>0</v>
      </c>
      <c r="D20" s="7">
        <v>1422</v>
      </c>
      <c r="E20" s="7">
        <v>282</v>
      </c>
      <c r="F20" s="7">
        <v>245</v>
      </c>
      <c r="G20" s="7">
        <v>446</v>
      </c>
      <c r="H20" s="7">
        <f t="shared" si="0"/>
        <v>8017</v>
      </c>
      <c r="I20" s="7">
        <v>0</v>
      </c>
      <c r="J20" s="11"/>
      <c r="K20" s="6">
        <v>15</v>
      </c>
      <c r="L20" s="7">
        <v>10</v>
      </c>
      <c r="M20" s="7">
        <v>2</v>
      </c>
      <c r="N20" s="7">
        <v>2</v>
      </c>
      <c r="O20" s="7">
        <f t="shared" si="1"/>
        <v>14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4971</v>
      </c>
      <c r="C21" s="7">
        <v>0</v>
      </c>
      <c r="D21" s="7">
        <v>1625</v>
      </c>
      <c r="E21" s="7">
        <v>275</v>
      </c>
      <c r="F21" s="7">
        <v>275</v>
      </c>
      <c r="G21" s="7">
        <v>402</v>
      </c>
      <c r="H21" s="7">
        <f t="shared" si="0"/>
        <v>7548</v>
      </c>
      <c r="I21" s="7">
        <v>0</v>
      </c>
      <c r="J21" s="11"/>
      <c r="K21" s="6">
        <v>16</v>
      </c>
      <c r="L21" s="7">
        <v>1</v>
      </c>
      <c r="M21" s="7">
        <v>0</v>
      </c>
      <c r="N21" s="7">
        <v>3</v>
      </c>
      <c r="O21" s="7">
        <f t="shared" si="1"/>
        <v>4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4703</v>
      </c>
      <c r="C22" s="7">
        <v>0</v>
      </c>
      <c r="D22" s="7">
        <v>1779</v>
      </c>
      <c r="E22" s="7">
        <v>278</v>
      </c>
      <c r="F22" s="7">
        <v>319</v>
      </c>
      <c r="G22" s="7">
        <v>514</v>
      </c>
      <c r="H22" s="7">
        <f t="shared" si="0"/>
        <v>7593</v>
      </c>
      <c r="I22" s="7">
        <v>0</v>
      </c>
      <c r="J22" s="11"/>
      <c r="K22" s="6">
        <v>17</v>
      </c>
      <c r="L22" s="7">
        <v>1</v>
      </c>
      <c r="M22" s="7">
        <v>9</v>
      </c>
      <c r="N22" s="7">
        <v>9</v>
      </c>
      <c r="O22" s="7">
        <f t="shared" si="1"/>
        <v>19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4940</v>
      </c>
      <c r="C23" s="7">
        <v>0</v>
      </c>
      <c r="D23" s="7">
        <v>1780</v>
      </c>
      <c r="E23" s="7">
        <v>292</v>
      </c>
      <c r="F23" s="7">
        <v>331</v>
      </c>
      <c r="G23" s="7">
        <v>501</v>
      </c>
      <c r="H23" s="7">
        <f t="shared" si="0"/>
        <v>7844</v>
      </c>
      <c r="I23" s="7">
        <v>0</v>
      </c>
      <c r="J23" s="11"/>
      <c r="K23" s="6">
        <v>18</v>
      </c>
      <c r="L23" s="7">
        <v>4</v>
      </c>
      <c r="M23" s="7">
        <v>13</v>
      </c>
      <c r="N23" s="7">
        <v>4</v>
      </c>
      <c r="O23" s="7">
        <f t="shared" si="1"/>
        <v>21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6024</v>
      </c>
      <c r="C24" s="7">
        <v>0</v>
      </c>
      <c r="D24" s="7">
        <v>1560</v>
      </c>
      <c r="E24" s="7">
        <v>251</v>
      </c>
      <c r="F24" s="7">
        <v>300</v>
      </c>
      <c r="G24" s="7">
        <v>458</v>
      </c>
      <c r="H24" s="7">
        <f t="shared" si="0"/>
        <v>8593</v>
      </c>
      <c r="I24" s="7">
        <v>0</v>
      </c>
      <c r="J24" s="11"/>
      <c r="K24" s="6">
        <v>19</v>
      </c>
      <c r="L24" s="7">
        <v>1</v>
      </c>
      <c r="M24" s="7">
        <v>12</v>
      </c>
      <c r="N24" s="7">
        <v>3</v>
      </c>
      <c r="O24" s="7">
        <f t="shared" si="1"/>
        <v>16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7222</v>
      </c>
      <c r="C25" s="7">
        <v>0</v>
      </c>
      <c r="D25" s="7">
        <v>1386</v>
      </c>
      <c r="E25" s="7">
        <v>239</v>
      </c>
      <c r="F25" s="7">
        <v>316</v>
      </c>
      <c r="G25" s="7">
        <v>405</v>
      </c>
      <c r="H25" s="7">
        <f t="shared" si="0"/>
        <v>9568</v>
      </c>
      <c r="I25" s="7">
        <v>0</v>
      </c>
      <c r="J25" s="11"/>
      <c r="K25" s="6">
        <v>20</v>
      </c>
      <c r="L25" s="7">
        <v>3</v>
      </c>
      <c r="M25" s="7">
        <v>9</v>
      </c>
      <c r="N25" s="7">
        <v>3</v>
      </c>
      <c r="O25" s="7">
        <f t="shared" si="1"/>
        <v>15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8466</v>
      </c>
      <c r="C26" s="7">
        <v>0</v>
      </c>
      <c r="D26" s="7">
        <v>1182</v>
      </c>
      <c r="E26" s="7">
        <v>141</v>
      </c>
      <c r="F26" s="7">
        <v>161</v>
      </c>
      <c r="G26" s="7">
        <v>290</v>
      </c>
      <c r="H26" s="7">
        <f t="shared" si="0"/>
        <v>10240</v>
      </c>
      <c r="I26" s="7">
        <v>0</v>
      </c>
      <c r="J26" s="11"/>
      <c r="K26" s="6">
        <v>21</v>
      </c>
      <c r="L26" s="7">
        <v>5</v>
      </c>
      <c r="M26" s="7">
        <v>10</v>
      </c>
      <c r="N26" s="7">
        <v>4</v>
      </c>
      <c r="O26" s="7">
        <f t="shared" si="1"/>
        <v>19</v>
      </c>
      <c r="P26" s="9">
        <f t="shared" si="2"/>
        <v>0</v>
      </c>
    </row>
    <row r="27" spans="1:26" ht="18" customHeight="1" thickTop="1" thickBot="1" x14ac:dyDescent="0.35">
      <c r="A27" s="6">
        <v>22</v>
      </c>
      <c r="B27" s="7">
        <v>4526</v>
      </c>
      <c r="C27" s="7">
        <v>0</v>
      </c>
      <c r="D27" s="7">
        <v>1307</v>
      </c>
      <c r="E27" s="7">
        <v>262</v>
      </c>
      <c r="F27" s="7">
        <v>238</v>
      </c>
      <c r="G27" s="7">
        <v>362</v>
      </c>
      <c r="H27" s="7">
        <f t="shared" si="0"/>
        <v>6695</v>
      </c>
      <c r="I27" s="7">
        <v>0</v>
      </c>
      <c r="J27" s="11"/>
      <c r="K27" s="6">
        <v>22</v>
      </c>
      <c r="L27" s="7">
        <v>4</v>
      </c>
      <c r="M27" s="7">
        <v>13</v>
      </c>
      <c r="N27" s="7">
        <v>5</v>
      </c>
      <c r="O27" s="7">
        <f t="shared" si="1"/>
        <v>22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4159</v>
      </c>
      <c r="C28" s="7">
        <v>0</v>
      </c>
      <c r="D28" s="7">
        <v>1711</v>
      </c>
      <c r="E28" s="7">
        <v>253</v>
      </c>
      <c r="F28" s="7">
        <v>294</v>
      </c>
      <c r="G28" s="7">
        <v>468</v>
      </c>
      <c r="H28" s="7">
        <f t="shared" si="0"/>
        <v>6885</v>
      </c>
      <c r="I28" s="7">
        <v>0</v>
      </c>
      <c r="J28" s="11"/>
      <c r="K28" s="6">
        <v>23</v>
      </c>
      <c r="L28" s="7">
        <v>8</v>
      </c>
      <c r="M28" s="7">
        <v>18</v>
      </c>
      <c r="N28" s="7">
        <v>2</v>
      </c>
      <c r="O28" s="7">
        <f t="shared" si="1"/>
        <v>28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4121</v>
      </c>
      <c r="C29" s="7">
        <v>0</v>
      </c>
      <c r="D29" s="7">
        <v>1737</v>
      </c>
      <c r="E29" s="7">
        <v>286</v>
      </c>
      <c r="F29" s="7">
        <v>342</v>
      </c>
      <c r="G29" s="7">
        <v>477</v>
      </c>
      <c r="H29" s="7">
        <f t="shared" si="0"/>
        <v>6963</v>
      </c>
      <c r="I29" s="7">
        <v>0</v>
      </c>
      <c r="J29" s="11"/>
      <c r="K29" s="6">
        <v>24</v>
      </c>
      <c r="L29" s="7">
        <v>3</v>
      </c>
      <c r="M29" s="7">
        <v>13</v>
      </c>
      <c r="N29" s="7">
        <v>10</v>
      </c>
      <c r="O29" s="7">
        <f t="shared" si="1"/>
        <v>26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4565</v>
      </c>
      <c r="C30" s="7">
        <v>0</v>
      </c>
      <c r="D30" s="7">
        <v>1765</v>
      </c>
      <c r="E30" s="7">
        <v>297</v>
      </c>
      <c r="F30" s="7">
        <v>342</v>
      </c>
      <c r="G30" s="7">
        <v>524</v>
      </c>
      <c r="H30" s="7">
        <f t="shared" si="0"/>
        <v>7493</v>
      </c>
      <c r="I30" s="7">
        <v>0</v>
      </c>
      <c r="J30" s="11"/>
      <c r="K30" s="6">
        <v>25</v>
      </c>
      <c r="L30" s="7">
        <v>1</v>
      </c>
      <c r="M30" s="7">
        <v>21</v>
      </c>
      <c r="N30" s="7">
        <v>10</v>
      </c>
      <c r="O30" s="7">
        <f t="shared" si="1"/>
        <v>32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7">
        <v>6791</v>
      </c>
      <c r="C31" s="7">
        <v>0</v>
      </c>
      <c r="D31" s="7">
        <v>1704</v>
      </c>
      <c r="E31" s="7">
        <v>266</v>
      </c>
      <c r="F31" s="7">
        <v>298</v>
      </c>
      <c r="G31" s="7">
        <v>433</v>
      </c>
      <c r="H31" s="7">
        <f t="shared" si="0"/>
        <v>9492</v>
      </c>
      <c r="I31" s="7">
        <v>0</v>
      </c>
      <c r="J31" s="11"/>
      <c r="K31" s="6">
        <v>26</v>
      </c>
      <c r="L31" s="7">
        <v>1</v>
      </c>
      <c r="M31" s="7">
        <v>12</v>
      </c>
      <c r="N31" s="7">
        <v>4</v>
      </c>
      <c r="O31" s="7">
        <f t="shared" si="1"/>
        <v>17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7">
        <v>8241</v>
      </c>
      <c r="C32" s="7">
        <v>0</v>
      </c>
      <c r="D32" s="7">
        <v>1540</v>
      </c>
      <c r="E32" s="7">
        <v>227</v>
      </c>
      <c r="F32" s="7">
        <v>294</v>
      </c>
      <c r="G32" s="7">
        <v>321</v>
      </c>
      <c r="H32" s="7">
        <f t="shared" si="0"/>
        <v>10623</v>
      </c>
      <c r="I32" s="7">
        <v>0</v>
      </c>
      <c r="J32" s="11"/>
      <c r="K32" s="6">
        <v>27</v>
      </c>
      <c r="L32" s="7">
        <v>7</v>
      </c>
      <c r="M32" s="7">
        <v>21</v>
      </c>
      <c r="N32" s="7">
        <v>9</v>
      </c>
      <c r="O32" s="7">
        <f t="shared" si="1"/>
        <v>37</v>
      </c>
      <c r="P32" s="9">
        <f t="shared" si="2"/>
        <v>0</v>
      </c>
    </row>
    <row r="33" spans="1:16" ht="18" customHeight="1" thickTop="1" thickBot="1" x14ac:dyDescent="0.35">
      <c r="A33" s="6">
        <v>28</v>
      </c>
      <c r="B33" s="7">
        <v>9792</v>
      </c>
      <c r="C33" s="7">
        <v>0</v>
      </c>
      <c r="D33" s="7">
        <v>1159</v>
      </c>
      <c r="E33" s="7">
        <v>157</v>
      </c>
      <c r="F33" s="7">
        <v>186</v>
      </c>
      <c r="G33" s="7">
        <v>301</v>
      </c>
      <c r="H33" s="7">
        <f t="shared" si="0"/>
        <v>11595</v>
      </c>
      <c r="I33" s="7">
        <v>0</v>
      </c>
      <c r="J33" s="11"/>
      <c r="K33" s="6">
        <v>28</v>
      </c>
      <c r="L33" s="7">
        <v>6</v>
      </c>
      <c r="M33" s="7">
        <v>7</v>
      </c>
      <c r="N33" s="7">
        <v>5</v>
      </c>
      <c r="O33" s="7">
        <f t="shared" si="1"/>
        <v>18</v>
      </c>
      <c r="P33" s="9">
        <f t="shared" si="2"/>
        <v>0</v>
      </c>
    </row>
    <row r="34" spans="1:16" ht="18" customHeight="1" thickTop="1" thickBot="1" x14ac:dyDescent="0.35">
      <c r="A34" s="6">
        <v>29</v>
      </c>
      <c r="B34" s="7">
        <v>4178</v>
      </c>
      <c r="C34" s="7">
        <v>0</v>
      </c>
      <c r="D34" s="7">
        <v>1299</v>
      </c>
      <c r="E34" s="7">
        <v>259</v>
      </c>
      <c r="F34" s="7">
        <v>234</v>
      </c>
      <c r="G34" s="7">
        <v>406</v>
      </c>
      <c r="H34" s="7">
        <f t="shared" si="0"/>
        <v>6376</v>
      </c>
      <c r="I34" s="7">
        <v>0</v>
      </c>
      <c r="J34" s="11"/>
      <c r="K34" s="6">
        <v>29</v>
      </c>
      <c r="L34" s="7">
        <v>6</v>
      </c>
      <c r="M34" s="7">
        <v>10</v>
      </c>
      <c r="N34" s="7">
        <v>4</v>
      </c>
      <c r="O34" s="7">
        <f t="shared" si="1"/>
        <v>20</v>
      </c>
      <c r="P34" s="9">
        <f t="shared" si="2"/>
        <v>0</v>
      </c>
    </row>
    <row r="35" spans="1:16" ht="18" customHeight="1" thickTop="1" thickBot="1" x14ac:dyDescent="0.35">
      <c r="A35" s="6">
        <v>30</v>
      </c>
      <c r="B35" s="7">
        <v>3795</v>
      </c>
      <c r="C35" s="7">
        <v>0</v>
      </c>
      <c r="D35" s="7">
        <v>1553</v>
      </c>
      <c r="E35" s="7">
        <v>268</v>
      </c>
      <c r="F35" s="7">
        <v>275</v>
      </c>
      <c r="G35" s="7">
        <v>402</v>
      </c>
      <c r="H35" s="7">
        <f t="shared" si="0"/>
        <v>6293</v>
      </c>
      <c r="I35" s="7">
        <v>0</v>
      </c>
      <c r="J35" s="11"/>
      <c r="K35" s="6">
        <v>30</v>
      </c>
      <c r="L35" s="7">
        <v>1</v>
      </c>
      <c r="M35" s="7">
        <v>13</v>
      </c>
      <c r="N35" s="7">
        <v>3</v>
      </c>
      <c r="O35" s="7">
        <f t="shared" si="1"/>
        <v>17</v>
      </c>
      <c r="P35" s="9">
        <f t="shared" si="2"/>
        <v>0</v>
      </c>
    </row>
    <row r="36" spans="1:16" ht="18.75" customHeight="1" thickTop="1" thickBot="1" x14ac:dyDescent="0.35">
      <c r="A36" s="6">
        <v>31</v>
      </c>
      <c r="B36" s="7">
        <v>3908</v>
      </c>
      <c r="C36" s="7">
        <v>0</v>
      </c>
      <c r="D36" s="7">
        <v>1567</v>
      </c>
      <c r="E36" s="7">
        <v>289</v>
      </c>
      <c r="F36" s="7">
        <v>309</v>
      </c>
      <c r="G36" s="7">
        <v>420</v>
      </c>
      <c r="H36" s="7">
        <f t="shared" si="0"/>
        <v>6493</v>
      </c>
      <c r="I36" s="7">
        <v>0</v>
      </c>
      <c r="J36" s="11"/>
      <c r="K36" s="6">
        <v>31</v>
      </c>
      <c r="L36" s="15">
        <v>9</v>
      </c>
      <c r="M36" s="15">
        <v>12</v>
      </c>
      <c r="N36" s="15">
        <v>4</v>
      </c>
      <c r="O36" s="7">
        <f t="shared" si="1"/>
        <v>25</v>
      </c>
      <c r="P36" s="9">
        <f t="shared" si="2"/>
        <v>0</v>
      </c>
    </row>
    <row r="37" spans="1:16" ht="18" customHeight="1" thickTop="1" x14ac:dyDescent="0.3">
      <c r="A37" s="4" t="s">
        <v>20</v>
      </c>
      <c r="B37" s="16">
        <f>SUM(B6:B36)</f>
        <v>258271</v>
      </c>
      <c r="C37" s="16">
        <f t="shared" ref="C37:H37" si="3">SUM(C6:C36)</f>
        <v>0</v>
      </c>
      <c r="D37" s="16">
        <f t="shared" si="3"/>
        <v>45939</v>
      </c>
      <c r="E37" s="16">
        <f t="shared" si="3"/>
        <v>6871</v>
      </c>
      <c r="F37" s="16">
        <f t="shared" si="3"/>
        <v>7655</v>
      </c>
      <c r="G37" s="16">
        <f t="shared" si="3"/>
        <v>11847</v>
      </c>
      <c r="H37" s="16">
        <f t="shared" si="3"/>
        <v>330583</v>
      </c>
      <c r="I37" s="16">
        <f>SUM(I6:I33)</f>
        <v>0</v>
      </c>
      <c r="J37" s="16"/>
      <c r="K37" s="16"/>
      <c r="L37" s="16">
        <f>SUM(L6:L36)</f>
        <v>125</v>
      </c>
      <c r="M37" s="16">
        <f t="shared" ref="M37:O37" si="4">SUM(M6:M36)</f>
        <v>353</v>
      </c>
      <c r="N37" s="16">
        <f t="shared" si="4"/>
        <v>126</v>
      </c>
      <c r="O37" s="16">
        <f t="shared" si="4"/>
        <v>604</v>
      </c>
      <c r="P37" s="16">
        <f>SUM(P6:P36)</f>
        <v>18405</v>
      </c>
    </row>
    <row r="38" spans="1:16" ht="18" customHeight="1" x14ac:dyDescent="0.3">
      <c r="A38" s="4" t="s">
        <v>20</v>
      </c>
      <c r="B38" s="43">
        <f>+B37+C37</f>
        <v>258271</v>
      </c>
      <c r="C38" s="43"/>
      <c r="D38" s="16">
        <f>+D37</f>
        <v>45939</v>
      </c>
      <c r="E38" s="16">
        <f>+E37</f>
        <v>6871</v>
      </c>
      <c r="F38" s="16">
        <f>+F37</f>
        <v>7655</v>
      </c>
      <c r="G38" s="16">
        <f>+G37</f>
        <v>11847</v>
      </c>
      <c r="H38" s="16">
        <f>SUM(B38:G38)</f>
        <v>330583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6" x14ac:dyDescent="0.3">
      <c r="A39" s="27"/>
      <c r="B39" s="10"/>
      <c r="C39" s="10"/>
      <c r="D39" s="10"/>
      <c r="E39" s="10"/>
      <c r="F39" s="10"/>
      <c r="G39" s="5">
        <v>8626</v>
      </c>
      <c r="H39" s="10"/>
      <c r="I39" s="10"/>
      <c r="J39" s="10"/>
      <c r="K39" s="28"/>
      <c r="L39" s="10"/>
      <c r="M39" s="10"/>
      <c r="N39" s="10"/>
      <c r="O39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9324-6DD4-4A47-A281-F0364BF4D1AB}">
  <dimension ref="A1:Z38"/>
  <sheetViews>
    <sheetView topLeftCell="A18" workbookViewId="0">
      <selection activeCell="D11" sqref="D11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24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78" customHeight="1" x14ac:dyDescent="0.3">
      <c r="A4" s="46" t="s">
        <v>2</v>
      </c>
      <c r="B4" s="42" t="s">
        <v>3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3365</v>
      </c>
      <c r="C6" s="7">
        <v>0</v>
      </c>
      <c r="D6" s="7">
        <v>1715</v>
      </c>
      <c r="E6" s="7">
        <v>239</v>
      </c>
      <c r="F6" s="7">
        <v>297</v>
      </c>
      <c r="G6" s="7">
        <v>470</v>
      </c>
      <c r="H6" s="7">
        <f>SUM(B6:G6)</f>
        <v>6086</v>
      </c>
      <c r="I6" s="7">
        <v>0</v>
      </c>
      <c r="J6" s="8"/>
      <c r="K6" s="6">
        <v>1</v>
      </c>
      <c r="L6" s="7">
        <v>3</v>
      </c>
      <c r="M6" s="7">
        <v>13</v>
      </c>
      <c r="N6" s="7">
        <v>8</v>
      </c>
      <c r="O6" s="7">
        <f>SUM(L6:N6)</f>
        <v>24</v>
      </c>
      <c r="P6" s="9">
        <v>6135</v>
      </c>
    </row>
    <row r="7" spans="1:19" ht="18" customHeight="1" thickTop="1" thickBot="1" x14ac:dyDescent="0.35">
      <c r="A7" s="6">
        <v>2</v>
      </c>
      <c r="B7" s="7">
        <v>5177</v>
      </c>
      <c r="C7" s="7">
        <v>0</v>
      </c>
      <c r="D7" s="7">
        <v>1447</v>
      </c>
      <c r="E7" s="7">
        <v>233</v>
      </c>
      <c r="F7" s="7">
        <v>285</v>
      </c>
      <c r="G7" s="7">
        <v>362</v>
      </c>
      <c r="H7" s="7">
        <f t="shared" ref="H7:H36" si="0">SUM(B7:G7)</f>
        <v>7504</v>
      </c>
      <c r="I7" s="7">
        <v>0</v>
      </c>
      <c r="J7" s="8"/>
      <c r="K7" s="6">
        <v>2</v>
      </c>
      <c r="L7" s="7">
        <v>3</v>
      </c>
      <c r="M7" s="7">
        <v>16</v>
      </c>
      <c r="N7" s="7">
        <v>9</v>
      </c>
      <c r="O7" s="7">
        <f t="shared" ref="O7:O36" si="1">SUM(L7:N7)</f>
        <v>28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6200</v>
      </c>
      <c r="C8" s="7">
        <v>0</v>
      </c>
      <c r="D8" s="7">
        <v>1354</v>
      </c>
      <c r="E8" s="7">
        <v>189</v>
      </c>
      <c r="F8" s="7">
        <v>333</v>
      </c>
      <c r="G8" s="7">
        <v>362</v>
      </c>
      <c r="H8" s="7">
        <f t="shared" si="0"/>
        <v>8438</v>
      </c>
      <c r="I8" s="7">
        <v>0</v>
      </c>
      <c r="J8" s="8"/>
      <c r="K8" s="6">
        <v>3</v>
      </c>
      <c r="L8" s="7">
        <v>5</v>
      </c>
      <c r="M8" s="7">
        <v>23</v>
      </c>
      <c r="N8" s="7">
        <v>7</v>
      </c>
      <c r="O8" s="7">
        <f t="shared" si="1"/>
        <v>35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7386</v>
      </c>
      <c r="C9" s="7">
        <v>0</v>
      </c>
      <c r="D9" s="7">
        <v>981</v>
      </c>
      <c r="E9" s="7">
        <v>149</v>
      </c>
      <c r="F9" s="7">
        <v>159</v>
      </c>
      <c r="G9" s="7">
        <v>298</v>
      </c>
      <c r="H9" s="7">
        <f t="shared" si="0"/>
        <v>8973</v>
      </c>
      <c r="I9" s="7">
        <v>0</v>
      </c>
      <c r="J9" s="8"/>
      <c r="K9" s="6">
        <v>4</v>
      </c>
      <c r="L9" s="7">
        <v>3</v>
      </c>
      <c r="M9" s="7">
        <v>2</v>
      </c>
      <c r="N9" s="7">
        <v>2</v>
      </c>
      <c r="O9" s="7">
        <f t="shared" si="1"/>
        <v>7</v>
      </c>
      <c r="P9" s="9">
        <v>0</v>
      </c>
    </row>
    <row r="10" spans="1:19" ht="18" customHeight="1" thickTop="1" thickBot="1" x14ac:dyDescent="0.35">
      <c r="A10" s="6">
        <v>5</v>
      </c>
      <c r="B10" s="7">
        <v>3722</v>
      </c>
      <c r="C10" s="7">
        <v>0</v>
      </c>
      <c r="D10" s="7">
        <v>1277</v>
      </c>
      <c r="E10" s="7">
        <v>249</v>
      </c>
      <c r="F10" s="7">
        <v>243</v>
      </c>
      <c r="G10" s="7">
        <v>329</v>
      </c>
      <c r="H10" s="7">
        <f t="shared" si="0"/>
        <v>5820</v>
      </c>
      <c r="I10" s="7">
        <v>0</v>
      </c>
      <c r="J10" s="8"/>
      <c r="K10" s="6">
        <v>5</v>
      </c>
      <c r="L10" s="7">
        <v>1</v>
      </c>
      <c r="M10" s="7">
        <v>12</v>
      </c>
      <c r="N10" s="7">
        <v>0</v>
      </c>
      <c r="O10" s="7">
        <f t="shared" si="1"/>
        <v>13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3303</v>
      </c>
      <c r="C11" s="7">
        <v>0</v>
      </c>
      <c r="D11" s="7">
        <v>1550</v>
      </c>
      <c r="E11" s="7">
        <v>227</v>
      </c>
      <c r="F11" s="7">
        <v>270</v>
      </c>
      <c r="G11" s="7">
        <v>365</v>
      </c>
      <c r="H11" s="7">
        <f t="shared" si="0"/>
        <v>5715</v>
      </c>
      <c r="I11" s="7">
        <v>0</v>
      </c>
      <c r="J11" s="8"/>
      <c r="K11" s="6">
        <v>6</v>
      </c>
      <c r="L11" s="7">
        <v>2</v>
      </c>
      <c r="M11" s="7">
        <v>4</v>
      </c>
      <c r="N11" s="7">
        <v>4</v>
      </c>
      <c r="O11" s="7">
        <f t="shared" si="1"/>
        <v>10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3359</v>
      </c>
      <c r="C12" s="7">
        <v>0</v>
      </c>
      <c r="D12" s="7">
        <v>1620</v>
      </c>
      <c r="E12" s="7">
        <v>270</v>
      </c>
      <c r="F12" s="7">
        <v>325</v>
      </c>
      <c r="G12" s="7">
        <v>468</v>
      </c>
      <c r="H12" s="7">
        <f t="shared" si="0"/>
        <v>6042</v>
      </c>
      <c r="I12" s="7">
        <v>0</v>
      </c>
      <c r="J12" s="11"/>
      <c r="K12" s="6">
        <v>7</v>
      </c>
      <c r="L12" s="7">
        <v>3</v>
      </c>
      <c r="M12" s="7">
        <v>15</v>
      </c>
      <c r="N12" s="7">
        <v>2</v>
      </c>
      <c r="O12" s="7">
        <f t="shared" si="1"/>
        <v>20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3727</v>
      </c>
      <c r="C13" s="7">
        <v>0</v>
      </c>
      <c r="D13" s="7">
        <v>1590</v>
      </c>
      <c r="E13" s="7">
        <v>293</v>
      </c>
      <c r="F13" s="7">
        <v>336</v>
      </c>
      <c r="G13" s="7">
        <v>479</v>
      </c>
      <c r="H13" s="7">
        <f t="shared" si="0"/>
        <v>6425</v>
      </c>
      <c r="I13" s="7">
        <v>0</v>
      </c>
      <c r="J13" s="11"/>
      <c r="K13" s="6">
        <v>8</v>
      </c>
      <c r="L13" s="7">
        <v>9</v>
      </c>
      <c r="M13" s="7">
        <v>23</v>
      </c>
      <c r="N13" s="7">
        <v>4</v>
      </c>
      <c r="O13" s="7">
        <f t="shared" si="1"/>
        <v>36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5231</v>
      </c>
      <c r="C14" s="7">
        <v>0</v>
      </c>
      <c r="D14" s="7">
        <v>1506</v>
      </c>
      <c r="E14" s="7">
        <v>268</v>
      </c>
      <c r="F14" s="7">
        <v>284</v>
      </c>
      <c r="G14" s="7">
        <v>424</v>
      </c>
      <c r="H14" s="7">
        <f t="shared" si="0"/>
        <v>7713</v>
      </c>
      <c r="I14" s="7">
        <v>0</v>
      </c>
      <c r="J14" s="11"/>
      <c r="K14" s="6">
        <v>9</v>
      </c>
      <c r="L14" s="7">
        <v>4</v>
      </c>
      <c r="M14" s="7">
        <v>21</v>
      </c>
      <c r="N14" s="7">
        <v>5</v>
      </c>
      <c r="O14" s="7">
        <f t="shared" si="1"/>
        <v>30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4486</v>
      </c>
      <c r="C15" s="7">
        <v>0</v>
      </c>
      <c r="D15" s="7">
        <v>1077</v>
      </c>
      <c r="E15" s="7">
        <v>196</v>
      </c>
      <c r="F15" s="7">
        <v>254</v>
      </c>
      <c r="G15" s="7">
        <v>273</v>
      </c>
      <c r="H15" s="7">
        <f t="shared" si="0"/>
        <v>6286</v>
      </c>
      <c r="I15" s="7">
        <v>0</v>
      </c>
      <c r="J15" s="11"/>
      <c r="K15" s="6">
        <v>10</v>
      </c>
      <c r="L15" s="7">
        <v>4</v>
      </c>
      <c r="M15" s="7">
        <v>12</v>
      </c>
      <c r="N15" s="7">
        <v>5</v>
      </c>
      <c r="O15" s="7">
        <f t="shared" si="1"/>
        <v>21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7031</v>
      </c>
      <c r="C16" s="7">
        <v>0</v>
      </c>
      <c r="D16" s="7">
        <v>1017</v>
      </c>
      <c r="E16" s="7">
        <v>157</v>
      </c>
      <c r="F16" s="7">
        <v>154</v>
      </c>
      <c r="G16" s="7">
        <v>297</v>
      </c>
      <c r="H16" s="7">
        <f t="shared" si="0"/>
        <v>8656</v>
      </c>
      <c r="I16" s="7">
        <v>0</v>
      </c>
      <c r="J16" s="11"/>
      <c r="K16" s="6">
        <v>11</v>
      </c>
      <c r="L16" s="7">
        <v>2</v>
      </c>
      <c r="M16" s="7">
        <v>10</v>
      </c>
      <c r="N16" s="7">
        <v>0</v>
      </c>
      <c r="O16" s="7">
        <f t="shared" si="1"/>
        <v>12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3584</v>
      </c>
      <c r="C17" s="7">
        <v>0</v>
      </c>
      <c r="D17" s="7">
        <v>1263</v>
      </c>
      <c r="E17" s="7">
        <v>288</v>
      </c>
      <c r="F17" s="7">
        <v>242</v>
      </c>
      <c r="G17" s="7">
        <v>412</v>
      </c>
      <c r="H17" s="7">
        <f t="shared" si="0"/>
        <v>5789</v>
      </c>
      <c r="I17" s="7">
        <v>0</v>
      </c>
      <c r="J17" s="11"/>
      <c r="K17" s="6">
        <v>12</v>
      </c>
      <c r="L17" s="7">
        <v>9</v>
      </c>
      <c r="M17" s="7">
        <v>28</v>
      </c>
      <c r="N17" s="7">
        <v>4</v>
      </c>
      <c r="O17" s="7">
        <f t="shared" si="1"/>
        <v>41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3360</v>
      </c>
      <c r="C18" s="7">
        <v>0</v>
      </c>
      <c r="D18" s="7">
        <v>1564</v>
      </c>
      <c r="E18" s="7">
        <v>299</v>
      </c>
      <c r="F18" s="7">
        <v>281</v>
      </c>
      <c r="G18" s="7">
        <v>427</v>
      </c>
      <c r="H18" s="7">
        <f t="shared" si="0"/>
        <v>5931</v>
      </c>
      <c r="I18" s="7">
        <v>0</v>
      </c>
      <c r="J18" s="11"/>
      <c r="K18" s="6">
        <v>13</v>
      </c>
      <c r="L18" s="7">
        <v>5</v>
      </c>
      <c r="M18" s="7">
        <v>12</v>
      </c>
      <c r="N18" s="7">
        <v>3</v>
      </c>
      <c r="O18" s="7">
        <f t="shared" si="1"/>
        <v>20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3256</v>
      </c>
      <c r="C19" s="7">
        <v>0</v>
      </c>
      <c r="D19" s="7">
        <v>1556</v>
      </c>
      <c r="E19" s="7">
        <v>302</v>
      </c>
      <c r="F19" s="7">
        <v>356</v>
      </c>
      <c r="G19" s="7">
        <v>490</v>
      </c>
      <c r="H19" s="7">
        <f t="shared" si="0"/>
        <v>5960</v>
      </c>
      <c r="I19" s="7">
        <v>0</v>
      </c>
      <c r="J19" s="11"/>
      <c r="K19" s="6">
        <v>14</v>
      </c>
      <c r="L19" s="7">
        <v>6</v>
      </c>
      <c r="M19" s="7">
        <v>22</v>
      </c>
      <c r="N19" s="7">
        <v>6</v>
      </c>
      <c r="O19" s="7">
        <f t="shared" si="1"/>
        <v>34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3794</v>
      </c>
      <c r="C20" s="7">
        <v>0</v>
      </c>
      <c r="D20" s="7">
        <v>1605</v>
      </c>
      <c r="E20" s="7">
        <v>329</v>
      </c>
      <c r="F20" s="7">
        <v>304</v>
      </c>
      <c r="G20" s="7">
        <v>494</v>
      </c>
      <c r="H20" s="7">
        <f t="shared" si="0"/>
        <v>6526</v>
      </c>
      <c r="I20" s="7">
        <v>0</v>
      </c>
      <c r="J20" s="11"/>
      <c r="K20" s="6">
        <v>15</v>
      </c>
      <c r="L20" s="7">
        <v>8</v>
      </c>
      <c r="M20" s="7">
        <v>22</v>
      </c>
      <c r="N20" s="7">
        <v>5</v>
      </c>
      <c r="O20" s="7">
        <f t="shared" si="1"/>
        <v>35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5104</v>
      </c>
      <c r="C21" s="7">
        <v>0</v>
      </c>
      <c r="D21" s="7">
        <v>1478</v>
      </c>
      <c r="E21" s="7">
        <v>275</v>
      </c>
      <c r="F21" s="7">
        <v>275</v>
      </c>
      <c r="G21" s="7">
        <v>385</v>
      </c>
      <c r="H21" s="7">
        <f t="shared" si="0"/>
        <v>7517</v>
      </c>
      <c r="I21" s="7">
        <v>0</v>
      </c>
      <c r="J21" s="11"/>
      <c r="K21" s="6">
        <v>16</v>
      </c>
      <c r="L21" s="7">
        <v>6</v>
      </c>
      <c r="M21" s="7">
        <v>24</v>
      </c>
      <c r="N21" s="7">
        <v>3</v>
      </c>
      <c r="O21" s="7">
        <f t="shared" si="1"/>
        <v>33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5808</v>
      </c>
      <c r="C22" s="7">
        <v>0</v>
      </c>
      <c r="D22" s="7">
        <v>1340</v>
      </c>
      <c r="E22" s="7">
        <v>235</v>
      </c>
      <c r="F22" s="7">
        <v>294</v>
      </c>
      <c r="G22" s="7">
        <v>342</v>
      </c>
      <c r="H22" s="7">
        <f t="shared" si="0"/>
        <v>8019</v>
      </c>
      <c r="I22" s="7">
        <v>0</v>
      </c>
      <c r="J22" s="11"/>
      <c r="K22" s="6">
        <v>17</v>
      </c>
      <c r="L22" s="7">
        <v>4</v>
      </c>
      <c r="M22" s="7">
        <v>15</v>
      </c>
      <c r="N22" s="7">
        <v>2</v>
      </c>
      <c r="O22" s="7">
        <f t="shared" si="1"/>
        <v>21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7132</v>
      </c>
      <c r="C23" s="7">
        <v>0</v>
      </c>
      <c r="D23" s="7">
        <v>1020</v>
      </c>
      <c r="E23" s="7">
        <v>127</v>
      </c>
      <c r="F23" s="7">
        <v>169</v>
      </c>
      <c r="G23" s="7">
        <v>305</v>
      </c>
      <c r="H23" s="7">
        <f t="shared" si="0"/>
        <v>8753</v>
      </c>
      <c r="I23" s="7">
        <v>0</v>
      </c>
      <c r="J23" s="11"/>
      <c r="K23" s="6">
        <v>18</v>
      </c>
      <c r="L23" s="7">
        <v>2</v>
      </c>
      <c r="M23" s="7">
        <v>8</v>
      </c>
      <c r="N23" s="7">
        <v>2</v>
      </c>
      <c r="O23" s="7">
        <f t="shared" si="1"/>
        <v>12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3670</v>
      </c>
      <c r="C24" s="7">
        <v>0</v>
      </c>
      <c r="D24" s="7">
        <v>1233</v>
      </c>
      <c r="E24" s="7">
        <v>276</v>
      </c>
      <c r="F24" s="7">
        <v>233</v>
      </c>
      <c r="G24" s="7">
        <v>385</v>
      </c>
      <c r="H24" s="7">
        <f t="shared" si="0"/>
        <v>5797</v>
      </c>
      <c r="I24" s="7">
        <v>0</v>
      </c>
      <c r="J24" s="11"/>
      <c r="K24" s="6">
        <v>19</v>
      </c>
      <c r="L24" s="7">
        <v>7</v>
      </c>
      <c r="M24" s="7">
        <v>18</v>
      </c>
      <c r="N24" s="7">
        <v>2</v>
      </c>
      <c r="O24" s="7">
        <f t="shared" si="1"/>
        <v>27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3297</v>
      </c>
      <c r="C25" s="7">
        <v>0</v>
      </c>
      <c r="D25" s="7">
        <v>1532</v>
      </c>
      <c r="E25" s="7">
        <v>279</v>
      </c>
      <c r="F25" s="7">
        <v>281</v>
      </c>
      <c r="G25" s="7">
        <v>409</v>
      </c>
      <c r="H25" s="7">
        <f t="shared" si="0"/>
        <v>5798</v>
      </c>
      <c r="I25" s="7">
        <v>0</v>
      </c>
      <c r="J25" s="11"/>
      <c r="K25" s="6">
        <v>20</v>
      </c>
      <c r="L25" s="7">
        <v>2</v>
      </c>
      <c r="M25" s="7">
        <v>16</v>
      </c>
      <c r="N25" s="7">
        <v>3</v>
      </c>
      <c r="O25" s="7">
        <f t="shared" si="1"/>
        <v>21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3304</v>
      </c>
      <c r="C26" s="7">
        <v>0</v>
      </c>
      <c r="D26" s="7">
        <v>1570</v>
      </c>
      <c r="E26" s="7">
        <v>282</v>
      </c>
      <c r="F26" s="7">
        <v>326</v>
      </c>
      <c r="G26" s="7">
        <v>487</v>
      </c>
      <c r="H26" s="7">
        <f t="shared" si="0"/>
        <v>5969</v>
      </c>
      <c r="I26" s="7">
        <v>0</v>
      </c>
      <c r="J26" s="11"/>
      <c r="K26" s="6">
        <v>21</v>
      </c>
      <c r="L26" s="7">
        <v>8</v>
      </c>
      <c r="M26" s="7">
        <v>12</v>
      </c>
      <c r="N26" s="7">
        <v>6</v>
      </c>
      <c r="O26" s="7">
        <f t="shared" si="1"/>
        <v>26</v>
      </c>
      <c r="P26" s="9">
        <f t="shared" si="2"/>
        <v>0</v>
      </c>
    </row>
    <row r="27" spans="1:26" ht="18" customHeight="1" thickTop="1" thickBot="1" x14ac:dyDescent="0.35">
      <c r="A27" s="6">
        <v>22</v>
      </c>
      <c r="B27" s="7">
        <v>3661</v>
      </c>
      <c r="C27" s="7">
        <v>0</v>
      </c>
      <c r="D27" s="7">
        <v>1610</v>
      </c>
      <c r="E27" s="7">
        <v>274</v>
      </c>
      <c r="F27" s="7">
        <v>337</v>
      </c>
      <c r="G27" s="7">
        <v>500</v>
      </c>
      <c r="H27" s="7">
        <f t="shared" si="0"/>
        <v>6382</v>
      </c>
      <c r="I27" s="7">
        <v>0</v>
      </c>
      <c r="J27" s="11"/>
      <c r="K27" s="6">
        <v>22</v>
      </c>
      <c r="L27" s="7">
        <v>3</v>
      </c>
      <c r="M27" s="7">
        <v>18</v>
      </c>
      <c r="N27" s="7">
        <v>3</v>
      </c>
      <c r="O27" s="7">
        <f t="shared" si="1"/>
        <v>24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5121</v>
      </c>
      <c r="C28" s="7">
        <v>0</v>
      </c>
      <c r="D28" s="7">
        <v>1508</v>
      </c>
      <c r="E28" s="7">
        <v>225</v>
      </c>
      <c r="F28" s="7">
        <v>294</v>
      </c>
      <c r="G28" s="7">
        <v>364</v>
      </c>
      <c r="H28" s="7">
        <f t="shared" si="0"/>
        <v>7512</v>
      </c>
      <c r="I28" s="7">
        <v>0</v>
      </c>
      <c r="J28" s="11"/>
      <c r="K28" s="6">
        <v>23</v>
      </c>
      <c r="L28" s="7">
        <v>10</v>
      </c>
      <c r="M28" s="7">
        <v>8</v>
      </c>
      <c r="N28" s="7">
        <v>4</v>
      </c>
      <c r="O28" s="7">
        <f t="shared" si="1"/>
        <v>22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5655</v>
      </c>
      <c r="C29" s="7">
        <v>0</v>
      </c>
      <c r="D29" s="7">
        <v>1391</v>
      </c>
      <c r="E29" s="7">
        <v>231</v>
      </c>
      <c r="F29" s="7">
        <v>322</v>
      </c>
      <c r="G29" s="7">
        <v>371</v>
      </c>
      <c r="H29" s="7">
        <f t="shared" si="0"/>
        <v>7970</v>
      </c>
      <c r="I29" s="7">
        <v>0</v>
      </c>
      <c r="J29" s="11"/>
      <c r="K29" s="6">
        <v>24</v>
      </c>
      <c r="L29" s="7">
        <v>2</v>
      </c>
      <c r="M29" s="7">
        <v>7</v>
      </c>
      <c r="N29" s="7">
        <v>2</v>
      </c>
      <c r="O29" s="7">
        <f t="shared" si="1"/>
        <v>11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7270</v>
      </c>
      <c r="C30" s="7">
        <v>0</v>
      </c>
      <c r="D30" s="7">
        <v>1042</v>
      </c>
      <c r="E30" s="7">
        <v>202</v>
      </c>
      <c r="F30" s="7">
        <v>156</v>
      </c>
      <c r="G30" s="7">
        <v>297</v>
      </c>
      <c r="H30" s="7">
        <f t="shared" si="0"/>
        <v>8967</v>
      </c>
      <c r="I30" s="7">
        <v>0</v>
      </c>
      <c r="J30" s="11"/>
      <c r="K30" s="6">
        <v>25</v>
      </c>
      <c r="L30" s="7">
        <v>2</v>
      </c>
      <c r="M30" s="7">
        <v>4</v>
      </c>
      <c r="N30" s="7">
        <v>3</v>
      </c>
      <c r="O30" s="7">
        <f t="shared" si="1"/>
        <v>9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7">
        <v>3366</v>
      </c>
      <c r="C31" s="7">
        <v>0</v>
      </c>
      <c r="D31" s="7">
        <v>1291</v>
      </c>
      <c r="E31" s="7">
        <v>270</v>
      </c>
      <c r="F31" s="7">
        <v>236</v>
      </c>
      <c r="G31" s="7">
        <v>414</v>
      </c>
      <c r="H31" s="7">
        <f t="shared" si="0"/>
        <v>5577</v>
      </c>
      <c r="I31" s="7">
        <v>0</v>
      </c>
      <c r="J31" s="11"/>
      <c r="K31" s="6">
        <v>26</v>
      </c>
      <c r="L31" s="7">
        <v>4</v>
      </c>
      <c r="M31" s="7">
        <v>12</v>
      </c>
      <c r="N31" s="7">
        <v>5</v>
      </c>
      <c r="O31" s="7">
        <f t="shared" si="1"/>
        <v>21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7">
        <v>3228</v>
      </c>
      <c r="C32" s="7">
        <v>0</v>
      </c>
      <c r="D32" s="7">
        <v>1568</v>
      </c>
      <c r="E32" s="7">
        <v>268</v>
      </c>
      <c r="F32" s="7">
        <v>295</v>
      </c>
      <c r="G32" s="7">
        <v>451</v>
      </c>
      <c r="H32" s="7">
        <f t="shared" si="0"/>
        <v>5810</v>
      </c>
      <c r="I32" s="7">
        <v>0</v>
      </c>
      <c r="J32" s="11"/>
      <c r="K32" s="6">
        <v>27</v>
      </c>
      <c r="L32" s="7">
        <v>2</v>
      </c>
      <c r="M32" s="7">
        <v>17</v>
      </c>
      <c r="N32" s="7">
        <v>5</v>
      </c>
      <c r="O32" s="7">
        <f t="shared" si="1"/>
        <v>24</v>
      </c>
      <c r="P32" s="9">
        <f t="shared" si="2"/>
        <v>0</v>
      </c>
    </row>
    <row r="33" spans="1:16" ht="18" customHeight="1" thickTop="1" thickBot="1" x14ac:dyDescent="0.35">
      <c r="A33" s="6">
        <v>28</v>
      </c>
      <c r="B33" s="7">
        <v>3268</v>
      </c>
      <c r="C33" s="7">
        <v>0</v>
      </c>
      <c r="D33" s="7">
        <v>1632</v>
      </c>
      <c r="E33" s="7">
        <v>269</v>
      </c>
      <c r="F33" s="7">
        <v>341</v>
      </c>
      <c r="G33" s="7">
        <v>505</v>
      </c>
      <c r="H33" s="7">
        <f t="shared" si="0"/>
        <v>6015</v>
      </c>
      <c r="I33" s="7">
        <v>0</v>
      </c>
      <c r="J33" s="11"/>
      <c r="K33" s="6">
        <v>28</v>
      </c>
      <c r="L33" s="7">
        <v>4</v>
      </c>
      <c r="M33" s="7">
        <v>8</v>
      </c>
      <c r="N33" s="7">
        <v>9</v>
      </c>
      <c r="O33" s="7">
        <f t="shared" si="1"/>
        <v>21</v>
      </c>
      <c r="P33" s="9">
        <f t="shared" si="2"/>
        <v>0</v>
      </c>
    </row>
    <row r="34" spans="1:16" ht="18" customHeight="1" thickTop="1" thickBot="1" x14ac:dyDescent="0.35">
      <c r="A34" s="6">
        <v>29</v>
      </c>
      <c r="B34" s="7">
        <v>3626</v>
      </c>
      <c r="C34" s="7">
        <v>0</v>
      </c>
      <c r="D34" s="7">
        <v>1577</v>
      </c>
      <c r="E34" s="7">
        <v>289</v>
      </c>
      <c r="F34" s="7">
        <v>324</v>
      </c>
      <c r="G34" s="7">
        <v>505</v>
      </c>
      <c r="H34" s="7">
        <f t="shared" si="0"/>
        <v>6321</v>
      </c>
      <c r="I34" s="7">
        <v>0</v>
      </c>
      <c r="J34" s="11"/>
      <c r="K34" s="6">
        <v>29</v>
      </c>
      <c r="L34" s="7">
        <v>1</v>
      </c>
      <c r="M34" s="7">
        <v>19</v>
      </c>
      <c r="N34" s="7">
        <v>9</v>
      </c>
      <c r="O34" s="7">
        <f t="shared" si="1"/>
        <v>29</v>
      </c>
      <c r="P34" s="9">
        <f t="shared" si="2"/>
        <v>0</v>
      </c>
    </row>
    <row r="35" spans="1:16" ht="18" customHeight="1" thickTop="1" thickBot="1" x14ac:dyDescent="0.35">
      <c r="A35" s="6">
        <v>30</v>
      </c>
      <c r="B35" s="7"/>
      <c r="C35" s="7"/>
      <c r="D35" s="7"/>
      <c r="E35" s="7"/>
      <c r="F35" s="7"/>
      <c r="G35" s="7"/>
      <c r="H35" s="7">
        <f t="shared" si="0"/>
        <v>0</v>
      </c>
      <c r="I35" s="7">
        <v>0</v>
      </c>
      <c r="J35" s="11"/>
      <c r="K35" s="6">
        <v>30</v>
      </c>
      <c r="L35" s="7"/>
      <c r="M35" s="7"/>
      <c r="N35" s="7"/>
      <c r="O35" s="7">
        <f t="shared" si="1"/>
        <v>0</v>
      </c>
      <c r="P35" s="9">
        <f t="shared" si="2"/>
        <v>0</v>
      </c>
    </row>
    <row r="36" spans="1:16" ht="18.75" customHeight="1" thickTop="1" thickBot="1" x14ac:dyDescent="0.35">
      <c r="A36" s="6">
        <v>31</v>
      </c>
      <c r="B36" s="7"/>
      <c r="C36" s="7"/>
      <c r="D36" s="7"/>
      <c r="E36" s="7"/>
      <c r="F36" s="7"/>
      <c r="G36" s="7"/>
      <c r="H36" s="7">
        <f t="shared" si="0"/>
        <v>0</v>
      </c>
      <c r="I36" s="7">
        <v>0</v>
      </c>
      <c r="J36" s="11"/>
      <c r="K36" s="6">
        <v>31</v>
      </c>
      <c r="L36" s="15"/>
      <c r="M36" s="15"/>
      <c r="N36" s="15"/>
      <c r="O36" s="7">
        <f t="shared" si="1"/>
        <v>0</v>
      </c>
      <c r="P36" s="9">
        <f t="shared" si="2"/>
        <v>0</v>
      </c>
    </row>
    <row r="37" spans="1:16" ht="18" customHeight="1" thickTop="1" x14ac:dyDescent="0.3">
      <c r="A37" s="4" t="s">
        <v>20</v>
      </c>
      <c r="B37" s="16">
        <f>SUM(B6:B36)</f>
        <v>130491</v>
      </c>
      <c r="C37" s="16">
        <f t="shared" ref="C37:H37" si="3">SUM(C6:C36)</f>
        <v>0</v>
      </c>
      <c r="D37" s="16">
        <f t="shared" si="3"/>
        <v>40914</v>
      </c>
      <c r="E37" s="16">
        <f t="shared" si="3"/>
        <v>7190</v>
      </c>
      <c r="F37" s="16">
        <f t="shared" si="3"/>
        <v>8006</v>
      </c>
      <c r="G37" s="16">
        <f t="shared" si="3"/>
        <v>11670</v>
      </c>
      <c r="H37" s="16">
        <f t="shared" si="3"/>
        <v>198271</v>
      </c>
      <c r="I37" s="16">
        <f>SUM(I6:I33)</f>
        <v>0</v>
      </c>
      <c r="J37" s="16"/>
      <c r="K37" s="16"/>
      <c r="L37" s="16">
        <f>SUM(L6:L36)</f>
        <v>124</v>
      </c>
      <c r="M37" s="16">
        <f t="shared" ref="M37:O37" si="4">SUM(M6:M36)</f>
        <v>421</v>
      </c>
      <c r="N37" s="16">
        <f t="shared" si="4"/>
        <v>122</v>
      </c>
      <c r="O37" s="16">
        <f t="shared" si="4"/>
        <v>667</v>
      </c>
      <c r="P37" s="16">
        <f>SUM(P6:P36)</f>
        <v>18405</v>
      </c>
    </row>
    <row r="38" spans="1:16" ht="18" customHeight="1" x14ac:dyDescent="0.3">
      <c r="A38" s="4" t="s">
        <v>20</v>
      </c>
      <c r="B38" s="43">
        <f>+B37+C37</f>
        <v>130491</v>
      </c>
      <c r="C38" s="43"/>
      <c r="D38" s="16">
        <f>+D37</f>
        <v>40914</v>
      </c>
      <c r="E38" s="16">
        <f>+E37</f>
        <v>7190</v>
      </c>
      <c r="F38" s="16">
        <f>+F37</f>
        <v>8006</v>
      </c>
      <c r="G38" s="16">
        <f>+G37</f>
        <v>11670</v>
      </c>
      <c r="H38" s="16">
        <f>SUM(B38:G38)</f>
        <v>198271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0A6A-7375-4628-B811-B12E1CA331B2}">
  <dimension ref="A1:Z39"/>
  <sheetViews>
    <sheetView topLeftCell="A20" workbookViewId="0">
      <selection activeCell="B14" sqref="B14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25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78" customHeight="1" x14ac:dyDescent="0.3">
      <c r="A4" s="46" t="s">
        <v>2</v>
      </c>
      <c r="B4" s="42" t="s">
        <v>3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5347</v>
      </c>
      <c r="C6" s="7">
        <v>0</v>
      </c>
      <c r="D6" s="7">
        <v>1535</v>
      </c>
      <c r="E6" s="7">
        <v>267</v>
      </c>
      <c r="F6" s="7">
        <v>262</v>
      </c>
      <c r="G6" s="7">
        <v>433</v>
      </c>
      <c r="H6" s="7">
        <f>SUM(B6:G6)</f>
        <v>7844</v>
      </c>
      <c r="I6" s="7">
        <v>0</v>
      </c>
      <c r="J6" s="8"/>
      <c r="K6" s="6">
        <v>1</v>
      </c>
      <c r="L6" s="7">
        <v>7</v>
      </c>
      <c r="M6" s="7">
        <v>12</v>
      </c>
      <c r="N6" s="7">
        <v>6</v>
      </c>
      <c r="O6" s="7">
        <f>SUM(L6:N6)</f>
        <v>25</v>
      </c>
      <c r="P6" s="9">
        <v>6135</v>
      </c>
    </row>
    <row r="7" spans="1:19" ht="18" customHeight="1" thickTop="1" thickBot="1" x14ac:dyDescent="0.35">
      <c r="A7" s="6">
        <v>2</v>
      </c>
      <c r="B7" s="7">
        <v>5824</v>
      </c>
      <c r="C7" s="7">
        <v>0</v>
      </c>
      <c r="D7" s="7">
        <v>1341</v>
      </c>
      <c r="E7" s="7">
        <v>219</v>
      </c>
      <c r="F7" s="7">
        <v>305</v>
      </c>
      <c r="G7" s="7">
        <v>349</v>
      </c>
      <c r="H7" s="7">
        <f t="shared" ref="H7:H36" si="0">SUM(B7:G7)</f>
        <v>8038</v>
      </c>
      <c r="I7" s="7">
        <v>0</v>
      </c>
      <c r="J7" s="8"/>
      <c r="K7" s="6">
        <v>2</v>
      </c>
      <c r="L7" s="7">
        <v>5</v>
      </c>
      <c r="M7" s="7">
        <v>11</v>
      </c>
      <c r="N7" s="7">
        <v>3</v>
      </c>
      <c r="O7" s="7">
        <f t="shared" ref="O7:O36" si="1">SUM(L7:N7)</f>
        <v>19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7213</v>
      </c>
      <c r="C8" s="7">
        <v>0</v>
      </c>
      <c r="D8" s="7">
        <v>1049</v>
      </c>
      <c r="E8" s="7">
        <v>147</v>
      </c>
      <c r="F8" s="7">
        <v>149</v>
      </c>
      <c r="G8" s="7">
        <v>292</v>
      </c>
      <c r="H8" s="7">
        <f t="shared" si="0"/>
        <v>8850</v>
      </c>
      <c r="I8" s="7">
        <v>0</v>
      </c>
      <c r="J8" s="8"/>
      <c r="K8" s="6">
        <v>3</v>
      </c>
      <c r="L8" s="7">
        <v>7</v>
      </c>
      <c r="M8" s="7">
        <v>2</v>
      </c>
      <c r="N8" s="7">
        <v>3</v>
      </c>
      <c r="O8" s="7">
        <f t="shared" si="1"/>
        <v>12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3402</v>
      </c>
      <c r="C9" s="7">
        <v>0</v>
      </c>
      <c r="D9" s="7">
        <v>1306</v>
      </c>
      <c r="E9" s="7">
        <v>257</v>
      </c>
      <c r="F9" s="7">
        <v>209</v>
      </c>
      <c r="G9" s="7">
        <v>385</v>
      </c>
      <c r="H9" s="7">
        <f t="shared" si="0"/>
        <v>5559</v>
      </c>
      <c r="I9" s="7">
        <v>0</v>
      </c>
      <c r="J9" s="8"/>
      <c r="K9" s="6">
        <v>4</v>
      </c>
      <c r="L9" s="7">
        <v>7</v>
      </c>
      <c r="M9" s="7">
        <v>13</v>
      </c>
      <c r="N9" s="7">
        <v>3</v>
      </c>
      <c r="O9" s="7">
        <f t="shared" si="1"/>
        <v>23</v>
      </c>
      <c r="P9" s="9">
        <v>0</v>
      </c>
    </row>
    <row r="10" spans="1:19" ht="18" customHeight="1" thickTop="1" thickBot="1" x14ac:dyDescent="0.35">
      <c r="A10" s="6">
        <v>5</v>
      </c>
      <c r="B10" s="7">
        <v>3240</v>
      </c>
      <c r="C10" s="7">
        <v>0</v>
      </c>
      <c r="D10" s="7">
        <v>1542</v>
      </c>
      <c r="E10" s="7">
        <v>276</v>
      </c>
      <c r="F10" s="7">
        <v>280</v>
      </c>
      <c r="G10" s="7">
        <v>450</v>
      </c>
      <c r="H10" s="7">
        <f t="shared" si="0"/>
        <v>5788</v>
      </c>
      <c r="I10" s="7">
        <v>0</v>
      </c>
      <c r="J10" s="8"/>
      <c r="K10" s="6">
        <v>5</v>
      </c>
      <c r="L10" s="7">
        <v>3</v>
      </c>
      <c r="M10" s="7">
        <v>19</v>
      </c>
      <c r="N10" s="7">
        <v>5</v>
      </c>
      <c r="O10" s="7">
        <f t="shared" si="1"/>
        <v>27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3350</v>
      </c>
      <c r="C11" s="7">
        <v>0</v>
      </c>
      <c r="D11" s="7">
        <v>1664</v>
      </c>
      <c r="E11" s="7">
        <v>290</v>
      </c>
      <c r="F11" s="7">
        <v>305</v>
      </c>
      <c r="G11" s="7">
        <v>489</v>
      </c>
      <c r="H11" s="7">
        <f t="shared" si="0"/>
        <v>6098</v>
      </c>
      <c r="I11" s="7">
        <v>0</v>
      </c>
      <c r="J11" s="8"/>
      <c r="K11" s="6">
        <v>6</v>
      </c>
      <c r="L11" s="7">
        <v>7</v>
      </c>
      <c r="M11" s="7">
        <v>11</v>
      </c>
      <c r="N11" s="7">
        <v>7</v>
      </c>
      <c r="O11" s="7">
        <f t="shared" si="1"/>
        <v>25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3469</v>
      </c>
      <c r="C12" s="7">
        <v>0</v>
      </c>
      <c r="D12" s="7">
        <v>1617</v>
      </c>
      <c r="E12" s="7">
        <v>252</v>
      </c>
      <c r="F12" s="7">
        <v>325</v>
      </c>
      <c r="G12" s="7">
        <v>465</v>
      </c>
      <c r="H12" s="7">
        <f t="shared" si="0"/>
        <v>6128</v>
      </c>
      <c r="I12" s="7">
        <v>0</v>
      </c>
      <c r="J12" s="11"/>
      <c r="K12" s="6">
        <v>7</v>
      </c>
      <c r="L12" s="7">
        <v>0</v>
      </c>
      <c r="M12" s="7">
        <v>19</v>
      </c>
      <c r="N12" s="7">
        <v>9</v>
      </c>
      <c r="O12" s="7">
        <f t="shared" si="1"/>
        <v>28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4750</v>
      </c>
      <c r="C13" s="7">
        <v>0</v>
      </c>
      <c r="D13" s="7">
        <v>1511</v>
      </c>
      <c r="E13" s="7">
        <v>277</v>
      </c>
      <c r="F13" s="7">
        <v>292</v>
      </c>
      <c r="G13" s="7">
        <v>419</v>
      </c>
      <c r="H13" s="7">
        <f t="shared" si="0"/>
        <v>7249</v>
      </c>
      <c r="I13" s="7">
        <v>0</v>
      </c>
      <c r="J13" s="11"/>
      <c r="K13" s="6">
        <v>8</v>
      </c>
      <c r="L13" s="7">
        <v>1</v>
      </c>
      <c r="M13" s="7">
        <v>18</v>
      </c>
      <c r="N13" s="7">
        <v>2</v>
      </c>
      <c r="O13" s="7">
        <f t="shared" si="1"/>
        <v>21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5322</v>
      </c>
      <c r="C14" s="7">
        <v>0</v>
      </c>
      <c r="D14" s="7">
        <v>1362</v>
      </c>
      <c r="E14" s="7">
        <v>212</v>
      </c>
      <c r="F14" s="7">
        <v>331</v>
      </c>
      <c r="G14" s="7">
        <v>371</v>
      </c>
      <c r="H14" s="7">
        <f t="shared" si="0"/>
        <v>7598</v>
      </c>
      <c r="I14" s="7">
        <v>0</v>
      </c>
      <c r="J14" s="11"/>
      <c r="K14" s="6">
        <v>9</v>
      </c>
      <c r="L14" s="7">
        <v>6</v>
      </c>
      <c r="M14" s="7">
        <v>21</v>
      </c>
      <c r="N14" s="7">
        <v>9</v>
      </c>
      <c r="O14" s="7">
        <f t="shared" si="1"/>
        <v>36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6351</v>
      </c>
      <c r="C15" s="7">
        <v>0</v>
      </c>
      <c r="D15" s="7">
        <v>1013</v>
      </c>
      <c r="E15" s="7">
        <v>170</v>
      </c>
      <c r="F15" s="7">
        <v>146</v>
      </c>
      <c r="G15" s="7">
        <v>297</v>
      </c>
      <c r="H15" s="7">
        <f t="shared" si="0"/>
        <v>7977</v>
      </c>
      <c r="I15" s="7">
        <v>0</v>
      </c>
      <c r="J15" s="11"/>
      <c r="K15" s="6">
        <v>10</v>
      </c>
      <c r="L15" s="7">
        <v>2</v>
      </c>
      <c r="M15" s="7">
        <v>7</v>
      </c>
      <c r="N15" s="7">
        <v>5</v>
      </c>
      <c r="O15" s="7">
        <f t="shared" si="1"/>
        <v>14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3302</v>
      </c>
      <c r="C16" s="7">
        <v>0</v>
      </c>
      <c r="D16" s="7">
        <v>1342</v>
      </c>
      <c r="E16" s="7">
        <v>296</v>
      </c>
      <c r="F16" s="7">
        <v>244</v>
      </c>
      <c r="G16" s="7">
        <v>433</v>
      </c>
      <c r="H16" s="7">
        <f t="shared" si="0"/>
        <v>5617</v>
      </c>
      <c r="I16" s="7">
        <v>0</v>
      </c>
      <c r="J16" s="11"/>
      <c r="K16" s="6">
        <v>11</v>
      </c>
      <c r="L16" s="7">
        <v>3</v>
      </c>
      <c r="M16" s="7">
        <v>12</v>
      </c>
      <c r="N16" s="7">
        <v>4</v>
      </c>
      <c r="O16" s="7">
        <f t="shared" si="1"/>
        <v>19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3111</v>
      </c>
      <c r="C17" s="7">
        <v>0</v>
      </c>
      <c r="D17" s="7">
        <v>1559</v>
      </c>
      <c r="E17" s="7">
        <v>287</v>
      </c>
      <c r="F17" s="7">
        <v>293</v>
      </c>
      <c r="G17" s="7">
        <v>464</v>
      </c>
      <c r="H17" s="7">
        <f t="shared" si="0"/>
        <v>5714</v>
      </c>
      <c r="I17" s="7">
        <v>0</v>
      </c>
      <c r="J17" s="11"/>
      <c r="K17" s="6">
        <v>12</v>
      </c>
      <c r="L17" s="7">
        <v>3</v>
      </c>
      <c r="M17" s="7">
        <v>10</v>
      </c>
      <c r="N17" s="7">
        <v>6</v>
      </c>
      <c r="O17" s="7">
        <f t="shared" si="1"/>
        <v>19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3201</v>
      </c>
      <c r="C18" s="7">
        <v>0</v>
      </c>
      <c r="D18" s="7">
        <v>1661</v>
      </c>
      <c r="E18" s="7">
        <v>307</v>
      </c>
      <c r="F18" s="7">
        <v>318</v>
      </c>
      <c r="G18" s="7">
        <v>545</v>
      </c>
      <c r="H18" s="7">
        <f t="shared" si="0"/>
        <v>6032</v>
      </c>
      <c r="I18" s="7">
        <v>0</v>
      </c>
      <c r="J18" s="11"/>
      <c r="K18" s="6">
        <v>13</v>
      </c>
      <c r="L18" s="7">
        <v>2</v>
      </c>
      <c r="M18" s="7">
        <v>8</v>
      </c>
      <c r="N18" s="7">
        <v>7</v>
      </c>
      <c r="O18" s="7">
        <f t="shared" si="1"/>
        <v>17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3462</v>
      </c>
      <c r="C19" s="7">
        <v>0</v>
      </c>
      <c r="D19" s="7">
        <v>1691</v>
      </c>
      <c r="E19" s="7">
        <v>289</v>
      </c>
      <c r="F19" s="7">
        <v>316</v>
      </c>
      <c r="G19" s="7">
        <v>509</v>
      </c>
      <c r="H19" s="7">
        <f t="shared" si="0"/>
        <v>6267</v>
      </c>
      <c r="I19" s="7">
        <v>0</v>
      </c>
      <c r="J19" s="11"/>
      <c r="K19" s="6">
        <v>14</v>
      </c>
      <c r="L19" s="7">
        <v>6</v>
      </c>
      <c r="M19" s="7">
        <v>22</v>
      </c>
      <c r="N19" s="7">
        <v>7</v>
      </c>
      <c r="O19" s="7">
        <f t="shared" si="1"/>
        <v>35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4627</v>
      </c>
      <c r="C20" s="7">
        <v>0</v>
      </c>
      <c r="D20" s="7">
        <v>1573</v>
      </c>
      <c r="E20" s="7">
        <v>283</v>
      </c>
      <c r="F20" s="7">
        <v>296</v>
      </c>
      <c r="G20" s="7">
        <v>461</v>
      </c>
      <c r="H20" s="7">
        <f t="shared" si="0"/>
        <v>7240</v>
      </c>
      <c r="I20" s="7">
        <v>0</v>
      </c>
      <c r="J20" s="11"/>
      <c r="K20" s="6">
        <v>15</v>
      </c>
      <c r="L20" s="7">
        <v>7</v>
      </c>
      <c r="M20" s="7">
        <v>19</v>
      </c>
      <c r="N20" s="7">
        <v>10</v>
      </c>
      <c r="O20" s="7">
        <f t="shared" si="1"/>
        <v>36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5381</v>
      </c>
      <c r="C21" s="7">
        <v>0</v>
      </c>
      <c r="D21" s="7">
        <v>1396</v>
      </c>
      <c r="E21" s="7">
        <v>246</v>
      </c>
      <c r="F21" s="7">
        <v>325</v>
      </c>
      <c r="G21" s="7">
        <v>417</v>
      </c>
      <c r="H21" s="7">
        <f t="shared" si="0"/>
        <v>7765</v>
      </c>
      <c r="I21" s="7">
        <v>0</v>
      </c>
      <c r="J21" s="11"/>
      <c r="K21" s="6">
        <v>16</v>
      </c>
      <c r="L21" s="7">
        <v>5</v>
      </c>
      <c r="M21" s="7">
        <v>16</v>
      </c>
      <c r="N21" s="7">
        <v>4</v>
      </c>
      <c r="O21" s="7">
        <f t="shared" si="1"/>
        <v>25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6276</v>
      </c>
      <c r="C22" s="7">
        <v>0</v>
      </c>
      <c r="D22" s="7">
        <v>1112</v>
      </c>
      <c r="E22" s="7">
        <v>165</v>
      </c>
      <c r="F22" s="7">
        <v>156</v>
      </c>
      <c r="G22" s="7">
        <v>293</v>
      </c>
      <c r="H22" s="7">
        <f t="shared" si="0"/>
        <v>8002</v>
      </c>
      <c r="I22" s="7">
        <v>0</v>
      </c>
      <c r="J22" s="11"/>
      <c r="K22" s="6">
        <v>17</v>
      </c>
      <c r="L22" s="7">
        <v>0</v>
      </c>
      <c r="M22" s="7">
        <v>7</v>
      </c>
      <c r="N22" s="7">
        <v>3</v>
      </c>
      <c r="O22" s="7">
        <f t="shared" si="1"/>
        <v>10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3510</v>
      </c>
      <c r="C23" s="7">
        <v>0</v>
      </c>
      <c r="D23" s="7">
        <v>1368</v>
      </c>
      <c r="E23" s="7">
        <v>305</v>
      </c>
      <c r="F23" s="7">
        <v>246</v>
      </c>
      <c r="G23" s="7">
        <v>431</v>
      </c>
      <c r="H23" s="7">
        <f t="shared" si="0"/>
        <v>5860</v>
      </c>
      <c r="I23" s="7">
        <v>0</v>
      </c>
      <c r="J23" s="11"/>
      <c r="K23" s="6">
        <v>18</v>
      </c>
      <c r="L23" s="7">
        <v>3</v>
      </c>
      <c r="M23" s="7">
        <v>19</v>
      </c>
      <c r="N23" s="7">
        <v>6</v>
      </c>
      <c r="O23" s="7">
        <f t="shared" si="1"/>
        <v>28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3292</v>
      </c>
      <c r="C24" s="7">
        <v>0</v>
      </c>
      <c r="D24" s="7">
        <v>1703</v>
      </c>
      <c r="E24" s="7">
        <v>297</v>
      </c>
      <c r="F24" s="7">
        <v>328</v>
      </c>
      <c r="G24" s="7">
        <v>505</v>
      </c>
      <c r="H24" s="7">
        <f t="shared" si="0"/>
        <v>6125</v>
      </c>
      <c r="I24" s="7">
        <v>0</v>
      </c>
      <c r="J24" s="11"/>
      <c r="K24" s="6">
        <v>19</v>
      </c>
      <c r="L24" s="7">
        <v>3</v>
      </c>
      <c r="M24" s="7">
        <v>10</v>
      </c>
      <c r="N24" s="7">
        <v>1</v>
      </c>
      <c r="O24" s="7">
        <f t="shared" si="1"/>
        <v>14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3551</v>
      </c>
      <c r="C25" s="7">
        <v>0</v>
      </c>
      <c r="D25" s="7">
        <v>1693</v>
      </c>
      <c r="E25" s="7">
        <v>339</v>
      </c>
      <c r="F25" s="7">
        <v>342</v>
      </c>
      <c r="G25" s="7">
        <v>610</v>
      </c>
      <c r="H25" s="7">
        <f t="shared" si="0"/>
        <v>6535</v>
      </c>
      <c r="I25" s="7">
        <v>0</v>
      </c>
      <c r="J25" s="11"/>
      <c r="K25" s="6">
        <v>20</v>
      </c>
      <c r="L25" s="7">
        <v>2</v>
      </c>
      <c r="M25" s="7">
        <v>21</v>
      </c>
      <c r="N25" s="7">
        <v>4</v>
      </c>
      <c r="O25" s="7">
        <f t="shared" si="1"/>
        <v>27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4345</v>
      </c>
      <c r="C26" s="7">
        <v>0</v>
      </c>
      <c r="D26" s="7">
        <v>1767</v>
      </c>
      <c r="E26" s="7">
        <v>301</v>
      </c>
      <c r="F26" s="7">
        <v>350</v>
      </c>
      <c r="G26" s="7">
        <v>574</v>
      </c>
      <c r="H26" s="7">
        <f t="shared" si="0"/>
        <v>7337</v>
      </c>
      <c r="I26" s="7">
        <v>0</v>
      </c>
      <c r="J26" s="11"/>
      <c r="K26" s="6">
        <v>21</v>
      </c>
      <c r="L26" s="7">
        <v>2</v>
      </c>
      <c r="M26" s="7">
        <v>18</v>
      </c>
      <c r="N26" s="7">
        <v>8</v>
      </c>
      <c r="O26" s="7">
        <f t="shared" si="1"/>
        <v>28</v>
      </c>
      <c r="P26" s="9">
        <f t="shared" si="2"/>
        <v>0</v>
      </c>
    </row>
    <row r="27" spans="1:26" ht="18" customHeight="1" thickTop="1" thickBot="1" x14ac:dyDescent="0.35">
      <c r="A27" s="6">
        <v>22</v>
      </c>
      <c r="B27" s="7">
        <v>7364</v>
      </c>
      <c r="C27" s="7">
        <v>0</v>
      </c>
      <c r="D27" s="7">
        <v>1733</v>
      </c>
      <c r="E27" s="7">
        <v>259</v>
      </c>
      <c r="F27" s="7">
        <v>337</v>
      </c>
      <c r="G27" s="7">
        <v>452</v>
      </c>
      <c r="H27" s="7">
        <f t="shared" si="0"/>
        <v>10145</v>
      </c>
      <c r="I27" s="7">
        <v>0</v>
      </c>
      <c r="J27" s="11"/>
      <c r="K27" s="6">
        <v>22</v>
      </c>
      <c r="L27" s="7">
        <v>5</v>
      </c>
      <c r="M27" s="7">
        <v>27</v>
      </c>
      <c r="N27" s="7">
        <v>7</v>
      </c>
      <c r="O27" s="7">
        <f t="shared" si="1"/>
        <v>39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13927</v>
      </c>
      <c r="C28" s="7">
        <v>0</v>
      </c>
      <c r="D28" s="7">
        <v>1541</v>
      </c>
      <c r="E28" s="7">
        <v>187</v>
      </c>
      <c r="F28" s="7">
        <v>309</v>
      </c>
      <c r="G28" s="7">
        <v>317</v>
      </c>
      <c r="H28" s="7">
        <f t="shared" si="0"/>
        <v>16281</v>
      </c>
      <c r="I28" s="7">
        <v>0</v>
      </c>
      <c r="J28" s="11"/>
      <c r="K28" s="6">
        <v>23</v>
      </c>
      <c r="L28" s="7">
        <v>0</v>
      </c>
      <c r="M28" s="7">
        <v>19</v>
      </c>
      <c r="N28" s="7">
        <v>2</v>
      </c>
      <c r="O28" s="7">
        <f t="shared" si="1"/>
        <v>21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10482</v>
      </c>
      <c r="C29" s="7">
        <v>0</v>
      </c>
      <c r="D29" s="7">
        <v>1291</v>
      </c>
      <c r="E29" s="7">
        <v>177</v>
      </c>
      <c r="F29" s="7">
        <v>188</v>
      </c>
      <c r="G29" s="7">
        <v>341</v>
      </c>
      <c r="H29" s="7">
        <f t="shared" si="0"/>
        <v>12479</v>
      </c>
      <c r="I29" s="7">
        <v>0</v>
      </c>
      <c r="J29" s="11"/>
      <c r="K29" s="6">
        <v>24</v>
      </c>
      <c r="L29" s="7">
        <v>7</v>
      </c>
      <c r="M29" s="7">
        <v>18</v>
      </c>
      <c r="N29" s="7">
        <v>2</v>
      </c>
      <c r="O29" s="7">
        <f t="shared" si="1"/>
        <v>27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9460</v>
      </c>
      <c r="C30" s="7">
        <v>0</v>
      </c>
      <c r="D30" s="7">
        <v>863</v>
      </c>
      <c r="E30" s="7">
        <v>88</v>
      </c>
      <c r="F30" s="7">
        <v>102</v>
      </c>
      <c r="G30" s="7">
        <v>147</v>
      </c>
      <c r="H30" s="7">
        <f t="shared" si="0"/>
        <v>10660</v>
      </c>
      <c r="I30" s="7">
        <v>0</v>
      </c>
      <c r="J30" s="11"/>
      <c r="K30" s="6">
        <v>25</v>
      </c>
      <c r="L30" s="7">
        <v>0</v>
      </c>
      <c r="M30" s="7">
        <v>5</v>
      </c>
      <c r="N30" s="7">
        <v>1</v>
      </c>
      <c r="O30" s="7">
        <f t="shared" si="1"/>
        <v>6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7">
        <v>6659</v>
      </c>
      <c r="C31" s="7">
        <v>0</v>
      </c>
      <c r="D31" s="7">
        <v>1314</v>
      </c>
      <c r="E31" s="7">
        <v>213</v>
      </c>
      <c r="F31" s="7">
        <v>225</v>
      </c>
      <c r="G31" s="7">
        <v>324</v>
      </c>
      <c r="H31" s="7">
        <f t="shared" si="0"/>
        <v>8735</v>
      </c>
      <c r="I31" s="7">
        <v>0</v>
      </c>
      <c r="J31" s="11"/>
      <c r="K31" s="6">
        <v>26</v>
      </c>
      <c r="L31" s="7">
        <v>2</v>
      </c>
      <c r="M31" s="7">
        <v>14</v>
      </c>
      <c r="N31" s="7">
        <v>5</v>
      </c>
      <c r="O31" s="7">
        <f t="shared" si="1"/>
        <v>21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7">
        <v>10208</v>
      </c>
      <c r="C32" s="7">
        <v>0</v>
      </c>
      <c r="D32" s="7">
        <v>1362</v>
      </c>
      <c r="E32" s="7">
        <v>168</v>
      </c>
      <c r="F32" s="7">
        <v>234</v>
      </c>
      <c r="G32" s="7">
        <v>256</v>
      </c>
      <c r="H32" s="7">
        <f t="shared" si="0"/>
        <v>12228</v>
      </c>
      <c r="I32" s="7">
        <v>0</v>
      </c>
      <c r="J32" s="11"/>
      <c r="K32" s="6">
        <v>27</v>
      </c>
      <c r="L32" s="7">
        <v>0</v>
      </c>
      <c r="M32" s="7">
        <v>12</v>
      </c>
      <c r="N32" s="7">
        <v>1</v>
      </c>
      <c r="O32" s="7">
        <f t="shared" si="1"/>
        <v>13</v>
      </c>
      <c r="P32" s="9">
        <f t="shared" si="2"/>
        <v>0</v>
      </c>
    </row>
    <row r="33" spans="1:16" ht="18" customHeight="1" thickTop="1" thickBot="1" x14ac:dyDescent="0.35">
      <c r="A33" s="6">
        <v>28</v>
      </c>
      <c r="B33" s="7">
        <v>11202</v>
      </c>
      <c r="C33" s="7">
        <v>0</v>
      </c>
      <c r="D33" s="7">
        <v>993</v>
      </c>
      <c r="E33" s="7">
        <v>95</v>
      </c>
      <c r="F33" s="7">
        <v>142</v>
      </c>
      <c r="G33" s="7">
        <v>188</v>
      </c>
      <c r="H33" s="7">
        <f t="shared" si="0"/>
        <v>12620</v>
      </c>
      <c r="I33" s="7">
        <v>0</v>
      </c>
      <c r="J33" s="11"/>
      <c r="K33" s="6">
        <v>28</v>
      </c>
      <c r="L33" s="7">
        <v>0</v>
      </c>
      <c r="M33" s="7">
        <v>6</v>
      </c>
      <c r="N33" s="7">
        <v>1</v>
      </c>
      <c r="O33" s="7">
        <f t="shared" si="1"/>
        <v>7</v>
      </c>
      <c r="P33" s="9">
        <f t="shared" si="2"/>
        <v>0</v>
      </c>
    </row>
    <row r="34" spans="1:16" ht="18" customHeight="1" thickTop="1" thickBot="1" x14ac:dyDescent="0.35">
      <c r="A34" s="6">
        <v>29</v>
      </c>
      <c r="B34" s="7">
        <v>6525</v>
      </c>
      <c r="C34" s="7">
        <v>0</v>
      </c>
      <c r="D34" s="7">
        <v>607</v>
      </c>
      <c r="E34" s="7">
        <v>92</v>
      </c>
      <c r="F34" s="7">
        <v>80</v>
      </c>
      <c r="G34" s="7">
        <v>124</v>
      </c>
      <c r="H34" s="7">
        <f t="shared" si="0"/>
        <v>7428</v>
      </c>
      <c r="I34" s="7">
        <v>0</v>
      </c>
      <c r="J34" s="11"/>
      <c r="K34" s="6">
        <v>29</v>
      </c>
      <c r="L34" s="7">
        <v>4</v>
      </c>
      <c r="M34" s="7">
        <v>0</v>
      </c>
      <c r="N34" s="7">
        <v>0</v>
      </c>
      <c r="O34" s="7">
        <f t="shared" si="1"/>
        <v>4</v>
      </c>
      <c r="P34" s="9">
        <f t="shared" si="2"/>
        <v>0</v>
      </c>
    </row>
    <row r="35" spans="1:16" ht="18" customHeight="1" thickTop="1" thickBot="1" x14ac:dyDescent="0.35">
      <c r="A35" s="6">
        <v>30</v>
      </c>
      <c r="B35" s="7">
        <v>14999</v>
      </c>
      <c r="C35" s="7">
        <v>0</v>
      </c>
      <c r="D35" s="7">
        <v>742</v>
      </c>
      <c r="E35" s="7">
        <v>51</v>
      </c>
      <c r="F35" s="7">
        <v>85</v>
      </c>
      <c r="G35" s="7">
        <v>169</v>
      </c>
      <c r="H35" s="7">
        <f t="shared" si="0"/>
        <v>16046</v>
      </c>
      <c r="I35" s="7">
        <v>0</v>
      </c>
      <c r="J35" s="11"/>
      <c r="K35" s="6">
        <v>30</v>
      </c>
      <c r="L35" s="7">
        <v>3</v>
      </c>
      <c r="M35" s="7">
        <v>3</v>
      </c>
      <c r="N35" s="7">
        <v>0</v>
      </c>
      <c r="O35" s="7">
        <f t="shared" si="1"/>
        <v>6</v>
      </c>
      <c r="P35" s="9">
        <f t="shared" si="2"/>
        <v>0</v>
      </c>
    </row>
    <row r="36" spans="1:16" ht="18.75" customHeight="1" thickTop="1" thickBot="1" x14ac:dyDescent="0.35">
      <c r="A36" s="6">
        <v>31</v>
      </c>
      <c r="B36" s="7">
        <v>16201</v>
      </c>
      <c r="C36" s="7">
        <v>0</v>
      </c>
      <c r="D36" s="7">
        <v>885</v>
      </c>
      <c r="E36" s="7">
        <v>61</v>
      </c>
      <c r="F36" s="7">
        <v>67</v>
      </c>
      <c r="G36" s="7">
        <v>126</v>
      </c>
      <c r="H36" s="7">
        <f t="shared" si="0"/>
        <v>17340</v>
      </c>
      <c r="I36" s="7">
        <v>0</v>
      </c>
      <c r="J36" s="11"/>
      <c r="K36" s="6">
        <v>31</v>
      </c>
      <c r="L36" s="15">
        <v>3</v>
      </c>
      <c r="M36" s="15">
        <v>3</v>
      </c>
      <c r="N36" s="15">
        <v>1</v>
      </c>
      <c r="O36" s="7">
        <f t="shared" si="1"/>
        <v>7</v>
      </c>
      <c r="P36" s="9">
        <f t="shared" si="2"/>
        <v>0</v>
      </c>
    </row>
    <row r="37" spans="1:16" ht="18" customHeight="1" thickTop="1" x14ac:dyDescent="0.3">
      <c r="A37" s="4" t="s">
        <v>20</v>
      </c>
      <c r="B37" s="16">
        <f>SUM(B6:B36)</f>
        <v>199353</v>
      </c>
      <c r="C37" s="16">
        <f t="shared" ref="C37:H37" si="3">SUM(C6:C36)</f>
        <v>0</v>
      </c>
      <c r="D37" s="16">
        <f t="shared" si="3"/>
        <v>42136</v>
      </c>
      <c r="E37" s="16">
        <f t="shared" si="3"/>
        <v>6873</v>
      </c>
      <c r="F37" s="16">
        <f t="shared" si="3"/>
        <v>7587</v>
      </c>
      <c r="G37" s="16">
        <f t="shared" si="3"/>
        <v>11636</v>
      </c>
      <c r="H37" s="16">
        <f t="shared" si="3"/>
        <v>267585</v>
      </c>
      <c r="I37" s="16">
        <f>SUM(I6:I33)</f>
        <v>0</v>
      </c>
      <c r="J37" s="16"/>
      <c r="K37" s="16"/>
      <c r="L37" s="16">
        <f>SUM(L6:L36)</f>
        <v>105</v>
      </c>
      <c r="M37" s="16">
        <f>SUM(M6:M36)</f>
        <v>402</v>
      </c>
      <c r="N37" s="16">
        <f>SUM(N6:N36)</f>
        <v>132</v>
      </c>
      <c r="O37" s="16">
        <f>SUM(O6:O36)</f>
        <v>639</v>
      </c>
      <c r="P37" s="16">
        <f>SUM(P6:P36)</f>
        <v>18405</v>
      </c>
    </row>
    <row r="38" spans="1:16" ht="18" customHeight="1" x14ac:dyDescent="0.3">
      <c r="A38" s="4" t="s">
        <v>20</v>
      </c>
      <c r="B38" s="43">
        <f>+B37+C37</f>
        <v>199353</v>
      </c>
      <c r="C38" s="43"/>
      <c r="D38" s="16">
        <f>+D37</f>
        <v>42136</v>
      </c>
      <c r="E38" s="16">
        <f>+E37</f>
        <v>6873</v>
      </c>
      <c r="F38" s="16">
        <f>+F37</f>
        <v>7587</v>
      </c>
      <c r="G38" s="16">
        <f>+G37</f>
        <v>11636</v>
      </c>
      <c r="H38" s="16">
        <f>SUM(B38:G38)</f>
        <v>267585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6" x14ac:dyDescent="0.3">
      <c r="A39" s="27"/>
      <c r="B39" s="10"/>
      <c r="C39" s="10"/>
      <c r="D39" s="10"/>
      <c r="E39" s="10"/>
      <c r="F39" s="10"/>
      <c r="H39" s="10"/>
      <c r="I39" s="10"/>
      <c r="J39" s="10"/>
      <c r="K39" s="28"/>
      <c r="L39" s="10"/>
      <c r="M39" s="10"/>
      <c r="N39" s="10"/>
      <c r="O39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6F86-F268-4B9D-B11F-FD842ACD361E}">
  <dimension ref="A1:Z39"/>
  <sheetViews>
    <sheetView topLeftCell="A20" workbookViewId="0">
      <selection activeCell="C43" sqref="C43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26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78" customHeight="1" x14ac:dyDescent="0.3">
      <c r="A4" s="46" t="s">
        <v>2</v>
      </c>
      <c r="B4" s="42" t="s">
        <v>3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5353</v>
      </c>
      <c r="C6" s="7">
        <v>0</v>
      </c>
      <c r="D6" s="7">
        <v>1423</v>
      </c>
      <c r="E6" s="7">
        <v>245</v>
      </c>
      <c r="F6" s="7">
        <v>201</v>
      </c>
      <c r="G6" s="7">
        <v>469</v>
      </c>
      <c r="H6" s="7">
        <f>SUM(B6:G6)</f>
        <v>7691</v>
      </c>
      <c r="I6" s="7">
        <v>0</v>
      </c>
      <c r="J6" s="8"/>
      <c r="K6" s="6">
        <v>1</v>
      </c>
      <c r="L6" s="7">
        <v>2</v>
      </c>
      <c r="M6" s="7">
        <v>18</v>
      </c>
      <c r="N6" s="7">
        <v>2</v>
      </c>
      <c r="O6" s="7">
        <f>SUM(L6:N6)</f>
        <v>22</v>
      </c>
      <c r="P6" s="9">
        <v>6135</v>
      </c>
    </row>
    <row r="7" spans="1:19" ht="18" customHeight="1" thickTop="1" thickBot="1" x14ac:dyDescent="0.35">
      <c r="A7" s="6">
        <v>2</v>
      </c>
      <c r="B7" s="7">
        <v>3737</v>
      </c>
      <c r="C7" s="7">
        <v>0</v>
      </c>
      <c r="D7" s="7">
        <v>1511</v>
      </c>
      <c r="E7" s="7">
        <v>263</v>
      </c>
      <c r="F7" s="7">
        <v>309</v>
      </c>
      <c r="G7" s="7">
        <v>502</v>
      </c>
      <c r="H7" s="7">
        <f t="shared" ref="H7:H36" si="0">SUM(B7:G7)</f>
        <v>6322</v>
      </c>
      <c r="I7" s="7">
        <v>0</v>
      </c>
      <c r="J7" s="8"/>
      <c r="K7" s="6">
        <v>2</v>
      </c>
      <c r="L7" s="7">
        <v>5</v>
      </c>
      <c r="M7" s="7">
        <v>15</v>
      </c>
      <c r="N7" s="7">
        <v>2</v>
      </c>
      <c r="O7" s="7">
        <f t="shared" ref="O7:O36" si="1">SUM(L7:N7)</f>
        <v>22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3393</v>
      </c>
      <c r="C8" s="7">
        <v>0</v>
      </c>
      <c r="D8" s="7">
        <v>1714</v>
      </c>
      <c r="E8" s="7">
        <v>292</v>
      </c>
      <c r="F8" s="7">
        <v>325</v>
      </c>
      <c r="G8" s="7">
        <v>484</v>
      </c>
      <c r="H8" s="7">
        <f t="shared" si="0"/>
        <v>6208</v>
      </c>
      <c r="I8" s="7">
        <v>0</v>
      </c>
      <c r="J8" s="8"/>
      <c r="K8" s="6">
        <v>3</v>
      </c>
      <c r="L8" s="7">
        <v>4</v>
      </c>
      <c r="M8" s="7">
        <v>23</v>
      </c>
      <c r="N8" s="7">
        <v>3</v>
      </c>
      <c r="O8" s="7">
        <f t="shared" si="1"/>
        <v>30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3546</v>
      </c>
      <c r="C9" s="7">
        <v>0</v>
      </c>
      <c r="D9" s="7">
        <v>1679</v>
      </c>
      <c r="E9" s="7">
        <v>318</v>
      </c>
      <c r="F9" s="7">
        <v>321</v>
      </c>
      <c r="G9" s="7">
        <v>515</v>
      </c>
      <c r="H9" s="7">
        <f t="shared" si="0"/>
        <v>6379</v>
      </c>
      <c r="I9" s="7">
        <v>0</v>
      </c>
      <c r="J9" s="8"/>
      <c r="K9" s="6">
        <v>4</v>
      </c>
      <c r="L9" s="7">
        <v>1</v>
      </c>
      <c r="M9" s="7">
        <v>17</v>
      </c>
      <c r="N9" s="7">
        <v>1</v>
      </c>
      <c r="O9" s="7">
        <f t="shared" si="1"/>
        <v>19</v>
      </c>
      <c r="P9" s="9">
        <v>0</v>
      </c>
    </row>
    <row r="10" spans="1:19" ht="18" customHeight="1" thickTop="1" thickBot="1" x14ac:dyDescent="0.35">
      <c r="A10" s="6">
        <v>5</v>
      </c>
      <c r="B10" s="7">
        <v>4298</v>
      </c>
      <c r="C10" s="7">
        <v>0</v>
      </c>
      <c r="D10" s="7">
        <v>1637</v>
      </c>
      <c r="E10" s="7">
        <v>269</v>
      </c>
      <c r="F10" s="7">
        <v>307</v>
      </c>
      <c r="G10" s="7">
        <v>462</v>
      </c>
      <c r="H10" s="7">
        <f t="shared" si="0"/>
        <v>6973</v>
      </c>
      <c r="I10" s="7">
        <v>0</v>
      </c>
      <c r="J10" s="8"/>
      <c r="K10" s="6">
        <v>5</v>
      </c>
      <c r="L10" s="7">
        <v>1</v>
      </c>
      <c r="M10" s="7">
        <v>12</v>
      </c>
      <c r="N10" s="7">
        <v>2</v>
      </c>
      <c r="O10" s="7">
        <f t="shared" si="1"/>
        <v>15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5008</v>
      </c>
      <c r="C11" s="7">
        <v>0</v>
      </c>
      <c r="D11" s="7">
        <v>1384</v>
      </c>
      <c r="E11" s="7">
        <v>222</v>
      </c>
      <c r="F11" s="7">
        <v>279</v>
      </c>
      <c r="G11" s="7">
        <v>437</v>
      </c>
      <c r="H11" s="7">
        <f t="shared" si="0"/>
        <v>7330</v>
      </c>
      <c r="I11" s="7">
        <v>0</v>
      </c>
      <c r="J11" s="8"/>
      <c r="K11" s="6">
        <v>6</v>
      </c>
      <c r="L11" s="7">
        <v>8</v>
      </c>
      <c r="M11" s="7">
        <v>26</v>
      </c>
      <c r="N11" s="7">
        <v>7</v>
      </c>
      <c r="O11" s="7">
        <f t="shared" si="1"/>
        <v>41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5592</v>
      </c>
      <c r="C12" s="7">
        <v>0</v>
      </c>
      <c r="D12" s="7">
        <v>1063</v>
      </c>
      <c r="E12" s="7">
        <v>164</v>
      </c>
      <c r="F12" s="7">
        <v>159</v>
      </c>
      <c r="G12" s="7">
        <v>308</v>
      </c>
      <c r="H12" s="7">
        <f t="shared" si="0"/>
        <v>7286</v>
      </c>
      <c r="I12" s="7">
        <v>0</v>
      </c>
      <c r="J12" s="11"/>
      <c r="K12" s="6">
        <v>7</v>
      </c>
      <c r="L12" s="7">
        <v>5</v>
      </c>
      <c r="M12" s="7">
        <v>7</v>
      </c>
      <c r="N12" s="7">
        <v>2</v>
      </c>
      <c r="O12" s="7">
        <f t="shared" si="1"/>
        <v>14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3289</v>
      </c>
      <c r="C13" s="7">
        <v>0</v>
      </c>
      <c r="D13" s="7">
        <v>1302</v>
      </c>
      <c r="E13" s="7">
        <v>271</v>
      </c>
      <c r="F13" s="7">
        <v>263</v>
      </c>
      <c r="G13" s="7">
        <v>447</v>
      </c>
      <c r="H13" s="7">
        <f t="shared" si="0"/>
        <v>5572</v>
      </c>
      <c r="I13" s="7">
        <v>0</v>
      </c>
      <c r="J13" s="11"/>
      <c r="K13" s="6">
        <v>8</v>
      </c>
      <c r="L13" s="7">
        <v>3</v>
      </c>
      <c r="M13" s="7">
        <v>27</v>
      </c>
      <c r="N13" s="7">
        <v>9</v>
      </c>
      <c r="O13" s="7">
        <f t="shared" si="1"/>
        <v>39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3012</v>
      </c>
      <c r="C14" s="7">
        <v>0</v>
      </c>
      <c r="D14" s="7">
        <v>1593</v>
      </c>
      <c r="E14" s="7">
        <v>315</v>
      </c>
      <c r="F14" s="7">
        <v>269</v>
      </c>
      <c r="G14" s="7">
        <v>457</v>
      </c>
      <c r="H14" s="7">
        <f t="shared" si="0"/>
        <v>5646</v>
      </c>
      <c r="I14" s="7">
        <v>0</v>
      </c>
      <c r="J14" s="11"/>
      <c r="K14" s="6">
        <v>9</v>
      </c>
      <c r="L14" s="7">
        <v>2</v>
      </c>
      <c r="M14" s="7">
        <v>15</v>
      </c>
      <c r="N14" s="7">
        <v>1</v>
      </c>
      <c r="O14" s="7">
        <f t="shared" si="1"/>
        <v>18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3147</v>
      </c>
      <c r="C15" s="7">
        <v>0</v>
      </c>
      <c r="D15" s="7">
        <v>1663</v>
      </c>
      <c r="E15" s="7">
        <v>311</v>
      </c>
      <c r="F15" s="7">
        <v>319</v>
      </c>
      <c r="G15" s="7">
        <v>476</v>
      </c>
      <c r="H15" s="7">
        <f t="shared" si="0"/>
        <v>5916</v>
      </c>
      <c r="I15" s="7">
        <v>0</v>
      </c>
      <c r="J15" s="11"/>
      <c r="K15" s="6">
        <v>10</v>
      </c>
      <c r="L15" s="7">
        <v>1</v>
      </c>
      <c r="M15" s="7">
        <v>17</v>
      </c>
      <c r="N15" s="7">
        <v>6</v>
      </c>
      <c r="O15" s="7">
        <f t="shared" si="1"/>
        <v>24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3558</v>
      </c>
      <c r="C16" s="7">
        <v>0</v>
      </c>
      <c r="D16" s="7">
        <v>1725</v>
      </c>
      <c r="E16" s="7">
        <v>345</v>
      </c>
      <c r="F16" s="7">
        <v>335</v>
      </c>
      <c r="G16" s="7">
        <v>530</v>
      </c>
      <c r="H16" s="7">
        <f t="shared" si="0"/>
        <v>6493</v>
      </c>
      <c r="I16" s="7">
        <v>0</v>
      </c>
      <c r="J16" s="11"/>
      <c r="K16" s="6">
        <v>11</v>
      </c>
      <c r="L16" s="7">
        <v>8</v>
      </c>
      <c r="M16" s="7">
        <v>24</v>
      </c>
      <c r="N16" s="7">
        <v>6</v>
      </c>
      <c r="O16" s="7">
        <f t="shared" si="1"/>
        <v>38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4740</v>
      </c>
      <c r="C17" s="7">
        <v>0</v>
      </c>
      <c r="D17" s="7">
        <v>1526</v>
      </c>
      <c r="E17" s="7">
        <v>300</v>
      </c>
      <c r="F17" s="7">
        <v>301</v>
      </c>
      <c r="G17" s="7">
        <v>453</v>
      </c>
      <c r="H17" s="7">
        <f t="shared" si="0"/>
        <v>7320</v>
      </c>
      <c r="I17" s="7">
        <v>0</v>
      </c>
      <c r="J17" s="11"/>
      <c r="K17" s="6">
        <v>12</v>
      </c>
      <c r="L17" s="7">
        <v>2</v>
      </c>
      <c r="M17" s="7">
        <v>12</v>
      </c>
      <c r="N17" s="7">
        <v>2</v>
      </c>
      <c r="O17" s="7">
        <f t="shared" si="1"/>
        <v>16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5283</v>
      </c>
      <c r="C18" s="7">
        <v>0</v>
      </c>
      <c r="D18" s="7">
        <v>1466</v>
      </c>
      <c r="E18" s="7">
        <v>222</v>
      </c>
      <c r="F18" s="7">
        <v>287</v>
      </c>
      <c r="G18" s="7">
        <v>396</v>
      </c>
      <c r="H18" s="7">
        <f t="shared" si="0"/>
        <v>7654</v>
      </c>
      <c r="I18" s="7">
        <v>0</v>
      </c>
      <c r="J18" s="11"/>
      <c r="K18" s="6">
        <v>13</v>
      </c>
      <c r="L18" s="7">
        <v>5</v>
      </c>
      <c r="M18" s="7">
        <v>19</v>
      </c>
      <c r="N18" s="7">
        <v>8</v>
      </c>
      <c r="O18" s="7">
        <f t="shared" si="1"/>
        <v>32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6467</v>
      </c>
      <c r="C19" s="7">
        <v>0</v>
      </c>
      <c r="D19" s="7">
        <v>1062</v>
      </c>
      <c r="E19" s="7">
        <v>172</v>
      </c>
      <c r="F19" s="7">
        <v>153</v>
      </c>
      <c r="G19" s="7">
        <v>341</v>
      </c>
      <c r="H19" s="7">
        <f t="shared" si="0"/>
        <v>8195</v>
      </c>
      <c r="I19" s="7">
        <v>0</v>
      </c>
      <c r="J19" s="11"/>
      <c r="K19" s="6">
        <v>14</v>
      </c>
      <c r="L19" s="7">
        <v>5</v>
      </c>
      <c r="M19" s="7">
        <v>8</v>
      </c>
      <c r="N19" s="7">
        <v>2</v>
      </c>
      <c r="O19" s="7">
        <f t="shared" si="1"/>
        <v>15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3377</v>
      </c>
      <c r="C20" s="7">
        <v>0</v>
      </c>
      <c r="D20" s="7">
        <v>1277</v>
      </c>
      <c r="E20" s="7">
        <v>289</v>
      </c>
      <c r="F20" s="7">
        <v>241</v>
      </c>
      <c r="G20" s="7">
        <v>400</v>
      </c>
      <c r="H20" s="7">
        <f t="shared" si="0"/>
        <v>5584</v>
      </c>
      <c r="I20" s="7">
        <v>0</v>
      </c>
      <c r="J20" s="11"/>
      <c r="K20" s="6">
        <v>15</v>
      </c>
      <c r="L20" s="7">
        <v>0</v>
      </c>
      <c r="M20" s="7">
        <v>36</v>
      </c>
      <c r="N20" s="7">
        <v>5</v>
      </c>
      <c r="O20" s="7">
        <f t="shared" si="1"/>
        <v>41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3150</v>
      </c>
      <c r="C21" s="7">
        <v>0</v>
      </c>
      <c r="D21" s="7">
        <v>1579</v>
      </c>
      <c r="E21" s="7">
        <v>287</v>
      </c>
      <c r="F21" s="7">
        <v>288</v>
      </c>
      <c r="G21" s="7">
        <v>436</v>
      </c>
      <c r="H21" s="7">
        <f t="shared" si="0"/>
        <v>5740</v>
      </c>
      <c r="I21" s="7">
        <v>0</v>
      </c>
      <c r="J21" s="11"/>
      <c r="K21" s="6">
        <v>16</v>
      </c>
      <c r="L21" s="7">
        <v>1</v>
      </c>
      <c r="M21" s="7">
        <v>22</v>
      </c>
      <c r="N21" s="7">
        <v>5</v>
      </c>
      <c r="O21" s="7">
        <f t="shared" si="1"/>
        <v>28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3206</v>
      </c>
      <c r="C22" s="7">
        <v>0</v>
      </c>
      <c r="D22" s="7">
        <v>1606</v>
      </c>
      <c r="E22" s="7">
        <v>331</v>
      </c>
      <c r="F22" s="7">
        <v>355</v>
      </c>
      <c r="G22" s="7">
        <v>464</v>
      </c>
      <c r="H22" s="7">
        <f t="shared" si="0"/>
        <v>5962</v>
      </c>
      <c r="I22" s="7">
        <v>0</v>
      </c>
      <c r="J22" s="11"/>
      <c r="K22" s="6">
        <v>17</v>
      </c>
      <c r="L22" s="7">
        <v>2</v>
      </c>
      <c r="M22" s="7">
        <v>15</v>
      </c>
      <c r="N22" s="7">
        <v>3</v>
      </c>
      <c r="O22" s="7">
        <f t="shared" si="1"/>
        <v>20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3594</v>
      </c>
      <c r="C23" s="7">
        <v>0</v>
      </c>
      <c r="D23" s="7">
        <v>1624</v>
      </c>
      <c r="E23" s="7">
        <v>284</v>
      </c>
      <c r="F23" s="7">
        <v>333</v>
      </c>
      <c r="G23" s="7">
        <v>477</v>
      </c>
      <c r="H23" s="7">
        <f t="shared" si="0"/>
        <v>6312</v>
      </c>
      <c r="I23" s="7">
        <v>0</v>
      </c>
      <c r="J23" s="11"/>
      <c r="K23" s="6">
        <v>18</v>
      </c>
      <c r="L23" s="7">
        <v>5</v>
      </c>
      <c r="M23" s="7">
        <v>10</v>
      </c>
      <c r="N23" s="7">
        <v>0</v>
      </c>
      <c r="O23" s="7">
        <f t="shared" si="1"/>
        <v>15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4779</v>
      </c>
      <c r="C24" s="7">
        <v>0</v>
      </c>
      <c r="D24" s="7">
        <v>1537</v>
      </c>
      <c r="E24" s="7">
        <v>266</v>
      </c>
      <c r="F24" s="7">
        <v>294</v>
      </c>
      <c r="G24" s="7">
        <v>449</v>
      </c>
      <c r="H24" s="7">
        <f t="shared" si="0"/>
        <v>7325</v>
      </c>
      <c r="I24" s="7">
        <v>0</v>
      </c>
      <c r="J24" s="11"/>
      <c r="K24" s="6">
        <v>19</v>
      </c>
      <c r="L24" s="7">
        <v>4</v>
      </c>
      <c r="M24" s="7">
        <v>22</v>
      </c>
      <c r="N24" s="7">
        <v>1</v>
      </c>
      <c r="O24" s="7">
        <f t="shared" si="1"/>
        <v>27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5045</v>
      </c>
      <c r="C25" s="7">
        <v>0</v>
      </c>
      <c r="D25" s="7">
        <v>1449</v>
      </c>
      <c r="E25" s="7">
        <v>242</v>
      </c>
      <c r="F25" s="7">
        <v>272</v>
      </c>
      <c r="G25" s="7">
        <v>350</v>
      </c>
      <c r="H25" s="7">
        <f t="shared" si="0"/>
        <v>7358</v>
      </c>
      <c r="I25" s="7">
        <v>0</v>
      </c>
      <c r="J25" s="11"/>
      <c r="K25" s="6">
        <v>20</v>
      </c>
      <c r="L25" s="7">
        <v>5</v>
      </c>
      <c r="M25" s="7">
        <v>16</v>
      </c>
      <c r="N25" s="7">
        <v>3</v>
      </c>
      <c r="O25" s="7">
        <f t="shared" si="1"/>
        <v>24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5974</v>
      </c>
      <c r="C26" s="7">
        <v>0</v>
      </c>
      <c r="D26" s="7">
        <v>1016</v>
      </c>
      <c r="E26" s="7">
        <v>168</v>
      </c>
      <c r="F26" s="7">
        <v>173</v>
      </c>
      <c r="G26" s="7">
        <v>296</v>
      </c>
      <c r="H26" s="7">
        <f t="shared" si="0"/>
        <v>7627</v>
      </c>
      <c r="I26" s="7">
        <v>0</v>
      </c>
      <c r="J26" s="11"/>
      <c r="K26" s="6">
        <v>21</v>
      </c>
      <c r="L26" s="7">
        <v>1</v>
      </c>
      <c r="M26" s="7">
        <v>11</v>
      </c>
      <c r="N26" s="7">
        <v>2</v>
      </c>
      <c r="O26" s="7">
        <f t="shared" si="1"/>
        <v>14</v>
      </c>
      <c r="P26" s="9">
        <f t="shared" si="2"/>
        <v>0</v>
      </c>
    </row>
    <row r="27" spans="1:26" ht="18" customHeight="1" thickTop="1" thickBot="1" x14ac:dyDescent="0.35">
      <c r="A27" s="6">
        <v>22</v>
      </c>
      <c r="B27" s="7">
        <v>3278</v>
      </c>
      <c r="C27" s="7">
        <v>0</v>
      </c>
      <c r="D27" s="7">
        <v>1389</v>
      </c>
      <c r="E27" s="7">
        <v>277</v>
      </c>
      <c r="F27" s="7">
        <v>240</v>
      </c>
      <c r="G27" s="7">
        <v>398</v>
      </c>
      <c r="H27" s="7">
        <f t="shared" si="0"/>
        <v>5582</v>
      </c>
      <c r="I27" s="7">
        <v>0</v>
      </c>
      <c r="J27" s="11"/>
      <c r="K27" s="6">
        <v>22</v>
      </c>
      <c r="L27" s="7">
        <v>4</v>
      </c>
      <c r="M27" s="7">
        <v>13</v>
      </c>
      <c r="N27" s="7">
        <v>11</v>
      </c>
      <c r="O27" s="7">
        <f t="shared" si="1"/>
        <v>28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3072</v>
      </c>
      <c r="C28" s="7">
        <v>0</v>
      </c>
      <c r="D28" s="7">
        <v>1516</v>
      </c>
      <c r="E28" s="7">
        <v>261</v>
      </c>
      <c r="F28" s="7">
        <v>291</v>
      </c>
      <c r="G28" s="7">
        <v>381</v>
      </c>
      <c r="H28" s="7">
        <f t="shared" si="0"/>
        <v>5521</v>
      </c>
      <c r="I28" s="7">
        <v>0</v>
      </c>
      <c r="J28" s="11"/>
      <c r="K28" s="6">
        <v>23</v>
      </c>
      <c r="L28" s="7">
        <v>3</v>
      </c>
      <c r="M28" s="7">
        <v>8</v>
      </c>
      <c r="N28" s="7">
        <v>1</v>
      </c>
      <c r="O28" s="7">
        <f t="shared" si="1"/>
        <v>12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3071</v>
      </c>
      <c r="C29" s="7">
        <v>0</v>
      </c>
      <c r="D29" s="7">
        <v>1614</v>
      </c>
      <c r="E29" s="7">
        <v>292</v>
      </c>
      <c r="F29" s="7">
        <v>321</v>
      </c>
      <c r="G29" s="7">
        <v>435</v>
      </c>
      <c r="H29" s="7">
        <f t="shared" si="0"/>
        <v>5733</v>
      </c>
      <c r="I29" s="7">
        <v>0</v>
      </c>
      <c r="J29" s="11"/>
      <c r="K29" s="6">
        <v>24</v>
      </c>
      <c r="L29" s="7">
        <v>1</v>
      </c>
      <c r="M29" s="7">
        <v>22</v>
      </c>
      <c r="N29" s="7">
        <v>0</v>
      </c>
      <c r="O29" s="7">
        <f t="shared" si="1"/>
        <v>23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3418</v>
      </c>
      <c r="C30" s="7">
        <v>0</v>
      </c>
      <c r="D30" s="7">
        <v>1625</v>
      </c>
      <c r="E30" s="7">
        <v>282</v>
      </c>
      <c r="F30" s="7">
        <v>299</v>
      </c>
      <c r="G30" s="7">
        <v>486</v>
      </c>
      <c r="H30" s="7">
        <f t="shared" si="0"/>
        <v>6110</v>
      </c>
      <c r="I30" s="7">
        <v>0</v>
      </c>
      <c r="J30" s="11"/>
      <c r="K30" s="6">
        <v>25</v>
      </c>
      <c r="L30" s="7">
        <v>3</v>
      </c>
      <c r="M30" s="7">
        <v>7</v>
      </c>
      <c r="N30" s="7">
        <v>4</v>
      </c>
      <c r="O30" s="7">
        <f t="shared" si="1"/>
        <v>14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7">
        <v>4690</v>
      </c>
      <c r="C31" s="7">
        <v>0</v>
      </c>
      <c r="D31" s="7">
        <v>1519</v>
      </c>
      <c r="E31" s="7">
        <v>278</v>
      </c>
      <c r="F31" s="7">
        <v>291</v>
      </c>
      <c r="G31" s="7">
        <v>415</v>
      </c>
      <c r="H31" s="7">
        <f t="shared" si="0"/>
        <v>7193</v>
      </c>
      <c r="I31" s="7">
        <v>0</v>
      </c>
      <c r="J31" s="11"/>
      <c r="K31" s="6">
        <v>26</v>
      </c>
      <c r="L31" s="7">
        <v>1</v>
      </c>
      <c r="M31" s="7">
        <v>16</v>
      </c>
      <c r="N31" s="7">
        <v>7</v>
      </c>
      <c r="O31" s="7">
        <f t="shared" si="1"/>
        <v>24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7">
        <v>5374</v>
      </c>
      <c r="C32" s="7">
        <v>0</v>
      </c>
      <c r="D32" s="7">
        <v>1448</v>
      </c>
      <c r="E32" s="7">
        <v>248</v>
      </c>
      <c r="F32" s="7">
        <v>287</v>
      </c>
      <c r="G32" s="7">
        <v>351</v>
      </c>
      <c r="H32" s="7">
        <f t="shared" si="0"/>
        <v>7708</v>
      </c>
      <c r="I32" s="7">
        <v>0</v>
      </c>
      <c r="J32" s="11"/>
      <c r="K32" s="6">
        <v>27</v>
      </c>
      <c r="L32" s="7">
        <v>5</v>
      </c>
      <c r="M32" s="7">
        <v>11</v>
      </c>
      <c r="N32" s="7">
        <v>4</v>
      </c>
      <c r="O32" s="7">
        <f t="shared" si="1"/>
        <v>20</v>
      </c>
      <c r="P32" s="9">
        <f t="shared" si="2"/>
        <v>0</v>
      </c>
    </row>
    <row r="33" spans="1:16" ht="18" customHeight="1" thickTop="1" thickBot="1" x14ac:dyDescent="0.35">
      <c r="A33" s="6">
        <v>28</v>
      </c>
      <c r="B33" s="7">
        <v>6153</v>
      </c>
      <c r="C33" s="7">
        <v>0</v>
      </c>
      <c r="D33" s="7">
        <v>1123</v>
      </c>
      <c r="E33" s="7">
        <v>147</v>
      </c>
      <c r="F33" s="7">
        <v>152</v>
      </c>
      <c r="G33" s="7">
        <v>278</v>
      </c>
      <c r="H33" s="7">
        <f t="shared" si="0"/>
        <v>7853</v>
      </c>
      <c r="I33" s="7">
        <v>0</v>
      </c>
      <c r="J33" s="11"/>
      <c r="K33" s="6">
        <v>28</v>
      </c>
      <c r="L33" s="7">
        <v>5</v>
      </c>
      <c r="M33" s="7">
        <v>5</v>
      </c>
      <c r="N33" s="7">
        <v>4</v>
      </c>
      <c r="O33" s="7">
        <f t="shared" si="1"/>
        <v>14</v>
      </c>
      <c r="P33" s="9">
        <f t="shared" si="2"/>
        <v>0</v>
      </c>
    </row>
    <row r="34" spans="1:16" ht="18" customHeight="1" thickTop="1" thickBot="1" x14ac:dyDescent="0.35">
      <c r="A34" s="6">
        <v>29</v>
      </c>
      <c r="B34" s="7">
        <v>3391</v>
      </c>
      <c r="C34" s="7">
        <v>0</v>
      </c>
      <c r="D34" s="7">
        <v>1244</v>
      </c>
      <c r="E34" s="7">
        <v>239</v>
      </c>
      <c r="F34" s="7">
        <v>232</v>
      </c>
      <c r="G34" s="7">
        <v>354</v>
      </c>
      <c r="H34" s="7">
        <f t="shared" si="0"/>
        <v>5460</v>
      </c>
      <c r="I34" s="7">
        <v>0</v>
      </c>
      <c r="J34" s="11"/>
      <c r="K34" s="6">
        <v>29</v>
      </c>
      <c r="L34" s="7">
        <v>5</v>
      </c>
      <c r="M34" s="7">
        <v>10</v>
      </c>
      <c r="N34" s="7">
        <v>4</v>
      </c>
      <c r="O34" s="7">
        <f t="shared" si="1"/>
        <v>19</v>
      </c>
      <c r="P34" s="9">
        <f t="shared" si="2"/>
        <v>0</v>
      </c>
    </row>
    <row r="35" spans="1:16" ht="18" customHeight="1" thickTop="1" thickBot="1" x14ac:dyDescent="0.35">
      <c r="A35" s="6">
        <v>30</v>
      </c>
      <c r="B35" s="7">
        <v>3733</v>
      </c>
      <c r="C35" s="7">
        <v>0</v>
      </c>
      <c r="D35" s="7">
        <v>1429</v>
      </c>
      <c r="E35" s="7">
        <v>200</v>
      </c>
      <c r="F35" s="7">
        <v>262</v>
      </c>
      <c r="G35" s="7">
        <v>337</v>
      </c>
      <c r="H35" s="7">
        <f t="shared" si="0"/>
        <v>5961</v>
      </c>
      <c r="I35" s="7">
        <v>0</v>
      </c>
      <c r="J35" s="11"/>
      <c r="K35" s="6">
        <v>30</v>
      </c>
      <c r="L35" s="7">
        <v>10</v>
      </c>
      <c r="M35" s="7">
        <v>4</v>
      </c>
      <c r="N35" s="7">
        <v>6</v>
      </c>
      <c r="O35" s="7">
        <f t="shared" si="1"/>
        <v>20</v>
      </c>
      <c r="P35" s="9">
        <f t="shared" si="2"/>
        <v>0</v>
      </c>
    </row>
    <row r="36" spans="1:16" ht="18.75" customHeight="1" thickTop="1" thickBot="1" x14ac:dyDescent="0.35">
      <c r="A36" s="6">
        <v>31</v>
      </c>
      <c r="B36" s="7"/>
      <c r="C36" s="7"/>
      <c r="D36" s="7"/>
      <c r="E36" s="7"/>
      <c r="F36" s="7"/>
      <c r="G36" s="7"/>
      <c r="H36" s="7">
        <f t="shared" si="0"/>
        <v>0</v>
      </c>
      <c r="I36" s="7">
        <v>0</v>
      </c>
      <c r="J36" s="11"/>
      <c r="K36" s="6">
        <v>31</v>
      </c>
      <c r="L36" s="15"/>
      <c r="M36" s="15"/>
      <c r="N36" s="15"/>
      <c r="O36" s="7">
        <f t="shared" si="1"/>
        <v>0</v>
      </c>
      <c r="P36" s="9">
        <f t="shared" si="2"/>
        <v>0</v>
      </c>
    </row>
    <row r="37" spans="1:16" ht="18" customHeight="1" thickTop="1" x14ac:dyDescent="0.3">
      <c r="A37" s="4" t="s">
        <v>20</v>
      </c>
      <c r="B37" s="16">
        <f>SUM(B6:B36)</f>
        <v>125728</v>
      </c>
      <c r="C37" s="16">
        <f t="shared" ref="C37" si="3">SUM(C6:C36)</f>
        <v>0</v>
      </c>
      <c r="D37" s="16">
        <f>SUM(D6:D36)</f>
        <v>43743</v>
      </c>
      <c r="E37" s="16">
        <f>SUM(E6:E36)</f>
        <v>7800</v>
      </c>
      <c r="F37" s="16">
        <f>SUM(F6:F36)</f>
        <v>8159</v>
      </c>
      <c r="G37" s="16">
        <f>SUM(G6:G36)</f>
        <v>12584</v>
      </c>
      <c r="H37" s="16">
        <f>SUM(H6:H36)</f>
        <v>198014</v>
      </c>
      <c r="I37" s="16">
        <f>SUM(I6:I33)</f>
        <v>0</v>
      </c>
      <c r="J37" s="16"/>
      <c r="K37" s="16"/>
      <c r="L37" s="16">
        <f>SUM(L6:L36)</f>
        <v>107</v>
      </c>
      <c r="M37" s="16">
        <f>SUM(M6:M36)</f>
        <v>468</v>
      </c>
      <c r="N37" s="16">
        <f>SUM(N6:N36)</f>
        <v>113</v>
      </c>
      <c r="O37" s="16">
        <f>SUM(O6:O36)</f>
        <v>688</v>
      </c>
      <c r="P37" s="16">
        <f>SUM(P6:P36)</f>
        <v>18405</v>
      </c>
    </row>
    <row r="38" spans="1:16" ht="18" customHeight="1" x14ac:dyDescent="0.3">
      <c r="A38" s="4" t="s">
        <v>20</v>
      </c>
      <c r="B38" s="43">
        <f>+B37+C37</f>
        <v>125728</v>
      </c>
      <c r="C38" s="43"/>
      <c r="D38" s="16">
        <f>+D37</f>
        <v>43743</v>
      </c>
      <c r="E38" s="16">
        <f>+E37</f>
        <v>7800</v>
      </c>
      <c r="F38" s="16">
        <f>+F37</f>
        <v>8159</v>
      </c>
      <c r="G38" s="16">
        <f>+G37</f>
        <v>12584</v>
      </c>
      <c r="H38" s="16">
        <f>SUM(B38:G38)</f>
        <v>198014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6" x14ac:dyDescent="0.3">
      <c r="A39" s="27"/>
      <c r="B39" s="10"/>
      <c r="C39" s="10"/>
      <c r="D39" s="10"/>
      <c r="E39" s="10"/>
      <c r="F39" s="10"/>
      <c r="H39" s="10"/>
      <c r="I39" s="10"/>
      <c r="J39" s="10"/>
      <c r="K39" s="28"/>
      <c r="L39" s="10"/>
      <c r="M39" s="10"/>
      <c r="N39" s="10"/>
      <c r="O39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0C94-E619-4E17-8400-0951392781BB}">
  <dimension ref="A1:Z42"/>
  <sheetViews>
    <sheetView topLeftCell="A24" workbookViewId="0">
      <selection activeCell="D13" sqref="D13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27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78" customHeight="1" x14ac:dyDescent="0.3">
      <c r="A4" s="46" t="s">
        <v>2</v>
      </c>
      <c r="B4" s="42" t="s">
        <v>3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4648</v>
      </c>
      <c r="C6" s="7">
        <v>0</v>
      </c>
      <c r="D6" s="7">
        <v>1251</v>
      </c>
      <c r="E6" s="7">
        <v>168</v>
      </c>
      <c r="F6" s="7">
        <v>222</v>
      </c>
      <c r="G6" s="7">
        <v>361</v>
      </c>
      <c r="H6" s="7">
        <f>SUM(B6:G6)</f>
        <v>6650</v>
      </c>
      <c r="I6" s="7">
        <v>0</v>
      </c>
      <c r="J6" s="8"/>
      <c r="K6" s="6">
        <v>1</v>
      </c>
      <c r="L6" s="7">
        <v>3</v>
      </c>
      <c r="M6" s="7">
        <v>2</v>
      </c>
      <c r="N6" s="7">
        <v>5</v>
      </c>
      <c r="O6" s="7">
        <f>SUM(L6:N6)</f>
        <v>10</v>
      </c>
      <c r="P6" s="9">
        <v>6135</v>
      </c>
    </row>
    <row r="7" spans="1:19" ht="18" customHeight="1" thickTop="1" thickBot="1" x14ac:dyDescent="0.35">
      <c r="A7" s="6">
        <v>2</v>
      </c>
      <c r="B7" s="7">
        <v>3228</v>
      </c>
      <c r="C7" s="7">
        <v>0</v>
      </c>
      <c r="D7" s="7">
        <v>1365</v>
      </c>
      <c r="E7" s="7">
        <v>209</v>
      </c>
      <c r="F7" s="7">
        <v>226</v>
      </c>
      <c r="G7" s="7">
        <v>354</v>
      </c>
      <c r="H7" s="7">
        <f t="shared" ref="H7:H36" si="0">SUM(B7:G7)</f>
        <v>5382</v>
      </c>
      <c r="I7" s="7">
        <v>0</v>
      </c>
      <c r="J7" s="8"/>
      <c r="K7" s="6">
        <v>2</v>
      </c>
      <c r="L7" s="7">
        <v>5</v>
      </c>
      <c r="M7" s="7">
        <v>13</v>
      </c>
      <c r="N7" s="7">
        <v>4</v>
      </c>
      <c r="O7" s="7">
        <f t="shared" ref="O7:O36" si="1">SUM(L7:N7)</f>
        <v>22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4545</v>
      </c>
      <c r="C8" s="7">
        <v>0</v>
      </c>
      <c r="D8" s="7">
        <v>1501</v>
      </c>
      <c r="E8" s="7">
        <v>232</v>
      </c>
      <c r="F8" s="7">
        <v>241</v>
      </c>
      <c r="G8" s="7">
        <v>328</v>
      </c>
      <c r="H8" s="7">
        <f t="shared" si="0"/>
        <v>6847</v>
      </c>
      <c r="I8" s="7">
        <v>0</v>
      </c>
      <c r="J8" s="8"/>
      <c r="K8" s="6">
        <v>3</v>
      </c>
      <c r="L8" s="7">
        <v>0</v>
      </c>
      <c r="M8" s="7">
        <v>30</v>
      </c>
      <c r="N8" s="7">
        <v>6</v>
      </c>
      <c r="O8" s="7">
        <f t="shared" si="1"/>
        <v>36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5389</v>
      </c>
      <c r="C9" s="7">
        <v>0</v>
      </c>
      <c r="D9" s="7">
        <v>1348</v>
      </c>
      <c r="E9" s="7">
        <v>200</v>
      </c>
      <c r="F9" s="7">
        <v>294</v>
      </c>
      <c r="G9" s="7">
        <v>304</v>
      </c>
      <c r="H9" s="7">
        <f t="shared" si="0"/>
        <v>7535</v>
      </c>
      <c r="I9" s="7">
        <v>0</v>
      </c>
      <c r="J9" s="8"/>
      <c r="K9" s="6">
        <v>4</v>
      </c>
      <c r="L9" s="7">
        <v>4</v>
      </c>
      <c r="M9" s="7">
        <v>3</v>
      </c>
      <c r="N9" s="7">
        <v>4</v>
      </c>
      <c r="O9" s="7">
        <f t="shared" si="1"/>
        <v>11</v>
      </c>
      <c r="P9" s="9">
        <v>0</v>
      </c>
    </row>
    <row r="10" spans="1:19" ht="18" customHeight="1" thickTop="1" thickBot="1" x14ac:dyDescent="0.35">
      <c r="A10" s="6">
        <v>5</v>
      </c>
      <c r="B10" s="7">
        <v>6818</v>
      </c>
      <c r="C10" s="7">
        <v>0</v>
      </c>
      <c r="D10" s="7">
        <v>1067</v>
      </c>
      <c r="E10" s="7">
        <v>141</v>
      </c>
      <c r="F10" s="7">
        <v>180</v>
      </c>
      <c r="G10" s="7">
        <v>317</v>
      </c>
      <c r="H10" s="7">
        <f t="shared" si="0"/>
        <v>8523</v>
      </c>
      <c r="I10" s="7">
        <v>0</v>
      </c>
      <c r="J10" s="8"/>
      <c r="K10" s="6">
        <v>5</v>
      </c>
      <c r="L10" s="7">
        <v>1</v>
      </c>
      <c r="M10" s="7">
        <v>5</v>
      </c>
      <c r="N10" s="7">
        <v>3</v>
      </c>
      <c r="O10" s="7">
        <f t="shared" si="1"/>
        <v>9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3725</v>
      </c>
      <c r="C11" s="7">
        <v>0</v>
      </c>
      <c r="D11" s="7">
        <v>1487</v>
      </c>
      <c r="E11" s="7">
        <v>267</v>
      </c>
      <c r="F11" s="7">
        <v>252</v>
      </c>
      <c r="G11" s="7">
        <v>378</v>
      </c>
      <c r="H11" s="7">
        <f t="shared" si="0"/>
        <v>6109</v>
      </c>
      <c r="I11" s="7">
        <v>0</v>
      </c>
      <c r="J11" s="8"/>
      <c r="K11" s="6">
        <v>6</v>
      </c>
      <c r="L11" s="7">
        <v>2</v>
      </c>
      <c r="M11" s="7">
        <v>16</v>
      </c>
      <c r="N11" s="7">
        <v>6</v>
      </c>
      <c r="O11" s="7">
        <f t="shared" si="1"/>
        <v>24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3311</v>
      </c>
      <c r="C12" s="7">
        <v>0</v>
      </c>
      <c r="D12" s="7">
        <v>1620</v>
      </c>
      <c r="E12" s="7">
        <v>252</v>
      </c>
      <c r="F12" s="7">
        <v>276</v>
      </c>
      <c r="G12" s="7">
        <v>379</v>
      </c>
      <c r="H12" s="7">
        <f t="shared" si="0"/>
        <v>5838</v>
      </c>
      <c r="I12" s="7">
        <v>0</v>
      </c>
      <c r="J12" s="11"/>
      <c r="K12" s="6">
        <v>7</v>
      </c>
      <c r="L12" s="7">
        <v>4</v>
      </c>
      <c r="M12" s="7">
        <v>18</v>
      </c>
      <c r="N12" s="7">
        <v>5</v>
      </c>
      <c r="O12" s="7">
        <f t="shared" si="1"/>
        <v>27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3151</v>
      </c>
      <c r="C13" s="7">
        <v>0</v>
      </c>
      <c r="D13" s="7">
        <v>1654</v>
      </c>
      <c r="E13" s="7">
        <v>274</v>
      </c>
      <c r="F13" s="7">
        <v>313</v>
      </c>
      <c r="G13" s="7">
        <v>394</v>
      </c>
      <c r="H13" s="7">
        <f t="shared" si="0"/>
        <v>5786</v>
      </c>
      <c r="I13" s="7">
        <v>0</v>
      </c>
      <c r="J13" s="11"/>
      <c r="K13" s="6">
        <v>8</v>
      </c>
      <c r="L13" s="7">
        <v>3</v>
      </c>
      <c r="M13" s="7">
        <v>18</v>
      </c>
      <c r="N13" s="7">
        <v>8</v>
      </c>
      <c r="O13" s="7">
        <f t="shared" si="1"/>
        <v>29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3748</v>
      </c>
      <c r="C14" s="7">
        <v>0</v>
      </c>
      <c r="D14" s="7">
        <v>1635</v>
      </c>
      <c r="E14" s="7">
        <v>318</v>
      </c>
      <c r="F14" s="7">
        <v>333</v>
      </c>
      <c r="G14" s="7">
        <v>449</v>
      </c>
      <c r="H14" s="7">
        <f t="shared" si="0"/>
        <v>6483</v>
      </c>
      <c r="I14" s="7">
        <v>0</v>
      </c>
      <c r="J14" s="11"/>
      <c r="K14" s="6">
        <v>9</v>
      </c>
      <c r="L14" s="7">
        <v>6</v>
      </c>
      <c r="M14" s="7">
        <v>17</v>
      </c>
      <c r="N14" s="7">
        <v>5</v>
      </c>
      <c r="O14" s="7">
        <f t="shared" si="1"/>
        <v>28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6625</v>
      </c>
      <c r="C15" s="7">
        <v>0</v>
      </c>
      <c r="D15" s="7">
        <v>1521</v>
      </c>
      <c r="E15" s="7">
        <v>256</v>
      </c>
      <c r="F15" s="7">
        <v>291</v>
      </c>
      <c r="G15" s="7">
        <v>336</v>
      </c>
      <c r="H15" s="7">
        <f t="shared" si="0"/>
        <v>9029</v>
      </c>
      <c r="I15" s="7">
        <v>0</v>
      </c>
      <c r="J15" s="11"/>
      <c r="K15" s="6">
        <v>10</v>
      </c>
      <c r="L15" s="7">
        <v>4</v>
      </c>
      <c r="M15" s="7">
        <v>20</v>
      </c>
      <c r="N15" s="7">
        <v>3</v>
      </c>
      <c r="O15" s="7">
        <f t="shared" si="1"/>
        <v>27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8998</v>
      </c>
      <c r="C16" s="7">
        <v>0</v>
      </c>
      <c r="D16" s="7">
        <v>1332</v>
      </c>
      <c r="E16" s="7">
        <v>175</v>
      </c>
      <c r="F16" s="7">
        <v>243</v>
      </c>
      <c r="G16" s="7">
        <v>281</v>
      </c>
      <c r="H16" s="7">
        <f t="shared" si="0"/>
        <v>11029</v>
      </c>
      <c r="I16" s="7">
        <v>0</v>
      </c>
      <c r="J16" s="11"/>
      <c r="K16" s="6">
        <v>11</v>
      </c>
      <c r="L16" s="7">
        <v>1</v>
      </c>
      <c r="M16" s="7">
        <v>7</v>
      </c>
      <c r="N16" s="7">
        <v>5</v>
      </c>
      <c r="O16" s="7">
        <f t="shared" si="1"/>
        <v>13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5977</v>
      </c>
      <c r="C17" s="7">
        <v>0</v>
      </c>
      <c r="D17" s="7">
        <v>941</v>
      </c>
      <c r="E17" s="7">
        <v>192</v>
      </c>
      <c r="F17" s="7">
        <v>175</v>
      </c>
      <c r="G17" s="7">
        <v>271</v>
      </c>
      <c r="H17" s="7">
        <f t="shared" si="0"/>
        <v>7556</v>
      </c>
      <c r="I17" s="7">
        <v>0</v>
      </c>
      <c r="J17" s="11"/>
      <c r="K17" s="6">
        <v>12</v>
      </c>
      <c r="L17" s="7">
        <v>1</v>
      </c>
      <c r="M17" s="7">
        <v>15</v>
      </c>
      <c r="N17" s="7">
        <v>1</v>
      </c>
      <c r="O17" s="7">
        <f t="shared" si="1"/>
        <v>17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10587</v>
      </c>
      <c r="C18" s="7">
        <v>0</v>
      </c>
      <c r="D18" s="7">
        <v>719</v>
      </c>
      <c r="E18" s="7">
        <v>76</v>
      </c>
      <c r="F18" s="7">
        <v>76</v>
      </c>
      <c r="G18" s="7">
        <v>123</v>
      </c>
      <c r="H18" s="7">
        <f t="shared" si="0"/>
        <v>11581</v>
      </c>
      <c r="I18" s="7">
        <v>0</v>
      </c>
      <c r="J18" s="11"/>
      <c r="K18" s="6">
        <v>13</v>
      </c>
      <c r="L18" s="7">
        <v>3</v>
      </c>
      <c r="M18" s="7">
        <v>2</v>
      </c>
      <c r="N18" s="7">
        <v>1</v>
      </c>
      <c r="O18" s="7">
        <f t="shared" si="1"/>
        <v>6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3999</v>
      </c>
      <c r="C19" s="7">
        <v>0</v>
      </c>
      <c r="D19" s="7">
        <v>1397</v>
      </c>
      <c r="E19" s="7">
        <v>299</v>
      </c>
      <c r="F19" s="7">
        <v>233</v>
      </c>
      <c r="G19" s="7">
        <v>362</v>
      </c>
      <c r="H19" s="7">
        <f t="shared" si="0"/>
        <v>6290</v>
      </c>
      <c r="I19" s="7">
        <v>0</v>
      </c>
      <c r="J19" s="11"/>
      <c r="K19" s="6">
        <v>14</v>
      </c>
      <c r="L19" s="7">
        <v>2</v>
      </c>
      <c r="M19" s="7">
        <v>12</v>
      </c>
      <c r="N19" s="7">
        <v>9</v>
      </c>
      <c r="O19" s="7">
        <f t="shared" si="1"/>
        <v>23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3301</v>
      </c>
      <c r="C20" s="7">
        <v>0</v>
      </c>
      <c r="D20" s="7">
        <v>1670</v>
      </c>
      <c r="E20" s="7">
        <v>242</v>
      </c>
      <c r="F20" s="7">
        <v>297</v>
      </c>
      <c r="G20" s="7">
        <v>382</v>
      </c>
      <c r="H20" s="7">
        <f t="shared" si="0"/>
        <v>5892</v>
      </c>
      <c r="I20" s="7">
        <v>0</v>
      </c>
      <c r="J20" s="11"/>
      <c r="K20" s="6">
        <v>15</v>
      </c>
      <c r="L20" s="7">
        <v>5</v>
      </c>
      <c r="M20" s="7">
        <v>17</v>
      </c>
      <c r="N20" s="7">
        <v>5</v>
      </c>
      <c r="O20" s="7">
        <f t="shared" si="1"/>
        <v>27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3418</v>
      </c>
      <c r="C21" s="7">
        <v>0</v>
      </c>
      <c r="D21" s="7">
        <v>1656</v>
      </c>
      <c r="E21" s="7">
        <v>282</v>
      </c>
      <c r="F21" s="7">
        <v>302</v>
      </c>
      <c r="G21" s="7">
        <v>454</v>
      </c>
      <c r="H21" s="7">
        <f t="shared" si="0"/>
        <v>6112</v>
      </c>
      <c r="I21" s="7">
        <v>0</v>
      </c>
      <c r="J21" s="11"/>
      <c r="K21" s="6">
        <v>16</v>
      </c>
      <c r="L21" s="7">
        <v>5</v>
      </c>
      <c r="M21" s="7">
        <v>17</v>
      </c>
      <c r="N21" s="7">
        <v>8</v>
      </c>
      <c r="O21" s="7">
        <f t="shared" si="1"/>
        <v>30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4559</v>
      </c>
      <c r="C22" s="7">
        <v>0</v>
      </c>
      <c r="D22" s="7">
        <v>1542</v>
      </c>
      <c r="E22" s="7">
        <v>260</v>
      </c>
      <c r="F22" s="7">
        <v>296</v>
      </c>
      <c r="G22" s="7">
        <v>395</v>
      </c>
      <c r="H22" s="7">
        <f t="shared" si="0"/>
        <v>7052</v>
      </c>
      <c r="I22" s="7">
        <v>0</v>
      </c>
      <c r="J22" s="11"/>
      <c r="K22" s="6">
        <v>17</v>
      </c>
      <c r="L22" s="7">
        <v>2</v>
      </c>
      <c r="M22" s="7">
        <v>12</v>
      </c>
      <c r="N22" s="7">
        <v>8</v>
      </c>
      <c r="O22" s="7">
        <f t="shared" si="1"/>
        <v>22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4774</v>
      </c>
      <c r="C23" s="7">
        <v>0</v>
      </c>
      <c r="D23" s="7">
        <v>1355</v>
      </c>
      <c r="E23" s="7">
        <v>222</v>
      </c>
      <c r="F23" s="7">
        <v>299</v>
      </c>
      <c r="G23" s="7">
        <v>315</v>
      </c>
      <c r="H23" s="7">
        <f t="shared" si="0"/>
        <v>6965</v>
      </c>
      <c r="I23" s="7">
        <v>0</v>
      </c>
      <c r="J23" s="11"/>
      <c r="K23" s="6">
        <v>18</v>
      </c>
      <c r="L23" s="7">
        <v>6</v>
      </c>
      <c r="M23" s="7">
        <v>20</v>
      </c>
      <c r="N23" s="7">
        <v>5</v>
      </c>
      <c r="O23" s="7">
        <f t="shared" si="1"/>
        <v>31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5800</v>
      </c>
      <c r="C24" s="7">
        <v>0</v>
      </c>
      <c r="D24" s="7">
        <v>1053</v>
      </c>
      <c r="E24" s="7">
        <v>198</v>
      </c>
      <c r="F24" s="7">
        <v>184</v>
      </c>
      <c r="G24" s="7">
        <v>301</v>
      </c>
      <c r="H24" s="7">
        <f t="shared" si="0"/>
        <v>7536</v>
      </c>
      <c r="I24" s="7">
        <v>0</v>
      </c>
      <c r="J24" s="11"/>
      <c r="K24" s="6">
        <v>19</v>
      </c>
      <c r="L24" s="7">
        <v>1</v>
      </c>
      <c r="M24" s="7">
        <v>9</v>
      </c>
      <c r="N24" s="7">
        <v>1</v>
      </c>
      <c r="O24" s="7">
        <f t="shared" si="1"/>
        <v>11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3155</v>
      </c>
      <c r="C25" s="7">
        <v>0</v>
      </c>
      <c r="D25" s="7">
        <v>1329</v>
      </c>
      <c r="E25" s="7">
        <v>320</v>
      </c>
      <c r="F25" s="7">
        <v>257</v>
      </c>
      <c r="G25" s="7">
        <v>356</v>
      </c>
      <c r="H25" s="7">
        <f t="shared" si="0"/>
        <v>5417</v>
      </c>
      <c r="I25" s="7">
        <v>0</v>
      </c>
      <c r="J25" s="11"/>
      <c r="K25" s="6">
        <v>20</v>
      </c>
      <c r="L25" s="7">
        <v>1</v>
      </c>
      <c r="M25" s="7">
        <v>18</v>
      </c>
      <c r="N25" s="7">
        <v>7</v>
      </c>
      <c r="O25" s="7">
        <f t="shared" si="1"/>
        <v>26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3000</v>
      </c>
      <c r="C26" s="7">
        <v>0</v>
      </c>
      <c r="D26" s="7">
        <v>1515</v>
      </c>
      <c r="E26" s="7">
        <v>275</v>
      </c>
      <c r="F26" s="7">
        <v>317</v>
      </c>
      <c r="G26" s="7">
        <v>403</v>
      </c>
      <c r="H26" s="7">
        <f t="shared" si="0"/>
        <v>5510</v>
      </c>
      <c r="I26" s="7">
        <v>0</v>
      </c>
      <c r="J26" s="11"/>
      <c r="K26" s="6">
        <v>21</v>
      </c>
      <c r="L26" s="7">
        <v>0</v>
      </c>
      <c r="M26" s="7">
        <v>26</v>
      </c>
      <c r="N26" s="7">
        <v>4</v>
      </c>
      <c r="O26" s="7">
        <f t="shared" si="1"/>
        <v>30</v>
      </c>
      <c r="P26" s="9">
        <f t="shared" si="2"/>
        <v>0</v>
      </c>
    </row>
    <row r="27" spans="1:26" ht="18" customHeight="1" thickTop="1" thickBot="1" x14ac:dyDescent="0.35">
      <c r="A27" s="6">
        <v>22</v>
      </c>
      <c r="B27" s="7">
        <v>3242</v>
      </c>
      <c r="C27" s="7">
        <v>0</v>
      </c>
      <c r="D27" s="7">
        <v>1580</v>
      </c>
      <c r="E27" s="7">
        <v>293</v>
      </c>
      <c r="F27" s="7">
        <v>315</v>
      </c>
      <c r="G27" s="7">
        <v>416</v>
      </c>
      <c r="H27" s="7">
        <f t="shared" si="0"/>
        <v>5846</v>
      </c>
      <c r="I27" s="7">
        <v>0</v>
      </c>
      <c r="J27" s="11"/>
      <c r="K27" s="6">
        <v>22</v>
      </c>
      <c r="L27" s="7">
        <v>4</v>
      </c>
      <c r="M27" s="7">
        <v>13</v>
      </c>
      <c r="N27" s="7">
        <v>0</v>
      </c>
      <c r="O27" s="7">
        <f t="shared" si="1"/>
        <v>17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3272</v>
      </c>
      <c r="C28" s="7">
        <v>0</v>
      </c>
      <c r="D28" s="7">
        <v>1527</v>
      </c>
      <c r="E28" s="7">
        <v>277</v>
      </c>
      <c r="F28" s="7">
        <v>294</v>
      </c>
      <c r="G28" s="7">
        <v>408</v>
      </c>
      <c r="H28" s="7">
        <f t="shared" si="0"/>
        <v>5778</v>
      </c>
      <c r="I28" s="7">
        <v>0</v>
      </c>
      <c r="J28" s="11"/>
      <c r="K28" s="6">
        <v>23</v>
      </c>
      <c r="L28" s="7">
        <v>3</v>
      </c>
      <c r="M28" s="7">
        <v>6</v>
      </c>
      <c r="N28" s="7">
        <v>2</v>
      </c>
      <c r="O28" s="7">
        <f t="shared" si="1"/>
        <v>11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4605</v>
      </c>
      <c r="C29" s="7">
        <v>0</v>
      </c>
      <c r="D29" s="7">
        <v>1654</v>
      </c>
      <c r="E29" s="7">
        <v>301</v>
      </c>
      <c r="F29" s="7">
        <v>302</v>
      </c>
      <c r="G29" s="7">
        <v>396</v>
      </c>
      <c r="H29" s="7">
        <f t="shared" si="0"/>
        <v>7258</v>
      </c>
      <c r="I29" s="7">
        <v>0</v>
      </c>
      <c r="J29" s="11"/>
      <c r="K29" s="6">
        <v>24</v>
      </c>
      <c r="L29" s="7">
        <v>2</v>
      </c>
      <c r="M29" s="7">
        <v>13</v>
      </c>
      <c r="N29" s="7">
        <v>7</v>
      </c>
      <c r="O29" s="7">
        <f t="shared" si="1"/>
        <v>22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5028</v>
      </c>
      <c r="C30" s="7">
        <v>0</v>
      </c>
      <c r="D30" s="7">
        <v>1354</v>
      </c>
      <c r="E30" s="7">
        <v>277</v>
      </c>
      <c r="F30" s="7">
        <v>288</v>
      </c>
      <c r="G30" s="7">
        <v>353</v>
      </c>
      <c r="H30" s="7">
        <f t="shared" si="0"/>
        <v>7300</v>
      </c>
      <c r="I30" s="7">
        <v>0</v>
      </c>
      <c r="J30" s="11"/>
      <c r="K30" s="6">
        <v>25</v>
      </c>
      <c r="L30" s="7">
        <v>3</v>
      </c>
      <c r="M30" s="7">
        <v>11</v>
      </c>
      <c r="N30" s="7">
        <v>5</v>
      </c>
      <c r="O30" s="7">
        <f t="shared" si="1"/>
        <v>19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7">
        <v>5770</v>
      </c>
      <c r="C31" s="7">
        <v>0</v>
      </c>
      <c r="D31" s="7">
        <v>1029</v>
      </c>
      <c r="E31" s="7">
        <v>154</v>
      </c>
      <c r="F31" s="7">
        <v>195</v>
      </c>
      <c r="G31" s="7">
        <v>327</v>
      </c>
      <c r="H31" s="7">
        <f t="shared" si="0"/>
        <v>7475</v>
      </c>
      <c r="I31" s="7">
        <v>0</v>
      </c>
      <c r="J31" s="11"/>
      <c r="K31" s="6">
        <v>26</v>
      </c>
      <c r="L31" s="7">
        <v>1</v>
      </c>
      <c r="M31" s="7">
        <v>7</v>
      </c>
      <c r="N31" s="7">
        <v>2</v>
      </c>
      <c r="O31" s="7">
        <f t="shared" si="1"/>
        <v>10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7">
        <v>3399</v>
      </c>
      <c r="C32" s="7">
        <v>0</v>
      </c>
      <c r="D32" s="7">
        <v>1237</v>
      </c>
      <c r="E32" s="7">
        <v>268</v>
      </c>
      <c r="F32" s="7">
        <v>258</v>
      </c>
      <c r="G32" s="7">
        <v>406</v>
      </c>
      <c r="H32" s="7">
        <f t="shared" si="0"/>
        <v>5568</v>
      </c>
      <c r="I32" s="7">
        <v>0</v>
      </c>
      <c r="J32" s="11"/>
      <c r="K32" s="6">
        <v>27</v>
      </c>
      <c r="L32" s="7">
        <v>1</v>
      </c>
      <c r="M32" s="7">
        <v>10</v>
      </c>
      <c r="N32" s="7">
        <v>5</v>
      </c>
      <c r="O32" s="7">
        <f t="shared" si="1"/>
        <v>16</v>
      </c>
      <c r="P32" s="9">
        <f t="shared" si="2"/>
        <v>0</v>
      </c>
    </row>
    <row r="33" spans="1:16" ht="18" customHeight="1" thickTop="1" thickBot="1" x14ac:dyDescent="0.35">
      <c r="A33" s="6">
        <v>28</v>
      </c>
      <c r="B33" s="7">
        <v>3180</v>
      </c>
      <c r="C33" s="7">
        <v>0</v>
      </c>
      <c r="D33" s="7">
        <v>1487</v>
      </c>
      <c r="E33" s="7">
        <v>267</v>
      </c>
      <c r="F33" s="7">
        <v>279</v>
      </c>
      <c r="G33" s="7">
        <v>436</v>
      </c>
      <c r="H33" s="7">
        <f t="shared" si="0"/>
        <v>5649</v>
      </c>
      <c r="I33" s="7">
        <v>0</v>
      </c>
      <c r="J33" s="11"/>
      <c r="K33" s="6">
        <v>28</v>
      </c>
      <c r="L33" s="7">
        <v>5</v>
      </c>
      <c r="M33" s="7">
        <v>12</v>
      </c>
      <c r="N33" s="7">
        <v>2</v>
      </c>
      <c r="O33" s="7">
        <f t="shared" si="1"/>
        <v>19</v>
      </c>
      <c r="P33" s="9">
        <f t="shared" si="2"/>
        <v>0</v>
      </c>
    </row>
    <row r="34" spans="1:16" ht="18" customHeight="1" thickTop="1" thickBot="1" x14ac:dyDescent="0.35">
      <c r="A34" s="6">
        <v>29</v>
      </c>
      <c r="B34" s="7">
        <v>3311</v>
      </c>
      <c r="C34" s="7">
        <v>0</v>
      </c>
      <c r="D34" s="7">
        <v>1656</v>
      </c>
      <c r="E34" s="7">
        <v>299</v>
      </c>
      <c r="F34" s="7">
        <v>361</v>
      </c>
      <c r="G34" s="7">
        <v>461</v>
      </c>
      <c r="H34" s="7">
        <f t="shared" si="0"/>
        <v>6088</v>
      </c>
      <c r="I34" s="7">
        <v>0</v>
      </c>
      <c r="J34" s="11"/>
      <c r="K34" s="6">
        <v>29</v>
      </c>
      <c r="L34" s="7">
        <v>4</v>
      </c>
      <c r="M34" s="7">
        <v>25</v>
      </c>
      <c r="N34" s="7">
        <v>7</v>
      </c>
      <c r="O34" s="7">
        <f t="shared" si="1"/>
        <v>36</v>
      </c>
      <c r="P34" s="9">
        <f t="shared" si="2"/>
        <v>0</v>
      </c>
    </row>
    <row r="35" spans="1:16" ht="18" customHeight="1" thickTop="1" thickBot="1" x14ac:dyDescent="0.35">
      <c r="A35" s="6">
        <v>30</v>
      </c>
      <c r="B35" s="7">
        <v>3683</v>
      </c>
      <c r="C35" s="7">
        <v>0</v>
      </c>
      <c r="D35" s="7">
        <v>1659</v>
      </c>
      <c r="E35" s="7">
        <v>272</v>
      </c>
      <c r="F35" s="7">
        <v>326</v>
      </c>
      <c r="G35" s="7">
        <v>477</v>
      </c>
      <c r="H35" s="7">
        <f t="shared" si="0"/>
        <v>6417</v>
      </c>
      <c r="I35" s="7">
        <v>0</v>
      </c>
      <c r="J35" s="11"/>
      <c r="K35" s="6">
        <v>30</v>
      </c>
      <c r="L35" s="7">
        <v>6</v>
      </c>
      <c r="M35" s="7">
        <v>10</v>
      </c>
      <c r="N35" s="7">
        <v>10</v>
      </c>
      <c r="O35" s="7">
        <f t="shared" si="1"/>
        <v>26</v>
      </c>
      <c r="P35" s="9">
        <f t="shared" si="2"/>
        <v>0</v>
      </c>
    </row>
    <row r="36" spans="1:16" ht="18.75" customHeight="1" thickTop="1" thickBot="1" x14ac:dyDescent="0.35">
      <c r="A36" s="6">
        <v>31</v>
      </c>
      <c r="B36" s="7">
        <v>5914</v>
      </c>
      <c r="C36" s="7">
        <v>0</v>
      </c>
      <c r="D36" s="7">
        <v>1395</v>
      </c>
      <c r="E36" s="7">
        <v>221</v>
      </c>
      <c r="F36" s="7">
        <v>280</v>
      </c>
      <c r="G36" s="7">
        <v>372</v>
      </c>
      <c r="H36" s="7">
        <f t="shared" si="0"/>
        <v>8182</v>
      </c>
      <c r="I36" s="7">
        <v>0</v>
      </c>
      <c r="J36" s="11"/>
      <c r="K36" s="6">
        <v>31</v>
      </c>
      <c r="L36" s="15">
        <v>1</v>
      </c>
      <c r="M36" s="15">
        <v>11</v>
      </c>
      <c r="N36" s="15">
        <v>3</v>
      </c>
      <c r="O36" s="7">
        <f t="shared" si="1"/>
        <v>15</v>
      </c>
      <c r="P36" s="9">
        <f t="shared" si="2"/>
        <v>0</v>
      </c>
    </row>
    <row r="37" spans="1:16" ht="18" customHeight="1" thickTop="1" x14ac:dyDescent="0.3">
      <c r="A37" s="4" t="s">
        <v>20</v>
      </c>
      <c r="B37" s="16">
        <f>SUM(B6:B36)</f>
        <v>144160</v>
      </c>
      <c r="C37" s="16">
        <f t="shared" ref="C37" si="3">SUM(C6:C36)</f>
        <v>0</v>
      </c>
      <c r="D37" s="16">
        <f>SUM(D6:D36)</f>
        <v>43536</v>
      </c>
      <c r="E37" s="16">
        <f t="shared" ref="E37:G37" si="4">SUM(E6:E36)</f>
        <v>7487</v>
      </c>
      <c r="F37" s="16">
        <f t="shared" si="4"/>
        <v>8205</v>
      </c>
      <c r="G37" s="16">
        <f t="shared" si="4"/>
        <v>11295</v>
      </c>
      <c r="H37" s="16">
        <f>SUM(H6:H36)</f>
        <v>214683</v>
      </c>
      <c r="I37" s="16">
        <f>SUM(I6:I33)</f>
        <v>0</v>
      </c>
      <c r="J37" s="16"/>
      <c r="K37" s="16"/>
      <c r="L37" s="16">
        <f>SUM(L6:L36)</f>
        <v>89</v>
      </c>
      <c r="M37" s="16">
        <f t="shared" ref="M37:N37" si="5">SUM(M6:M36)</f>
        <v>415</v>
      </c>
      <c r="N37" s="16">
        <f t="shared" si="5"/>
        <v>146</v>
      </c>
      <c r="O37" s="16">
        <f>SUM(O6:O36)</f>
        <v>650</v>
      </c>
      <c r="P37" s="16">
        <f>SUM(P6:P36)</f>
        <v>18405</v>
      </c>
    </row>
    <row r="38" spans="1:16" ht="18" customHeight="1" x14ac:dyDescent="0.3">
      <c r="A38" s="4" t="s">
        <v>20</v>
      </c>
      <c r="B38" s="43">
        <f>+B37+C37</f>
        <v>144160</v>
      </c>
      <c r="C38" s="43"/>
      <c r="D38" s="16">
        <f>+D37</f>
        <v>43536</v>
      </c>
      <c r="E38" s="16">
        <f>+E37</f>
        <v>7487</v>
      </c>
      <c r="F38" s="16">
        <f>+F37</f>
        <v>8205</v>
      </c>
      <c r="G38" s="16">
        <f>+G37</f>
        <v>11295</v>
      </c>
      <c r="H38" s="16">
        <f>SUM(B38:G38)</f>
        <v>214683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6" x14ac:dyDescent="0.3">
      <c r="A39" s="23"/>
      <c r="B39" s="24"/>
      <c r="C39" s="24"/>
      <c r="D39" s="24"/>
      <c r="E39" s="24"/>
      <c r="F39" s="24"/>
      <c r="G39" s="24"/>
      <c r="H39" s="24"/>
      <c r="I39" s="24"/>
      <c r="J39" s="22"/>
      <c r="K39" s="25"/>
      <c r="L39" s="26"/>
    </row>
    <row r="41" spans="1:16" x14ac:dyDescent="0.3">
      <c r="A41" s="27"/>
    </row>
    <row r="42" spans="1:16" x14ac:dyDescent="0.3">
      <c r="A42" s="27"/>
      <c r="B42" s="10"/>
      <c r="C42" s="10"/>
      <c r="D42" s="10"/>
      <c r="E42" s="10"/>
      <c r="F42" s="10"/>
      <c r="H42" s="10"/>
      <c r="I42" s="10"/>
      <c r="J42" s="10"/>
      <c r="K42" s="28"/>
      <c r="L42" s="10"/>
      <c r="M42" s="10"/>
      <c r="N42" s="10"/>
      <c r="O42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32CD-7C7F-460D-A8EA-B87922D531DC}">
  <dimension ref="A1:Z42"/>
  <sheetViews>
    <sheetView topLeftCell="A23" workbookViewId="0">
      <selection activeCell="D44" sqref="D44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28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78" customHeight="1" x14ac:dyDescent="0.3">
      <c r="A4" s="46" t="s">
        <v>2</v>
      </c>
      <c r="B4" s="42" t="s">
        <v>3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8129</v>
      </c>
      <c r="C6" s="7">
        <v>0</v>
      </c>
      <c r="D6" s="7">
        <v>1259</v>
      </c>
      <c r="E6" s="7">
        <v>165</v>
      </c>
      <c r="F6" s="7">
        <v>246</v>
      </c>
      <c r="G6" s="7">
        <v>256</v>
      </c>
      <c r="H6" s="7">
        <f>SUM(B6:G6)</f>
        <v>10055</v>
      </c>
      <c r="I6" s="7">
        <v>0</v>
      </c>
      <c r="J6" s="8"/>
      <c r="K6" s="6">
        <v>1</v>
      </c>
      <c r="L6" s="7">
        <v>0</v>
      </c>
      <c r="M6" s="7">
        <v>4</v>
      </c>
      <c r="N6" s="7">
        <v>4</v>
      </c>
      <c r="O6" s="7">
        <f>SUM(L6:N6)</f>
        <v>8</v>
      </c>
      <c r="P6" s="9">
        <v>6135</v>
      </c>
    </row>
    <row r="7" spans="1:19" ht="18" customHeight="1" thickTop="1" thickBot="1" x14ac:dyDescent="0.35">
      <c r="A7" s="6">
        <v>2</v>
      </c>
      <c r="B7" s="7">
        <v>6592</v>
      </c>
      <c r="C7" s="7">
        <v>0</v>
      </c>
      <c r="D7" s="7">
        <v>1078</v>
      </c>
      <c r="E7" s="7">
        <v>166</v>
      </c>
      <c r="F7" s="7">
        <v>168</v>
      </c>
      <c r="G7" s="7">
        <v>277</v>
      </c>
      <c r="H7" s="7">
        <f t="shared" ref="H7:H36" si="0">SUM(B7:G7)</f>
        <v>8281</v>
      </c>
      <c r="I7" s="7">
        <v>0</v>
      </c>
      <c r="J7" s="8"/>
      <c r="K7" s="6">
        <v>2</v>
      </c>
      <c r="L7" s="7">
        <v>0</v>
      </c>
      <c r="M7" s="7">
        <v>5</v>
      </c>
      <c r="N7" s="7">
        <v>3</v>
      </c>
      <c r="O7" s="7">
        <f t="shared" ref="O7:O36" si="1">SUM(L7:N7)</f>
        <v>8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9711</v>
      </c>
      <c r="C8" s="7">
        <v>0</v>
      </c>
      <c r="D8" s="7">
        <v>706</v>
      </c>
      <c r="E8" s="7">
        <v>61</v>
      </c>
      <c r="F8" s="7">
        <v>75</v>
      </c>
      <c r="G8" s="7">
        <v>140</v>
      </c>
      <c r="H8" s="7">
        <f t="shared" si="0"/>
        <v>10693</v>
      </c>
      <c r="I8" s="7">
        <v>0</v>
      </c>
      <c r="J8" s="8"/>
      <c r="K8" s="6">
        <v>3</v>
      </c>
      <c r="L8" s="7">
        <v>1</v>
      </c>
      <c r="M8" s="7">
        <v>2</v>
      </c>
      <c r="N8" s="7">
        <v>3</v>
      </c>
      <c r="O8" s="7">
        <f t="shared" si="1"/>
        <v>6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3777</v>
      </c>
      <c r="C9" s="7">
        <v>0</v>
      </c>
      <c r="D9" s="7">
        <v>1331</v>
      </c>
      <c r="E9" s="7">
        <v>272</v>
      </c>
      <c r="F9" s="7">
        <v>237</v>
      </c>
      <c r="G9" s="7">
        <v>395</v>
      </c>
      <c r="H9" s="7">
        <f t="shared" si="0"/>
        <v>6012</v>
      </c>
      <c r="I9" s="7">
        <v>0</v>
      </c>
      <c r="J9" s="8"/>
      <c r="K9" s="6">
        <v>4</v>
      </c>
      <c r="L9" s="7">
        <v>6</v>
      </c>
      <c r="M9" s="7">
        <v>23</v>
      </c>
      <c r="N9" s="7">
        <v>3</v>
      </c>
      <c r="O9" s="7">
        <f t="shared" si="1"/>
        <v>32</v>
      </c>
      <c r="P9" s="9">
        <v>0</v>
      </c>
    </row>
    <row r="10" spans="1:19" ht="18" customHeight="1" thickTop="1" thickBot="1" x14ac:dyDescent="0.35">
      <c r="A10" s="6">
        <v>5</v>
      </c>
      <c r="B10" s="7">
        <v>3166</v>
      </c>
      <c r="C10" s="7">
        <v>0</v>
      </c>
      <c r="D10" s="7">
        <v>1469</v>
      </c>
      <c r="E10" s="7">
        <v>229</v>
      </c>
      <c r="F10" s="7">
        <v>269</v>
      </c>
      <c r="G10" s="7">
        <v>312</v>
      </c>
      <c r="H10" s="7">
        <f t="shared" si="0"/>
        <v>5445</v>
      </c>
      <c r="I10" s="7">
        <v>0</v>
      </c>
      <c r="J10" s="8"/>
      <c r="K10" s="6">
        <v>5</v>
      </c>
      <c r="L10" s="7">
        <v>2</v>
      </c>
      <c r="M10" s="7">
        <v>17</v>
      </c>
      <c r="N10" s="7">
        <v>4</v>
      </c>
      <c r="O10" s="7">
        <f t="shared" si="1"/>
        <v>23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3788</v>
      </c>
      <c r="C11" s="7">
        <v>0</v>
      </c>
      <c r="D11" s="7">
        <v>1642</v>
      </c>
      <c r="E11" s="7">
        <v>284</v>
      </c>
      <c r="F11" s="7">
        <v>296</v>
      </c>
      <c r="G11" s="7">
        <v>390</v>
      </c>
      <c r="H11" s="7">
        <f t="shared" si="0"/>
        <v>6400</v>
      </c>
      <c r="I11" s="7">
        <v>0</v>
      </c>
      <c r="J11" s="8"/>
      <c r="K11" s="6">
        <v>6</v>
      </c>
      <c r="L11" s="7">
        <v>1</v>
      </c>
      <c r="M11" s="7">
        <v>17</v>
      </c>
      <c r="N11" s="7">
        <v>2</v>
      </c>
      <c r="O11" s="7">
        <f t="shared" si="1"/>
        <v>20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6632</v>
      </c>
      <c r="C12" s="7">
        <v>0</v>
      </c>
      <c r="D12" s="7">
        <v>1540</v>
      </c>
      <c r="E12" s="7">
        <v>273</v>
      </c>
      <c r="F12" s="7">
        <v>328</v>
      </c>
      <c r="G12" s="7">
        <v>396</v>
      </c>
      <c r="H12" s="7">
        <f t="shared" si="0"/>
        <v>9169</v>
      </c>
      <c r="I12" s="7">
        <v>0</v>
      </c>
      <c r="J12" s="11"/>
      <c r="K12" s="6">
        <v>7</v>
      </c>
      <c r="L12" s="7">
        <v>0</v>
      </c>
      <c r="M12" s="7">
        <v>13</v>
      </c>
      <c r="N12" s="7">
        <v>5</v>
      </c>
      <c r="O12" s="7">
        <f t="shared" si="1"/>
        <v>18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9820</v>
      </c>
      <c r="C13" s="7">
        <v>0</v>
      </c>
      <c r="D13" s="7">
        <v>1335</v>
      </c>
      <c r="E13" s="7">
        <v>173</v>
      </c>
      <c r="F13" s="7">
        <v>271</v>
      </c>
      <c r="G13" s="7">
        <v>242</v>
      </c>
      <c r="H13" s="7">
        <f t="shared" si="0"/>
        <v>11841</v>
      </c>
      <c r="I13" s="7">
        <v>0</v>
      </c>
      <c r="J13" s="11"/>
      <c r="K13" s="6">
        <v>8</v>
      </c>
      <c r="L13" s="7">
        <v>2</v>
      </c>
      <c r="M13" s="7">
        <v>18</v>
      </c>
      <c r="N13" s="7">
        <v>4</v>
      </c>
      <c r="O13" s="7">
        <f t="shared" si="1"/>
        <v>24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7496</v>
      </c>
      <c r="C14" s="7">
        <v>0</v>
      </c>
      <c r="D14" s="7">
        <v>1170</v>
      </c>
      <c r="E14" s="7">
        <v>182</v>
      </c>
      <c r="F14" s="7">
        <v>179</v>
      </c>
      <c r="G14" s="7">
        <v>309</v>
      </c>
      <c r="H14" s="7">
        <f t="shared" si="0"/>
        <v>9336</v>
      </c>
      <c r="I14" s="7">
        <v>0</v>
      </c>
      <c r="J14" s="11"/>
      <c r="K14" s="6">
        <v>9</v>
      </c>
      <c r="L14" s="7">
        <v>7</v>
      </c>
      <c r="M14" s="7">
        <v>6</v>
      </c>
      <c r="N14" s="7">
        <v>7</v>
      </c>
      <c r="O14" s="7">
        <f t="shared" si="1"/>
        <v>20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11633</v>
      </c>
      <c r="C15" s="7">
        <v>0</v>
      </c>
      <c r="D15" s="7">
        <v>797</v>
      </c>
      <c r="E15" s="7">
        <v>67</v>
      </c>
      <c r="F15" s="7">
        <v>75</v>
      </c>
      <c r="G15" s="7">
        <v>101</v>
      </c>
      <c r="H15" s="7">
        <f t="shared" si="0"/>
        <v>12673</v>
      </c>
      <c r="I15" s="7">
        <v>0</v>
      </c>
      <c r="J15" s="11"/>
      <c r="K15" s="6">
        <v>10</v>
      </c>
      <c r="L15" s="7">
        <v>1</v>
      </c>
      <c r="M15" s="7">
        <v>2</v>
      </c>
      <c r="N15" s="7">
        <v>1</v>
      </c>
      <c r="O15" s="7">
        <f t="shared" si="1"/>
        <v>4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4116</v>
      </c>
      <c r="C16" s="7">
        <v>0</v>
      </c>
      <c r="D16" s="7">
        <v>1402</v>
      </c>
      <c r="E16" s="7">
        <v>294</v>
      </c>
      <c r="F16" s="7">
        <v>262</v>
      </c>
      <c r="G16" s="7">
        <v>376</v>
      </c>
      <c r="H16" s="7">
        <f t="shared" si="0"/>
        <v>6450</v>
      </c>
      <c r="I16" s="7">
        <v>0</v>
      </c>
      <c r="J16" s="11"/>
      <c r="K16" s="6">
        <v>11</v>
      </c>
      <c r="L16" s="7">
        <v>2</v>
      </c>
      <c r="M16" s="7">
        <v>2</v>
      </c>
      <c r="N16" s="7">
        <v>5</v>
      </c>
      <c r="O16" s="7">
        <f t="shared" si="1"/>
        <v>9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3638</v>
      </c>
      <c r="C17" s="7">
        <v>0</v>
      </c>
      <c r="D17" s="7">
        <v>1541</v>
      </c>
      <c r="E17" s="7">
        <v>266</v>
      </c>
      <c r="F17" s="7">
        <v>289</v>
      </c>
      <c r="G17" s="7">
        <v>430</v>
      </c>
      <c r="H17" s="7">
        <f t="shared" si="0"/>
        <v>6164</v>
      </c>
      <c r="I17" s="7">
        <v>0</v>
      </c>
      <c r="J17" s="11"/>
      <c r="K17" s="6">
        <v>12</v>
      </c>
      <c r="L17" s="7">
        <v>1</v>
      </c>
      <c r="M17" s="7">
        <v>7</v>
      </c>
      <c r="N17" s="7">
        <v>5</v>
      </c>
      <c r="O17" s="7">
        <f t="shared" si="1"/>
        <v>13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3621</v>
      </c>
      <c r="C18" s="7">
        <v>0</v>
      </c>
      <c r="D18" s="7">
        <v>1679</v>
      </c>
      <c r="E18" s="7">
        <v>317</v>
      </c>
      <c r="F18" s="7">
        <v>338</v>
      </c>
      <c r="G18" s="7">
        <v>440</v>
      </c>
      <c r="H18" s="7">
        <f t="shared" si="0"/>
        <v>6395</v>
      </c>
      <c r="I18" s="7">
        <v>0</v>
      </c>
      <c r="J18" s="11"/>
      <c r="K18" s="6">
        <v>13</v>
      </c>
      <c r="L18" s="7">
        <v>1</v>
      </c>
      <c r="M18" s="7">
        <v>8</v>
      </c>
      <c r="N18" s="7">
        <v>2</v>
      </c>
      <c r="O18" s="7">
        <f t="shared" si="1"/>
        <v>11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4899</v>
      </c>
      <c r="C19" s="7">
        <v>0</v>
      </c>
      <c r="D19" s="7">
        <v>1540</v>
      </c>
      <c r="E19" s="7">
        <v>300</v>
      </c>
      <c r="F19" s="7">
        <v>309</v>
      </c>
      <c r="G19" s="7">
        <v>470</v>
      </c>
      <c r="H19" s="7">
        <f t="shared" si="0"/>
        <v>7518</v>
      </c>
      <c r="I19" s="7">
        <v>0</v>
      </c>
      <c r="J19" s="11"/>
      <c r="K19" s="6">
        <v>14</v>
      </c>
      <c r="L19" s="7">
        <v>8</v>
      </c>
      <c r="M19" s="7">
        <v>14</v>
      </c>
      <c r="N19" s="7">
        <v>7</v>
      </c>
      <c r="O19" s="7">
        <f t="shared" si="1"/>
        <v>29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5755</v>
      </c>
      <c r="C20" s="7">
        <v>0</v>
      </c>
      <c r="D20" s="7">
        <v>1362</v>
      </c>
      <c r="E20" s="7">
        <v>265</v>
      </c>
      <c r="F20" s="7">
        <v>307</v>
      </c>
      <c r="G20" s="7">
        <v>343</v>
      </c>
      <c r="H20" s="7">
        <f t="shared" si="0"/>
        <v>8032</v>
      </c>
      <c r="I20" s="7">
        <v>0</v>
      </c>
      <c r="J20" s="11"/>
      <c r="K20" s="6">
        <v>15</v>
      </c>
      <c r="L20" s="7">
        <v>3</v>
      </c>
      <c r="M20" s="7">
        <v>13</v>
      </c>
      <c r="N20" s="7">
        <v>7</v>
      </c>
      <c r="O20" s="7">
        <f t="shared" si="1"/>
        <v>23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6720</v>
      </c>
      <c r="C21" s="7">
        <v>0</v>
      </c>
      <c r="D21" s="7">
        <v>1076</v>
      </c>
      <c r="E21" s="7">
        <v>175</v>
      </c>
      <c r="F21" s="7">
        <v>164</v>
      </c>
      <c r="G21" s="7">
        <v>302</v>
      </c>
      <c r="H21" s="7">
        <f t="shared" si="0"/>
        <v>8437</v>
      </c>
      <c r="I21" s="7">
        <v>0</v>
      </c>
      <c r="J21" s="11"/>
      <c r="K21" s="6">
        <v>16</v>
      </c>
      <c r="L21" s="7">
        <v>4</v>
      </c>
      <c r="M21" s="7">
        <v>5</v>
      </c>
      <c r="N21" s="7">
        <v>1</v>
      </c>
      <c r="O21" s="7">
        <f t="shared" si="1"/>
        <v>10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3866</v>
      </c>
      <c r="C22" s="7">
        <v>0</v>
      </c>
      <c r="D22" s="7">
        <v>1221</v>
      </c>
      <c r="E22" s="7">
        <v>263</v>
      </c>
      <c r="F22" s="7">
        <v>243</v>
      </c>
      <c r="G22" s="7">
        <v>371</v>
      </c>
      <c r="H22" s="7">
        <f t="shared" si="0"/>
        <v>5964</v>
      </c>
      <c r="I22" s="7">
        <v>0</v>
      </c>
      <c r="J22" s="11"/>
      <c r="K22" s="6">
        <v>17</v>
      </c>
      <c r="L22" s="7">
        <v>6</v>
      </c>
      <c r="M22" s="7">
        <v>16</v>
      </c>
      <c r="N22" s="7">
        <v>2</v>
      </c>
      <c r="O22" s="7">
        <f t="shared" si="1"/>
        <v>24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3828</v>
      </c>
      <c r="C23" s="7">
        <v>0</v>
      </c>
      <c r="D23" s="7">
        <v>1519</v>
      </c>
      <c r="E23" s="7">
        <v>310</v>
      </c>
      <c r="F23" s="7">
        <v>326</v>
      </c>
      <c r="G23" s="7">
        <v>414</v>
      </c>
      <c r="H23" s="7">
        <f t="shared" si="0"/>
        <v>6397</v>
      </c>
      <c r="I23" s="7">
        <v>0</v>
      </c>
      <c r="J23" s="11"/>
      <c r="K23" s="6">
        <v>18</v>
      </c>
      <c r="L23" s="7">
        <v>2</v>
      </c>
      <c r="M23" s="7">
        <v>24</v>
      </c>
      <c r="N23" s="7">
        <v>6</v>
      </c>
      <c r="O23" s="7">
        <f t="shared" si="1"/>
        <v>32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3987</v>
      </c>
      <c r="C24" s="7">
        <v>0</v>
      </c>
      <c r="D24" s="7">
        <v>1657</v>
      </c>
      <c r="E24" s="7">
        <v>318</v>
      </c>
      <c r="F24" s="7">
        <v>334</v>
      </c>
      <c r="G24" s="7">
        <v>493</v>
      </c>
      <c r="H24" s="7">
        <f t="shared" si="0"/>
        <v>6789</v>
      </c>
      <c r="I24" s="7">
        <v>0</v>
      </c>
      <c r="J24" s="11"/>
      <c r="K24" s="6">
        <v>19</v>
      </c>
      <c r="L24" s="7">
        <v>4</v>
      </c>
      <c r="M24" s="7">
        <v>15</v>
      </c>
      <c r="N24" s="7">
        <v>3</v>
      </c>
      <c r="O24" s="7">
        <f t="shared" si="1"/>
        <v>22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4360</v>
      </c>
      <c r="C25" s="7">
        <v>0</v>
      </c>
      <c r="D25" s="7">
        <v>1703</v>
      </c>
      <c r="E25" s="7">
        <v>299</v>
      </c>
      <c r="F25" s="7">
        <v>328</v>
      </c>
      <c r="G25" s="7">
        <v>486</v>
      </c>
      <c r="H25" s="7">
        <f t="shared" si="0"/>
        <v>7176</v>
      </c>
      <c r="I25" s="7">
        <v>0</v>
      </c>
      <c r="J25" s="11"/>
      <c r="K25" s="6">
        <v>20</v>
      </c>
      <c r="L25" s="7">
        <v>3</v>
      </c>
      <c r="M25" s="7">
        <v>18</v>
      </c>
      <c r="N25" s="7">
        <v>3</v>
      </c>
      <c r="O25" s="7">
        <f t="shared" si="1"/>
        <v>24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5606</v>
      </c>
      <c r="C26" s="7">
        <v>0</v>
      </c>
      <c r="D26" s="7">
        <v>1609</v>
      </c>
      <c r="E26" s="7">
        <v>289</v>
      </c>
      <c r="F26" s="7">
        <v>307</v>
      </c>
      <c r="G26" s="7">
        <v>401</v>
      </c>
      <c r="H26" s="7">
        <f t="shared" si="0"/>
        <v>8212</v>
      </c>
      <c r="I26" s="7">
        <v>0</v>
      </c>
      <c r="J26" s="11"/>
      <c r="K26" s="6">
        <v>21</v>
      </c>
      <c r="L26" s="7">
        <v>5</v>
      </c>
      <c r="M26" s="7">
        <v>20</v>
      </c>
      <c r="N26" s="7">
        <v>13</v>
      </c>
      <c r="O26" s="7">
        <f t="shared" si="1"/>
        <v>38</v>
      </c>
      <c r="P26" s="9">
        <f t="shared" si="2"/>
        <v>0</v>
      </c>
    </row>
    <row r="27" spans="1:26" ht="18" customHeight="1" thickTop="1" thickBot="1" x14ac:dyDescent="0.35">
      <c r="A27" s="6">
        <v>22</v>
      </c>
      <c r="B27" s="7">
        <v>6657</v>
      </c>
      <c r="C27" s="7">
        <v>0</v>
      </c>
      <c r="D27" s="7">
        <v>1326</v>
      </c>
      <c r="E27" s="7">
        <v>256</v>
      </c>
      <c r="F27" s="7">
        <v>298</v>
      </c>
      <c r="G27" s="7">
        <v>363</v>
      </c>
      <c r="H27" s="7">
        <f t="shared" si="0"/>
        <v>8900</v>
      </c>
      <c r="I27" s="7">
        <v>0</v>
      </c>
      <c r="J27" s="11"/>
      <c r="K27" s="6">
        <v>22</v>
      </c>
      <c r="L27" s="7">
        <v>6</v>
      </c>
      <c r="M27" s="7">
        <v>13</v>
      </c>
      <c r="N27" s="7">
        <v>3</v>
      </c>
      <c r="O27" s="7">
        <f t="shared" si="1"/>
        <v>22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7244</v>
      </c>
      <c r="C28" s="7">
        <v>0</v>
      </c>
      <c r="D28" s="7">
        <v>996</v>
      </c>
      <c r="E28" s="7">
        <v>143</v>
      </c>
      <c r="F28" s="7">
        <v>151</v>
      </c>
      <c r="G28" s="7">
        <v>273</v>
      </c>
      <c r="H28" s="7">
        <f t="shared" si="0"/>
        <v>8807</v>
      </c>
      <c r="I28" s="7">
        <v>0</v>
      </c>
      <c r="J28" s="11"/>
      <c r="K28" s="6">
        <v>23</v>
      </c>
      <c r="L28" s="7">
        <v>6</v>
      </c>
      <c r="M28" s="7">
        <v>5</v>
      </c>
      <c r="N28" s="7">
        <v>0</v>
      </c>
      <c r="O28" s="7">
        <f t="shared" si="1"/>
        <v>11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4356</v>
      </c>
      <c r="C29" s="7">
        <v>0</v>
      </c>
      <c r="D29" s="7">
        <v>1236</v>
      </c>
      <c r="E29" s="7">
        <v>261</v>
      </c>
      <c r="F29" s="7">
        <v>257</v>
      </c>
      <c r="G29" s="7">
        <v>355</v>
      </c>
      <c r="H29" s="7">
        <f t="shared" si="0"/>
        <v>6465</v>
      </c>
      <c r="I29" s="7">
        <v>0</v>
      </c>
      <c r="J29" s="11"/>
      <c r="K29" s="6">
        <v>24</v>
      </c>
      <c r="L29" s="7">
        <v>11</v>
      </c>
      <c r="M29" s="7">
        <v>17</v>
      </c>
      <c r="N29" s="7">
        <v>2</v>
      </c>
      <c r="O29" s="7">
        <f t="shared" si="1"/>
        <v>30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4179</v>
      </c>
      <c r="C30" s="7">
        <v>0</v>
      </c>
      <c r="D30" s="7">
        <v>1536</v>
      </c>
      <c r="E30" s="7">
        <v>268</v>
      </c>
      <c r="F30" s="7">
        <v>281</v>
      </c>
      <c r="G30" s="7">
        <v>412</v>
      </c>
      <c r="H30" s="7">
        <f t="shared" si="0"/>
        <v>6676</v>
      </c>
      <c r="I30" s="7">
        <v>0</v>
      </c>
      <c r="J30" s="11"/>
      <c r="K30" s="6">
        <v>25</v>
      </c>
      <c r="L30" s="7">
        <v>3</v>
      </c>
      <c r="M30" s="7">
        <v>8</v>
      </c>
      <c r="N30" s="7">
        <v>7</v>
      </c>
      <c r="O30" s="7">
        <f t="shared" si="1"/>
        <v>18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7">
        <v>4419</v>
      </c>
      <c r="C31" s="7">
        <v>0</v>
      </c>
      <c r="D31" s="7">
        <v>1645</v>
      </c>
      <c r="E31" s="7">
        <v>301</v>
      </c>
      <c r="F31" s="7">
        <v>336</v>
      </c>
      <c r="G31" s="7">
        <v>416</v>
      </c>
      <c r="H31" s="7">
        <f t="shared" si="0"/>
        <v>7117</v>
      </c>
      <c r="I31" s="7">
        <v>0</v>
      </c>
      <c r="J31" s="11"/>
      <c r="K31" s="6">
        <v>26</v>
      </c>
      <c r="L31" s="7">
        <v>2</v>
      </c>
      <c r="M31" s="7">
        <v>11</v>
      </c>
      <c r="N31" s="7">
        <v>5</v>
      </c>
      <c r="O31" s="7">
        <f t="shared" si="1"/>
        <v>18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7">
        <v>5535</v>
      </c>
      <c r="C32" s="7">
        <v>0</v>
      </c>
      <c r="D32" s="7">
        <v>1735</v>
      </c>
      <c r="E32" s="7">
        <v>301</v>
      </c>
      <c r="F32" s="7">
        <v>312</v>
      </c>
      <c r="G32" s="7">
        <v>445</v>
      </c>
      <c r="H32" s="7">
        <f t="shared" si="0"/>
        <v>8328</v>
      </c>
      <c r="I32" s="7">
        <v>0</v>
      </c>
      <c r="J32" s="11"/>
      <c r="K32" s="6">
        <v>27</v>
      </c>
      <c r="L32" s="7">
        <v>1</v>
      </c>
      <c r="M32" s="7">
        <v>10</v>
      </c>
      <c r="N32" s="7">
        <v>2</v>
      </c>
      <c r="O32" s="7">
        <f t="shared" si="1"/>
        <v>13</v>
      </c>
      <c r="P32" s="9">
        <f t="shared" si="2"/>
        <v>0</v>
      </c>
    </row>
    <row r="33" spans="1:16" ht="18" customHeight="1" thickTop="1" thickBot="1" x14ac:dyDescent="0.35">
      <c r="A33" s="6">
        <v>28</v>
      </c>
      <c r="B33" s="7">
        <v>8357</v>
      </c>
      <c r="C33" s="7">
        <v>0</v>
      </c>
      <c r="D33" s="7">
        <v>1462</v>
      </c>
      <c r="E33" s="7">
        <v>233</v>
      </c>
      <c r="F33" s="7">
        <v>227</v>
      </c>
      <c r="G33" s="7">
        <v>304</v>
      </c>
      <c r="H33" s="7">
        <f t="shared" si="0"/>
        <v>10583</v>
      </c>
      <c r="I33" s="7">
        <v>0</v>
      </c>
      <c r="J33" s="11"/>
      <c r="K33" s="6">
        <v>28</v>
      </c>
      <c r="L33" s="7">
        <v>0</v>
      </c>
      <c r="M33" s="7">
        <v>6</v>
      </c>
      <c r="N33" s="7">
        <v>2</v>
      </c>
      <c r="O33" s="7">
        <f t="shared" si="1"/>
        <v>8</v>
      </c>
      <c r="P33" s="9">
        <f t="shared" si="2"/>
        <v>0</v>
      </c>
    </row>
    <row r="34" spans="1:16" ht="18" customHeight="1" thickTop="1" thickBot="1" x14ac:dyDescent="0.35">
      <c r="A34" s="6">
        <v>29</v>
      </c>
      <c r="B34" s="7">
        <v>12126</v>
      </c>
      <c r="C34" s="7">
        <v>0</v>
      </c>
      <c r="D34" s="7">
        <v>1427</v>
      </c>
      <c r="E34" s="7">
        <v>186</v>
      </c>
      <c r="F34" s="7">
        <v>267</v>
      </c>
      <c r="G34" s="7">
        <v>260</v>
      </c>
      <c r="H34" s="7">
        <f t="shared" si="0"/>
        <v>14266</v>
      </c>
      <c r="I34" s="7">
        <v>0</v>
      </c>
      <c r="J34" s="11"/>
      <c r="K34" s="6">
        <v>29</v>
      </c>
      <c r="L34" s="7">
        <v>0</v>
      </c>
      <c r="M34" s="7">
        <v>7</v>
      </c>
      <c r="N34" s="7">
        <v>5</v>
      </c>
      <c r="O34" s="7">
        <f t="shared" si="1"/>
        <v>12</v>
      </c>
      <c r="P34" s="9">
        <f t="shared" si="2"/>
        <v>0</v>
      </c>
    </row>
    <row r="35" spans="1:16" ht="18" customHeight="1" thickTop="1" thickBot="1" x14ac:dyDescent="0.35">
      <c r="A35" s="6">
        <v>30</v>
      </c>
      <c r="B35" s="7">
        <v>10309</v>
      </c>
      <c r="C35" s="7">
        <v>0</v>
      </c>
      <c r="D35" s="7">
        <v>1286</v>
      </c>
      <c r="E35" s="7">
        <v>181</v>
      </c>
      <c r="F35" s="7">
        <v>155</v>
      </c>
      <c r="G35" s="7">
        <v>330</v>
      </c>
      <c r="H35" s="7">
        <f t="shared" si="0"/>
        <v>12261</v>
      </c>
      <c r="I35" s="7">
        <v>0</v>
      </c>
      <c r="J35" s="11"/>
      <c r="K35" s="6">
        <v>30</v>
      </c>
      <c r="L35" s="7">
        <v>4</v>
      </c>
      <c r="M35" s="7">
        <v>7</v>
      </c>
      <c r="N35" s="7">
        <v>3</v>
      </c>
      <c r="O35" s="7">
        <f t="shared" si="1"/>
        <v>14</v>
      </c>
      <c r="P35" s="9">
        <f t="shared" si="2"/>
        <v>0</v>
      </c>
    </row>
    <row r="36" spans="1:16" ht="18.75" customHeight="1" thickTop="1" thickBot="1" x14ac:dyDescent="0.35">
      <c r="A36" s="6">
        <v>31</v>
      </c>
      <c r="B36" s="7"/>
      <c r="C36" s="7"/>
      <c r="D36" s="7"/>
      <c r="E36" s="7"/>
      <c r="F36" s="7"/>
      <c r="G36" s="7"/>
      <c r="H36" s="7">
        <f t="shared" si="0"/>
        <v>0</v>
      </c>
      <c r="I36" s="7">
        <v>0</v>
      </c>
      <c r="J36" s="11"/>
      <c r="K36" s="6">
        <v>31</v>
      </c>
      <c r="L36" s="15"/>
      <c r="M36" s="15"/>
      <c r="N36" s="15"/>
      <c r="O36" s="7">
        <f t="shared" si="1"/>
        <v>0</v>
      </c>
      <c r="P36" s="9">
        <f t="shared" si="2"/>
        <v>0</v>
      </c>
    </row>
    <row r="37" spans="1:16" ht="18" customHeight="1" thickTop="1" x14ac:dyDescent="0.3">
      <c r="A37" s="4" t="s">
        <v>20</v>
      </c>
      <c r="B37" s="16">
        <f>SUM(B6:B36)</f>
        <v>184322</v>
      </c>
      <c r="C37" s="16">
        <f t="shared" ref="C37" si="3">SUM(C6:C36)</f>
        <v>0</v>
      </c>
      <c r="D37" s="16">
        <f>SUM(D6:D36)</f>
        <v>41285</v>
      </c>
      <c r="E37" s="16">
        <f t="shared" ref="E37:G37" si="4">SUM(E6:E36)</f>
        <v>7098</v>
      </c>
      <c r="F37" s="16">
        <f t="shared" si="4"/>
        <v>7635</v>
      </c>
      <c r="G37" s="16">
        <f t="shared" si="4"/>
        <v>10502</v>
      </c>
      <c r="H37" s="16">
        <f>SUM(H6:H36)</f>
        <v>250842</v>
      </c>
      <c r="I37" s="16">
        <f>SUM(I6:I33)</f>
        <v>0</v>
      </c>
      <c r="J37" s="16"/>
      <c r="K37" s="16"/>
      <c r="L37" s="16">
        <f>SUM(L6:L36)</f>
        <v>92</v>
      </c>
      <c r="M37" s="16">
        <f t="shared" ref="M37:N37" si="5">SUM(M6:M36)</f>
        <v>333</v>
      </c>
      <c r="N37" s="16">
        <f t="shared" si="5"/>
        <v>119</v>
      </c>
      <c r="O37" s="16">
        <f>SUM(O6:O36)</f>
        <v>544</v>
      </c>
      <c r="P37" s="16">
        <f>SUM(P6:P36)</f>
        <v>18405</v>
      </c>
    </row>
    <row r="38" spans="1:16" ht="18" customHeight="1" x14ac:dyDescent="0.3">
      <c r="A38" s="4" t="s">
        <v>20</v>
      </c>
      <c r="B38" s="43">
        <f>+B37+C37</f>
        <v>184322</v>
      </c>
      <c r="C38" s="43"/>
      <c r="D38" s="16">
        <f>+D37</f>
        <v>41285</v>
      </c>
      <c r="E38" s="16">
        <f>+E37</f>
        <v>7098</v>
      </c>
      <c r="F38" s="16">
        <f>+F37</f>
        <v>7635</v>
      </c>
      <c r="G38" s="16">
        <f>+G37</f>
        <v>10502</v>
      </c>
      <c r="H38" s="16">
        <f>SUM(B38:G38)</f>
        <v>250842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6" x14ac:dyDescent="0.3">
      <c r="A39" s="23"/>
      <c r="B39" s="24"/>
      <c r="C39" s="24"/>
      <c r="D39" s="24"/>
      <c r="E39" s="24"/>
      <c r="F39" s="24"/>
      <c r="G39" s="24"/>
      <c r="H39" s="24"/>
      <c r="I39" s="24"/>
      <c r="J39" s="22"/>
      <c r="K39" s="25"/>
      <c r="L39" s="26"/>
    </row>
    <row r="41" spans="1:16" x14ac:dyDescent="0.3">
      <c r="A41" s="27"/>
    </row>
    <row r="42" spans="1:16" x14ac:dyDescent="0.3">
      <c r="A42" s="27"/>
      <c r="B42" s="10"/>
      <c r="C42" s="10"/>
      <c r="D42" s="10"/>
      <c r="E42" s="10"/>
      <c r="F42" s="10"/>
      <c r="H42" s="10"/>
      <c r="I42" s="10"/>
      <c r="J42" s="10"/>
      <c r="K42" s="28"/>
      <c r="L42" s="10"/>
      <c r="M42" s="10"/>
      <c r="N42" s="10"/>
      <c r="O42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0CDA-684B-48DF-ABB6-89814A8FAB01}">
  <dimension ref="A1:Z42"/>
  <sheetViews>
    <sheetView topLeftCell="A23" workbookViewId="0">
      <selection activeCell="J8" sqref="J8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29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78" customHeight="1" x14ac:dyDescent="0.3">
      <c r="A4" s="46" t="s">
        <v>2</v>
      </c>
      <c r="B4" s="42" t="s">
        <v>3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14157</v>
      </c>
      <c r="C6" s="7">
        <v>0</v>
      </c>
      <c r="D6" s="7">
        <v>870</v>
      </c>
      <c r="E6" s="7">
        <v>76</v>
      </c>
      <c r="F6" s="7">
        <v>96</v>
      </c>
      <c r="G6" s="7">
        <v>115</v>
      </c>
      <c r="H6" s="7">
        <f>SUM(B6:G6)</f>
        <v>15314</v>
      </c>
      <c r="I6" s="7">
        <v>0</v>
      </c>
      <c r="J6" s="8"/>
      <c r="K6" s="6">
        <v>1</v>
      </c>
      <c r="L6" s="7">
        <v>3</v>
      </c>
      <c r="M6" s="7">
        <v>5</v>
      </c>
      <c r="N6" s="7">
        <v>0</v>
      </c>
      <c r="O6" s="7">
        <f>SUM(L6:N6)</f>
        <v>8</v>
      </c>
      <c r="P6" s="9">
        <v>6135</v>
      </c>
    </row>
    <row r="7" spans="1:19" ht="18" customHeight="1" thickTop="1" thickBot="1" x14ac:dyDescent="0.35">
      <c r="A7" s="6">
        <v>2</v>
      </c>
      <c r="B7" s="7">
        <v>5938</v>
      </c>
      <c r="C7" s="7">
        <v>0</v>
      </c>
      <c r="D7" s="7">
        <v>1363</v>
      </c>
      <c r="E7" s="7">
        <v>274</v>
      </c>
      <c r="F7" s="7">
        <v>220</v>
      </c>
      <c r="G7" s="7">
        <v>363</v>
      </c>
      <c r="H7" s="7">
        <f t="shared" ref="H7:H36" si="0">SUM(B7:G7)</f>
        <v>8158</v>
      </c>
      <c r="I7" s="7">
        <v>0</v>
      </c>
      <c r="J7" s="8"/>
      <c r="K7" s="6">
        <v>2</v>
      </c>
      <c r="L7" s="7">
        <v>3</v>
      </c>
      <c r="M7" s="7">
        <v>11</v>
      </c>
      <c r="N7" s="7">
        <v>5</v>
      </c>
      <c r="O7" s="7">
        <f t="shared" ref="O7:O36" si="1">SUM(L7:N7)</f>
        <v>19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4713</v>
      </c>
      <c r="C8" s="7">
        <v>0</v>
      </c>
      <c r="D8" s="7">
        <v>1452</v>
      </c>
      <c r="E8" s="7">
        <v>235</v>
      </c>
      <c r="F8" s="7">
        <v>278</v>
      </c>
      <c r="G8" s="7">
        <v>361</v>
      </c>
      <c r="H8" s="7">
        <f t="shared" si="0"/>
        <v>7039</v>
      </c>
      <c r="I8" s="7">
        <v>0</v>
      </c>
      <c r="J8" s="8"/>
      <c r="K8" s="6">
        <v>3</v>
      </c>
      <c r="L8" s="7">
        <v>2</v>
      </c>
      <c r="M8" s="7">
        <v>10</v>
      </c>
      <c r="N8" s="7">
        <v>5</v>
      </c>
      <c r="O8" s="7">
        <f t="shared" si="1"/>
        <v>17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5059</v>
      </c>
      <c r="C9" s="7">
        <v>0</v>
      </c>
      <c r="D9" s="7">
        <v>1632</v>
      </c>
      <c r="E9" s="7">
        <v>243</v>
      </c>
      <c r="F9" s="7">
        <v>310</v>
      </c>
      <c r="G9" s="7">
        <v>411</v>
      </c>
      <c r="H9" s="7">
        <f t="shared" si="0"/>
        <v>7655</v>
      </c>
      <c r="I9" s="7">
        <v>0</v>
      </c>
      <c r="J9" s="8"/>
      <c r="K9" s="6">
        <v>4</v>
      </c>
      <c r="L9" s="7">
        <v>1</v>
      </c>
      <c r="M9" s="7">
        <v>21</v>
      </c>
      <c r="N9" s="7">
        <v>4</v>
      </c>
      <c r="O9" s="7">
        <f t="shared" si="1"/>
        <v>26</v>
      </c>
      <c r="P9" s="9">
        <v>0</v>
      </c>
    </row>
    <row r="10" spans="1:19" ht="18" customHeight="1" thickTop="1" thickBot="1" x14ac:dyDescent="0.35">
      <c r="A10" s="6">
        <v>5</v>
      </c>
      <c r="B10" s="7">
        <v>6122</v>
      </c>
      <c r="C10" s="7">
        <v>0</v>
      </c>
      <c r="D10" s="7">
        <v>1550</v>
      </c>
      <c r="E10" s="7">
        <v>255</v>
      </c>
      <c r="F10" s="7">
        <v>303</v>
      </c>
      <c r="G10" s="7">
        <v>396</v>
      </c>
      <c r="H10" s="7">
        <f t="shared" si="0"/>
        <v>8626</v>
      </c>
      <c r="I10" s="7">
        <v>0</v>
      </c>
      <c r="J10" s="8"/>
      <c r="K10" s="6">
        <v>5</v>
      </c>
      <c r="L10" s="7">
        <v>2</v>
      </c>
      <c r="M10" s="7">
        <v>19</v>
      </c>
      <c r="N10" s="7">
        <v>3</v>
      </c>
      <c r="O10" s="7">
        <f t="shared" si="1"/>
        <v>24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7110</v>
      </c>
      <c r="C11" s="7">
        <v>0</v>
      </c>
      <c r="D11" s="7">
        <v>1464</v>
      </c>
      <c r="E11" s="7">
        <v>238</v>
      </c>
      <c r="F11" s="7">
        <v>313</v>
      </c>
      <c r="G11" s="7">
        <v>331</v>
      </c>
      <c r="H11" s="7">
        <f t="shared" si="0"/>
        <v>9456</v>
      </c>
      <c r="I11" s="7">
        <v>0</v>
      </c>
      <c r="J11" s="8"/>
      <c r="K11" s="6">
        <v>6</v>
      </c>
      <c r="L11" s="7">
        <v>2</v>
      </c>
      <c r="M11" s="7">
        <v>19</v>
      </c>
      <c r="N11" s="7">
        <v>8</v>
      </c>
      <c r="O11" s="7">
        <f t="shared" si="1"/>
        <v>29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8767</v>
      </c>
      <c r="C12" s="7">
        <v>0</v>
      </c>
      <c r="D12" s="7">
        <v>1196</v>
      </c>
      <c r="E12" s="7">
        <v>173</v>
      </c>
      <c r="F12" s="7">
        <v>228</v>
      </c>
      <c r="G12" s="7">
        <v>330</v>
      </c>
      <c r="H12" s="7">
        <f t="shared" si="0"/>
        <v>10694</v>
      </c>
      <c r="I12" s="7">
        <v>0</v>
      </c>
      <c r="J12" s="11"/>
      <c r="K12" s="6">
        <v>7</v>
      </c>
      <c r="L12" s="7">
        <v>4</v>
      </c>
      <c r="M12" s="7">
        <v>4</v>
      </c>
      <c r="N12" s="7">
        <v>2</v>
      </c>
      <c r="O12" s="7">
        <f t="shared" si="1"/>
        <v>10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4785</v>
      </c>
      <c r="C13" s="7">
        <v>0</v>
      </c>
      <c r="D13" s="7">
        <v>1361</v>
      </c>
      <c r="E13" s="7">
        <v>294</v>
      </c>
      <c r="F13" s="7">
        <v>240</v>
      </c>
      <c r="G13" s="7">
        <v>400</v>
      </c>
      <c r="H13" s="7">
        <f t="shared" si="0"/>
        <v>7080</v>
      </c>
      <c r="I13" s="7">
        <v>0</v>
      </c>
      <c r="J13" s="11"/>
      <c r="K13" s="6">
        <v>8</v>
      </c>
      <c r="L13" s="7">
        <v>4</v>
      </c>
      <c r="M13" s="7">
        <v>15</v>
      </c>
      <c r="N13" s="7">
        <v>6</v>
      </c>
      <c r="O13" s="7">
        <f t="shared" si="1"/>
        <v>25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3689</v>
      </c>
      <c r="C14" s="7">
        <v>0</v>
      </c>
      <c r="D14" s="7">
        <v>1516</v>
      </c>
      <c r="E14" s="7">
        <v>267</v>
      </c>
      <c r="F14" s="7">
        <v>314</v>
      </c>
      <c r="G14" s="7">
        <v>397</v>
      </c>
      <c r="H14" s="7">
        <f t="shared" si="0"/>
        <v>6183</v>
      </c>
      <c r="I14" s="7">
        <v>0</v>
      </c>
      <c r="J14" s="11"/>
      <c r="K14" s="6">
        <v>9</v>
      </c>
      <c r="L14" s="7">
        <v>4</v>
      </c>
      <c r="M14" s="7">
        <v>12</v>
      </c>
      <c r="N14" s="7">
        <v>4</v>
      </c>
      <c r="O14" s="7">
        <f t="shared" si="1"/>
        <v>20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3542</v>
      </c>
      <c r="C15" s="7">
        <v>0</v>
      </c>
      <c r="D15" s="7">
        <v>1548</v>
      </c>
      <c r="E15" s="7">
        <v>303</v>
      </c>
      <c r="F15" s="7">
        <v>323</v>
      </c>
      <c r="G15" s="7">
        <v>477</v>
      </c>
      <c r="H15" s="7">
        <f t="shared" si="0"/>
        <v>6193</v>
      </c>
      <c r="I15" s="7">
        <v>0</v>
      </c>
      <c r="J15" s="11"/>
      <c r="K15" s="6">
        <v>10</v>
      </c>
      <c r="L15" s="7">
        <v>2</v>
      </c>
      <c r="M15" s="7">
        <v>26</v>
      </c>
      <c r="N15" s="7">
        <v>3</v>
      </c>
      <c r="O15" s="7">
        <f t="shared" si="1"/>
        <v>31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3810</v>
      </c>
      <c r="C16" s="7">
        <v>0</v>
      </c>
      <c r="D16" s="7">
        <v>1654</v>
      </c>
      <c r="E16" s="7">
        <v>275</v>
      </c>
      <c r="F16" s="7">
        <v>312</v>
      </c>
      <c r="G16" s="7">
        <v>493</v>
      </c>
      <c r="H16" s="7">
        <f t="shared" si="0"/>
        <v>6544</v>
      </c>
      <c r="I16" s="7">
        <v>0</v>
      </c>
      <c r="J16" s="11"/>
      <c r="K16" s="6">
        <v>11</v>
      </c>
      <c r="L16" s="7">
        <v>8</v>
      </c>
      <c r="M16" s="7">
        <v>13</v>
      </c>
      <c r="N16" s="7">
        <v>2</v>
      </c>
      <c r="O16" s="7">
        <f t="shared" si="1"/>
        <v>23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5189</v>
      </c>
      <c r="C17" s="7">
        <v>0</v>
      </c>
      <c r="D17" s="7">
        <v>1538</v>
      </c>
      <c r="E17" s="7">
        <v>296</v>
      </c>
      <c r="F17" s="7">
        <v>303</v>
      </c>
      <c r="G17" s="7">
        <v>444</v>
      </c>
      <c r="H17" s="7">
        <f t="shared" si="0"/>
        <v>7770</v>
      </c>
      <c r="I17" s="7">
        <v>0</v>
      </c>
      <c r="J17" s="11"/>
      <c r="K17" s="6">
        <v>12</v>
      </c>
      <c r="L17" s="7">
        <v>2</v>
      </c>
      <c r="M17" s="7">
        <v>14</v>
      </c>
      <c r="N17" s="7">
        <v>7</v>
      </c>
      <c r="O17" s="7">
        <f t="shared" si="1"/>
        <v>23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6016</v>
      </c>
      <c r="C18" s="7">
        <v>0</v>
      </c>
      <c r="D18" s="7">
        <v>1371</v>
      </c>
      <c r="E18" s="7">
        <v>264</v>
      </c>
      <c r="F18" s="7">
        <v>288</v>
      </c>
      <c r="G18" s="7">
        <v>332</v>
      </c>
      <c r="H18" s="7">
        <f t="shared" si="0"/>
        <v>8271</v>
      </c>
      <c r="I18" s="7">
        <v>0</v>
      </c>
      <c r="J18" s="11"/>
      <c r="K18" s="6">
        <v>13</v>
      </c>
      <c r="L18" s="7">
        <v>6</v>
      </c>
      <c r="M18" s="7">
        <v>14</v>
      </c>
      <c r="N18" s="7">
        <v>8</v>
      </c>
      <c r="O18" s="7">
        <f t="shared" si="1"/>
        <v>28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4963</v>
      </c>
      <c r="C19" s="7">
        <v>0</v>
      </c>
      <c r="D19" s="7">
        <v>987</v>
      </c>
      <c r="E19" s="7">
        <v>172</v>
      </c>
      <c r="F19" s="7">
        <v>154</v>
      </c>
      <c r="G19" s="7">
        <v>291</v>
      </c>
      <c r="H19" s="7">
        <f t="shared" si="0"/>
        <v>6567</v>
      </c>
      <c r="I19" s="7">
        <v>0</v>
      </c>
      <c r="J19" s="11"/>
      <c r="K19" s="6">
        <v>14</v>
      </c>
      <c r="L19" s="7">
        <v>0</v>
      </c>
      <c r="M19" s="7">
        <v>4</v>
      </c>
      <c r="N19" s="7">
        <v>9</v>
      </c>
      <c r="O19" s="7">
        <f t="shared" si="1"/>
        <v>13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4052</v>
      </c>
      <c r="C20" s="7">
        <v>0</v>
      </c>
      <c r="D20" s="7">
        <v>1112</v>
      </c>
      <c r="E20" s="7">
        <v>272</v>
      </c>
      <c r="F20" s="7">
        <v>226</v>
      </c>
      <c r="G20" s="7">
        <v>382</v>
      </c>
      <c r="H20" s="7">
        <f t="shared" si="0"/>
        <v>6044</v>
      </c>
      <c r="I20" s="7">
        <v>0</v>
      </c>
      <c r="J20" s="11"/>
      <c r="K20" s="6">
        <v>15</v>
      </c>
      <c r="L20" s="7">
        <v>7</v>
      </c>
      <c r="M20" s="7">
        <v>10</v>
      </c>
      <c r="N20" s="7">
        <v>3</v>
      </c>
      <c r="O20" s="7">
        <f t="shared" si="1"/>
        <v>20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3081</v>
      </c>
      <c r="C21" s="7">
        <v>0</v>
      </c>
      <c r="D21" s="7">
        <v>1521</v>
      </c>
      <c r="E21" s="7">
        <v>271</v>
      </c>
      <c r="F21" s="7">
        <v>300</v>
      </c>
      <c r="G21" s="7">
        <v>435</v>
      </c>
      <c r="H21" s="7">
        <f t="shared" si="0"/>
        <v>5608</v>
      </c>
      <c r="I21" s="7">
        <v>0</v>
      </c>
      <c r="J21" s="11"/>
      <c r="K21" s="6">
        <v>16</v>
      </c>
      <c r="L21" s="7">
        <v>3</v>
      </c>
      <c r="M21" s="7">
        <v>9</v>
      </c>
      <c r="N21" s="7">
        <v>6</v>
      </c>
      <c r="O21" s="7">
        <f t="shared" si="1"/>
        <v>18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3555</v>
      </c>
      <c r="C22" s="7">
        <v>0</v>
      </c>
      <c r="D22" s="7">
        <v>1637</v>
      </c>
      <c r="E22" s="7">
        <v>321</v>
      </c>
      <c r="F22" s="7">
        <v>339</v>
      </c>
      <c r="G22" s="7">
        <v>512</v>
      </c>
      <c r="H22" s="7">
        <f t="shared" si="0"/>
        <v>6364</v>
      </c>
      <c r="I22" s="7">
        <v>0</v>
      </c>
      <c r="J22" s="11"/>
      <c r="K22" s="6">
        <v>17</v>
      </c>
      <c r="L22" s="7">
        <v>16</v>
      </c>
      <c r="M22" s="7">
        <v>12</v>
      </c>
      <c r="N22" s="7">
        <v>1</v>
      </c>
      <c r="O22" s="7">
        <f t="shared" si="1"/>
        <v>29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3965</v>
      </c>
      <c r="C23" s="7">
        <v>0</v>
      </c>
      <c r="D23" s="7">
        <v>1580</v>
      </c>
      <c r="E23" s="7">
        <v>312</v>
      </c>
      <c r="F23" s="7">
        <v>280</v>
      </c>
      <c r="G23" s="7">
        <v>482</v>
      </c>
      <c r="H23" s="7">
        <f t="shared" si="0"/>
        <v>6619</v>
      </c>
      <c r="I23" s="7">
        <v>0</v>
      </c>
      <c r="J23" s="11"/>
      <c r="K23" s="6">
        <v>18</v>
      </c>
      <c r="L23" s="7">
        <v>4</v>
      </c>
      <c r="M23" s="7">
        <v>16</v>
      </c>
      <c r="N23" s="7">
        <v>5</v>
      </c>
      <c r="O23" s="7">
        <f t="shared" si="1"/>
        <v>25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5816</v>
      </c>
      <c r="C24" s="7">
        <v>0</v>
      </c>
      <c r="D24" s="7">
        <v>1455</v>
      </c>
      <c r="E24" s="7">
        <v>298</v>
      </c>
      <c r="F24" s="7">
        <v>289</v>
      </c>
      <c r="G24" s="7">
        <v>399</v>
      </c>
      <c r="H24" s="7">
        <f t="shared" si="0"/>
        <v>8257</v>
      </c>
      <c r="I24" s="7">
        <v>0</v>
      </c>
      <c r="J24" s="11"/>
      <c r="K24" s="6">
        <v>19</v>
      </c>
      <c r="L24" s="7">
        <v>5</v>
      </c>
      <c r="M24" s="7">
        <v>7</v>
      </c>
      <c r="N24" s="7">
        <v>9</v>
      </c>
      <c r="O24" s="7">
        <f t="shared" si="1"/>
        <v>21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6685</v>
      </c>
      <c r="C25" s="7">
        <v>0</v>
      </c>
      <c r="D25" s="7">
        <v>1295</v>
      </c>
      <c r="E25" s="7">
        <v>202</v>
      </c>
      <c r="F25" s="7">
        <v>264</v>
      </c>
      <c r="G25" s="7">
        <v>339</v>
      </c>
      <c r="H25" s="7">
        <f t="shared" si="0"/>
        <v>8785</v>
      </c>
      <c r="I25" s="7">
        <v>0</v>
      </c>
      <c r="J25" s="11"/>
      <c r="K25" s="6">
        <v>20</v>
      </c>
      <c r="L25" s="7">
        <v>0</v>
      </c>
      <c r="M25" s="7">
        <v>9</v>
      </c>
      <c r="N25" s="7">
        <v>0</v>
      </c>
      <c r="O25" s="7">
        <f t="shared" si="1"/>
        <v>9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8173</v>
      </c>
      <c r="C26" s="7">
        <v>0</v>
      </c>
      <c r="D26" s="7">
        <v>978</v>
      </c>
      <c r="E26" s="7">
        <v>169</v>
      </c>
      <c r="F26" s="7">
        <v>132</v>
      </c>
      <c r="G26" s="7">
        <v>261</v>
      </c>
      <c r="H26" s="7">
        <f t="shared" si="0"/>
        <v>9713</v>
      </c>
      <c r="I26" s="7">
        <v>0</v>
      </c>
      <c r="J26" s="11"/>
      <c r="K26" s="6">
        <v>21</v>
      </c>
      <c r="L26" s="7">
        <v>3</v>
      </c>
      <c r="M26" s="7">
        <v>4</v>
      </c>
      <c r="N26" s="7">
        <v>2</v>
      </c>
      <c r="O26" s="7">
        <f t="shared" si="1"/>
        <v>9</v>
      </c>
      <c r="P26" s="9">
        <f t="shared" si="2"/>
        <v>0</v>
      </c>
    </row>
    <row r="27" spans="1:26" ht="18" customHeight="1" thickTop="1" thickBot="1" x14ac:dyDescent="0.35">
      <c r="A27" s="6">
        <v>22</v>
      </c>
      <c r="B27" s="7">
        <v>3969</v>
      </c>
      <c r="C27" s="7">
        <v>0</v>
      </c>
      <c r="D27" s="7">
        <v>1262</v>
      </c>
      <c r="E27" s="7">
        <v>281</v>
      </c>
      <c r="F27" s="7">
        <v>188</v>
      </c>
      <c r="G27" s="7">
        <v>336</v>
      </c>
      <c r="H27" s="7">
        <f t="shared" si="0"/>
        <v>6036</v>
      </c>
      <c r="I27" s="7">
        <v>0</v>
      </c>
      <c r="J27" s="11"/>
      <c r="K27" s="6">
        <v>22</v>
      </c>
      <c r="L27" s="7">
        <v>1</v>
      </c>
      <c r="M27" s="7">
        <v>10</v>
      </c>
      <c r="N27" s="7">
        <v>2</v>
      </c>
      <c r="O27" s="7">
        <f t="shared" si="1"/>
        <v>13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3393</v>
      </c>
      <c r="C28" s="7">
        <v>0</v>
      </c>
      <c r="D28" s="7">
        <v>1528</v>
      </c>
      <c r="E28" s="7">
        <v>287</v>
      </c>
      <c r="F28" s="7">
        <v>289</v>
      </c>
      <c r="G28" s="7">
        <v>446</v>
      </c>
      <c r="H28" s="7">
        <f t="shared" si="0"/>
        <v>5943</v>
      </c>
      <c r="I28" s="7">
        <v>0</v>
      </c>
      <c r="J28" s="11"/>
      <c r="K28" s="6">
        <v>23</v>
      </c>
      <c r="L28" s="7">
        <v>0</v>
      </c>
      <c r="M28" s="7">
        <v>11</v>
      </c>
      <c r="N28" s="7">
        <v>2</v>
      </c>
      <c r="O28" s="7">
        <f t="shared" si="1"/>
        <v>13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3485</v>
      </c>
      <c r="C29" s="7">
        <v>0</v>
      </c>
      <c r="D29" s="7">
        <v>1715</v>
      </c>
      <c r="E29" s="7">
        <v>332</v>
      </c>
      <c r="F29" s="7">
        <v>370</v>
      </c>
      <c r="G29" s="7">
        <v>490</v>
      </c>
      <c r="H29" s="7">
        <f t="shared" si="0"/>
        <v>6392</v>
      </c>
      <c r="I29" s="7">
        <v>0</v>
      </c>
      <c r="J29" s="11"/>
      <c r="K29" s="6">
        <v>24</v>
      </c>
      <c r="L29" s="7">
        <v>1</v>
      </c>
      <c r="M29" s="7">
        <v>12</v>
      </c>
      <c r="N29" s="7">
        <v>5</v>
      </c>
      <c r="O29" s="7">
        <f t="shared" si="1"/>
        <v>18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3902</v>
      </c>
      <c r="C30" s="7">
        <v>0</v>
      </c>
      <c r="D30" s="7">
        <v>1637</v>
      </c>
      <c r="E30" s="7">
        <v>319</v>
      </c>
      <c r="F30" s="7">
        <v>302</v>
      </c>
      <c r="G30" s="7">
        <v>504</v>
      </c>
      <c r="H30" s="7">
        <f t="shared" si="0"/>
        <v>6664</v>
      </c>
      <c r="I30" s="7">
        <v>0</v>
      </c>
      <c r="J30" s="11"/>
      <c r="K30" s="6">
        <v>25</v>
      </c>
      <c r="L30" s="7">
        <v>2</v>
      </c>
      <c r="M30" s="7">
        <v>15</v>
      </c>
      <c r="N30" s="7">
        <v>6</v>
      </c>
      <c r="O30" s="7">
        <f t="shared" si="1"/>
        <v>23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29">
        <v>5098</v>
      </c>
      <c r="C31" s="29">
        <v>0</v>
      </c>
      <c r="D31" s="29">
        <v>1572</v>
      </c>
      <c r="E31" s="29">
        <v>306</v>
      </c>
      <c r="F31" s="29">
        <v>286</v>
      </c>
      <c r="G31" s="29">
        <v>378</v>
      </c>
      <c r="H31" s="30">
        <f t="shared" si="0"/>
        <v>7640</v>
      </c>
      <c r="I31" s="30">
        <v>0</v>
      </c>
      <c r="J31" s="11"/>
      <c r="K31" s="31">
        <v>26</v>
      </c>
      <c r="L31" s="29">
        <v>1</v>
      </c>
      <c r="M31" s="29">
        <v>9</v>
      </c>
      <c r="N31" s="29">
        <v>1</v>
      </c>
      <c r="O31" s="7">
        <f t="shared" si="1"/>
        <v>11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32">
        <v>5847</v>
      </c>
      <c r="C32" s="32">
        <v>0</v>
      </c>
      <c r="D32" s="32">
        <v>1441</v>
      </c>
      <c r="E32" s="32">
        <v>245</v>
      </c>
      <c r="F32" s="32">
        <v>284</v>
      </c>
      <c r="G32" s="32">
        <v>334</v>
      </c>
      <c r="H32" s="7">
        <f t="shared" si="0"/>
        <v>8151</v>
      </c>
      <c r="I32" s="7">
        <v>0</v>
      </c>
      <c r="J32" s="7"/>
      <c r="K32" s="6">
        <v>27</v>
      </c>
      <c r="L32" s="32">
        <v>2</v>
      </c>
      <c r="M32" s="32">
        <v>4</v>
      </c>
      <c r="N32" s="32">
        <v>5</v>
      </c>
      <c r="O32" s="7">
        <f t="shared" si="1"/>
        <v>11</v>
      </c>
      <c r="P32" s="9">
        <f t="shared" si="2"/>
        <v>0</v>
      </c>
    </row>
    <row r="33" spans="1:16" ht="18" customHeight="1" thickTop="1" thickBot="1" x14ac:dyDescent="0.35">
      <c r="A33" s="6">
        <v>28</v>
      </c>
      <c r="B33" s="32">
        <v>6788</v>
      </c>
      <c r="C33" s="32">
        <v>0</v>
      </c>
      <c r="D33" s="32">
        <v>1026</v>
      </c>
      <c r="E33" s="32">
        <v>167</v>
      </c>
      <c r="F33" s="32">
        <v>159</v>
      </c>
      <c r="G33" s="32">
        <v>343</v>
      </c>
      <c r="H33" s="7">
        <f t="shared" si="0"/>
        <v>8483</v>
      </c>
      <c r="I33" s="7">
        <v>0</v>
      </c>
      <c r="J33" s="7"/>
      <c r="K33" s="6">
        <v>28</v>
      </c>
      <c r="L33" s="32">
        <v>2</v>
      </c>
      <c r="M33" s="32">
        <v>4</v>
      </c>
      <c r="N33" s="32">
        <v>2</v>
      </c>
      <c r="O33" s="7">
        <f t="shared" si="1"/>
        <v>8</v>
      </c>
      <c r="P33" s="9">
        <f t="shared" si="2"/>
        <v>0</v>
      </c>
    </row>
    <row r="34" spans="1:16" ht="18" customHeight="1" thickTop="1" thickBot="1" x14ac:dyDescent="0.35">
      <c r="A34" s="6">
        <v>29</v>
      </c>
      <c r="B34" s="32">
        <v>3682</v>
      </c>
      <c r="C34" s="32">
        <v>0</v>
      </c>
      <c r="D34" s="32">
        <v>1267</v>
      </c>
      <c r="E34" s="32">
        <v>277</v>
      </c>
      <c r="F34" s="32">
        <v>232</v>
      </c>
      <c r="G34" s="32">
        <v>366</v>
      </c>
      <c r="H34" s="7">
        <f t="shared" si="0"/>
        <v>5824</v>
      </c>
      <c r="I34" s="7">
        <v>0</v>
      </c>
      <c r="J34" s="7"/>
      <c r="K34" s="6">
        <v>29</v>
      </c>
      <c r="L34" s="32">
        <v>0</v>
      </c>
      <c r="M34" s="32">
        <v>21</v>
      </c>
      <c r="N34" s="32">
        <v>5</v>
      </c>
      <c r="O34" s="7">
        <f t="shared" si="1"/>
        <v>26</v>
      </c>
      <c r="P34" s="9">
        <f t="shared" si="2"/>
        <v>0</v>
      </c>
    </row>
    <row r="35" spans="1:16" ht="18" customHeight="1" thickTop="1" thickBot="1" x14ac:dyDescent="0.35">
      <c r="A35" s="6">
        <v>30</v>
      </c>
      <c r="B35" s="32">
        <v>3387</v>
      </c>
      <c r="C35" s="32">
        <v>0</v>
      </c>
      <c r="D35" s="32">
        <v>1561</v>
      </c>
      <c r="E35" s="32">
        <v>306</v>
      </c>
      <c r="F35" s="32">
        <v>317</v>
      </c>
      <c r="G35" s="32">
        <v>430</v>
      </c>
      <c r="H35" s="33">
        <f t="shared" si="0"/>
        <v>6001</v>
      </c>
      <c r="I35" s="33">
        <v>0</v>
      </c>
      <c r="J35" s="33"/>
      <c r="K35" s="34">
        <v>30</v>
      </c>
      <c r="L35" s="32">
        <v>2</v>
      </c>
      <c r="M35" s="32">
        <v>14</v>
      </c>
      <c r="N35" s="32">
        <v>3</v>
      </c>
      <c r="O35" s="33">
        <f t="shared" si="1"/>
        <v>19</v>
      </c>
      <c r="P35" s="9">
        <f t="shared" si="2"/>
        <v>0</v>
      </c>
    </row>
    <row r="36" spans="1:16" ht="18.75" customHeight="1" thickTop="1" thickBot="1" x14ac:dyDescent="0.35">
      <c r="A36" s="6">
        <v>31</v>
      </c>
      <c r="B36" s="32">
        <v>3472</v>
      </c>
      <c r="C36" s="32">
        <v>0</v>
      </c>
      <c r="D36" s="32">
        <v>1547</v>
      </c>
      <c r="E36" s="32">
        <v>366</v>
      </c>
      <c r="F36" s="32">
        <v>316</v>
      </c>
      <c r="G36" s="32">
        <v>446</v>
      </c>
      <c r="H36" s="7">
        <f t="shared" si="0"/>
        <v>6147</v>
      </c>
      <c r="I36" s="7">
        <v>0</v>
      </c>
      <c r="J36" s="7"/>
      <c r="K36" s="6">
        <v>31</v>
      </c>
      <c r="L36" s="32">
        <v>2</v>
      </c>
      <c r="M36" s="32">
        <v>11</v>
      </c>
      <c r="N36" s="32">
        <v>3</v>
      </c>
      <c r="O36" s="7">
        <f t="shared" si="1"/>
        <v>16</v>
      </c>
      <c r="P36" s="9">
        <f t="shared" si="2"/>
        <v>0</v>
      </c>
    </row>
    <row r="37" spans="1:16" ht="18" customHeight="1" thickTop="1" x14ac:dyDescent="0.3">
      <c r="A37" s="4" t="s">
        <v>20</v>
      </c>
      <c r="B37" s="16">
        <f>SUM(B6:B36)</f>
        <v>162210</v>
      </c>
      <c r="C37" s="16">
        <f t="shared" ref="C37:H37" si="3">SUM(C6:C36)</f>
        <v>0</v>
      </c>
      <c r="D37" s="16">
        <f t="shared" si="3"/>
        <v>43636</v>
      </c>
      <c r="E37" s="16">
        <f t="shared" si="3"/>
        <v>8096</v>
      </c>
      <c r="F37" s="16">
        <f t="shared" si="3"/>
        <v>8255</v>
      </c>
      <c r="G37" s="16">
        <f t="shared" si="3"/>
        <v>12024</v>
      </c>
      <c r="H37" s="16">
        <f t="shared" si="3"/>
        <v>234221</v>
      </c>
      <c r="I37" s="16">
        <f>SUM(I6:I33)</f>
        <v>0</v>
      </c>
      <c r="J37" s="16"/>
      <c r="K37" s="16"/>
      <c r="L37" s="16">
        <f>SUM(L6:L36)</f>
        <v>94</v>
      </c>
      <c r="M37" s="16">
        <f t="shared" ref="M37:P37" si="4">SUM(M6:M36)</f>
        <v>365</v>
      </c>
      <c r="N37" s="16">
        <f t="shared" si="4"/>
        <v>126</v>
      </c>
      <c r="O37" s="16">
        <f t="shared" si="4"/>
        <v>585</v>
      </c>
      <c r="P37" s="16">
        <f t="shared" si="4"/>
        <v>18405</v>
      </c>
    </row>
    <row r="38" spans="1:16" ht="18" customHeight="1" x14ac:dyDescent="0.3">
      <c r="A38" s="4" t="s">
        <v>20</v>
      </c>
      <c r="B38" s="43">
        <f>+B37+C37</f>
        <v>162210</v>
      </c>
      <c r="C38" s="43"/>
      <c r="D38" s="16">
        <f>+D37</f>
        <v>43636</v>
      </c>
      <c r="E38" s="16">
        <f>+E37</f>
        <v>8096</v>
      </c>
      <c r="F38" s="16">
        <f>+F37</f>
        <v>8255</v>
      </c>
      <c r="G38" s="16">
        <f>+G37</f>
        <v>12024</v>
      </c>
      <c r="H38" s="16">
        <f>SUM(B38:G38)</f>
        <v>234221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6" x14ac:dyDescent="0.3">
      <c r="A39" s="23"/>
      <c r="B39" s="24"/>
      <c r="C39" s="24"/>
      <c r="D39" s="24"/>
      <c r="E39" s="24"/>
      <c r="F39" s="24"/>
      <c r="G39" s="24"/>
      <c r="H39" s="24"/>
      <c r="I39" s="24"/>
      <c r="J39" s="22"/>
      <c r="K39" s="25"/>
      <c r="L39" s="26"/>
    </row>
    <row r="41" spans="1:16" x14ac:dyDescent="0.3">
      <c r="A41" s="27"/>
    </row>
    <row r="42" spans="1:16" x14ac:dyDescent="0.3">
      <c r="A42" s="27"/>
      <c r="B42" s="10"/>
      <c r="C42" s="10"/>
      <c r="D42" s="10"/>
      <c r="E42" s="10"/>
      <c r="F42" s="10"/>
      <c r="H42" s="10"/>
      <c r="I42" s="10"/>
      <c r="J42" s="10"/>
      <c r="K42" s="28"/>
      <c r="L42" s="10"/>
      <c r="M42" s="10"/>
      <c r="N42" s="10"/>
      <c r="O42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67F1-97CB-4283-A2BF-BF78F97D57BB}">
  <dimension ref="A1:Z42"/>
  <sheetViews>
    <sheetView topLeftCell="A20" workbookViewId="0">
      <selection activeCell="E42" sqref="E42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30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82.5" customHeight="1" x14ac:dyDescent="0.3">
      <c r="A4" s="46" t="s">
        <v>2</v>
      </c>
      <c r="B4" s="42" t="s">
        <v>31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3893</v>
      </c>
      <c r="C6" s="7">
        <v>0</v>
      </c>
      <c r="D6" s="7">
        <v>1565</v>
      </c>
      <c r="E6" s="7">
        <v>301</v>
      </c>
      <c r="F6" s="7">
        <v>318</v>
      </c>
      <c r="G6" s="7">
        <v>419</v>
      </c>
      <c r="H6" s="7">
        <f>SUM(B6:G6)</f>
        <v>6496</v>
      </c>
      <c r="I6" s="7">
        <v>0</v>
      </c>
      <c r="J6" s="8"/>
      <c r="K6" s="6">
        <v>1</v>
      </c>
      <c r="L6" s="7">
        <v>4</v>
      </c>
      <c r="M6" s="7">
        <v>16</v>
      </c>
      <c r="N6" s="7">
        <v>3</v>
      </c>
      <c r="O6" s="7">
        <f>SUM(L6:N6)</f>
        <v>23</v>
      </c>
      <c r="P6" s="9">
        <v>6135</v>
      </c>
    </row>
    <row r="7" spans="1:19" ht="18" customHeight="1" thickTop="1" thickBot="1" x14ac:dyDescent="0.35">
      <c r="A7" s="6">
        <v>2</v>
      </c>
      <c r="B7" s="7">
        <v>5433</v>
      </c>
      <c r="C7" s="7">
        <v>0</v>
      </c>
      <c r="D7" s="7">
        <v>1522</v>
      </c>
      <c r="E7" s="7">
        <v>329</v>
      </c>
      <c r="F7" s="7">
        <v>299</v>
      </c>
      <c r="G7" s="7">
        <v>437</v>
      </c>
      <c r="H7" s="7">
        <f t="shared" ref="H7:H36" si="0">SUM(B7:G7)</f>
        <v>8020</v>
      </c>
      <c r="I7" s="7">
        <v>0</v>
      </c>
      <c r="J7" s="8"/>
      <c r="K7" s="6">
        <v>2</v>
      </c>
      <c r="L7" s="7">
        <v>8</v>
      </c>
      <c r="M7" s="7">
        <v>14</v>
      </c>
      <c r="N7" s="7">
        <v>8</v>
      </c>
      <c r="O7" s="7">
        <f t="shared" ref="O7:O36" si="1">SUM(L7:N7)</f>
        <v>30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6123</v>
      </c>
      <c r="C8" s="7">
        <v>0</v>
      </c>
      <c r="D8" s="7">
        <v>1374</v>
      </c>
      <c r="E8" s="7">
        <v>267</v>
      </c>
      <c r="F8" s="7">
        <v>282</v>
      </c>
      <c r="G8" s="7">
        <v>378</v>
      </c>
      <c r="H8" s="7">
        <f t="shared" si="0"/>
        <v>8424</v>
      </c>
      <c r="I8" s="7">
        <v>0</v>
      </c>
      <c r="J8" s="8"/>
      <c r="K8" s="6">
        <v>3</v>
      </c>
      <c r="L8" s="7">
        <v>6</v>
      </c>
      <c r="M8" s="7">
        <v>17</v>
      </c>
      <c r="N8" s="7">
        <v>3</v>
      </c>
      <c r="O8" s="7">
        <f t="shared" si="1"/>
        <v>26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7336</v>
      </c>
      <c r="C9" s="7">
        <v>0</v>
      </c>
      <c r="D9" s="7">
        <v>1097</v>
      </c>
      <c r="E9" s="7">
        <v>157</v>
      </c>
      <c r="F9" s="7">
        <v>166</v>
      </c>
      <c r="G9" s="7">
        <v>325</v>
      </c>
      <c r="H9" s="7">
        <f t="shared" si="0"/>
        <v>9081</v>
      </c>
      <c r="I9" s="7">
        <v>0</v>
      </c>
      <c r="J9" s="8"/>
      <c r="K9" s="6">
        <v>4</v>
      </c>
      <c r="L9" s="7">
        <v>7</v>
      </c>
      <c r="M9" s="7">
        <v>5</v>
      </c>
      <c r="N9" s="7">
        <v>2</v>
      </c>
      <c r="O9" s="7">
        <f t="shared" si="1"/>
        <v>14</v>
      </c>
      <c r="P9" s="9">
        <v>0</v>
      </c>
    </row>
    <row r="10" spans="1:19" ht="18" customHeight="1" thickTop="1" thickBot="1" x14ac:dyDescent="0.35">
      <c r="A10" s="6">
        <v>5</v>
      </c>
      <c r="B10" s="7">
        <v>3868</v>
      </c>
      <c r="C10" s="7">
        <v>0</v>
      </c>
      <c r="D10" s="7">
        <v>1279</v>
      </c>
      <c r="E10" s="7">
        <v>290</v>
      </c>
      <c r="F10" s="7">
        <v>229</v>
      </c>
      <c r="G10" s="7">
        <v>387</v>
      </c>
      <c r="H10" s="7">
        <f t="shared" si="0"/>
        <v>6053</v>
      </c>
      <c r="I10" s="7">
        <v>0</v>
      </c>
      <c r="J10" s="8"/>
      <c r="K10" s="6">
        <v>5</v>
      </c>
      <c r="L10" s="7">
        <v>7</v>
      </c>
      <c r="M10" s="7">
        <v>16</v>
      </c>
      <c r="N10" s="7">
        <v>1</v>
      </c>
      <c r="O10" s="7">
        <f t="shared" si="1"/>
        <v>24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4150</v>
      </c>
      <c r="C11" s="7">
        <v>0</v>
      </c>
      <c r="D11" s="7">
        <v>1455</v>
      </c>
      <c r="E11" s="7">
        <v>248</v>
      </c>
      <c r="F11" s="7">
        <v>273</v>
      </c>
      <c r="G11" s="7">
        <v>388</v>
      </c>
      <c r="H11" s="7">
        <f t="shared" si="0"/>
        <v>6514</v>
      </c>
      <c r="I11" s="7">
        <v>0</v>
      </c>
      <c r="J11" s="8"/>
      <c r="K11" s="6">
        <v>6</v>
      </c>
      <c r="L11" s="7">
        <v>2</v>
      </c>
      <c r="M11" s="7">
        <v>12</v>
      </c>
      <c r="N11" s="7">
        <v>3</v>
      </c>
      <c r="O11" s="7">
        <f t="shared" si="1"/>
        <v>17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5935</v>
      </c>
      <c r="C12" s="7">
        <v>0</v>
      </c>
      <c r="D12" s="7">
        <v>1325</v>
      </c>
      <c r="E12" s="7">
        <v>226</v>
      </c>
      <c r="F12" s="7">
        <v>242</v>
      </c>
      <c r="G12" s="7">
        <v>397</v>
      </c>
      <c r="H12" s="7">
        <f t="shared" si="0"/>
        <v>8125</v>
      </c>
      <c r="I12" s="7">
        <v>0</v>
      </c>
      <c r="J12" s="11"/>
      <c r="K12" s="6">
        <v>7</v>
      </c>
      <c r="L12" s="7">
        <v>3</v>
      </c>
      <c r="M12" s="7">
        <v>11</v>
      </c>
      <c r="N12" s="7">
        <v>5</v>
      </c>
      <c r="O12" s="7">
        <f t="shared" si="1"/>
        <v>19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3632</v>
      </c>
      <c r="C13" s="7">
        <v>0</v>
      </c>
      <c r="D13" s="7">
        <v>1332</v>
      </c>
      <c r="E13" s="7">
        <v>215</v>
      </c>
      <c r="F13" s="7">
        <v>228</v>
      </c>
      <c r="G13" s="7">
        <v>350</v>
      </c>
      <c r="H13" s="7">
        <f t="shared" si="0"/>
        <v>5757</v>
      </c>
      <c r="I13" s="7">
        <v>0</v>
      </c>
      <c r="J13" s="11"/>
      <c r="K13" s="6">
        <v>8</v>
      </c>
      <c r="L13" s="7">
        <v>1</v>
      </c>
      <c r="M13" s="7">
        <v>14</v>
      </c>
      <c r="N13" s="7">
        <v>1</v>
      </c>
      <c r="O13" s="7">
        <f t="shared" si="1"/>
        <v>16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4992</v>
      </c>
      <c r="C14" s="7">
        <v>0</v>
      </c>
      <c r="D14" s="7">
        <v>1631</v>
      </c>
      <c r="E14" s="7">
        <v>289</v>
      </c>
      <c r="F14" s="7">
        <v>284</v>
      </c>
      <c r="G14" s="7">
        <v>422</v>
      </c>
      <c r="H14" s="7">
        <f t="shared" si="0"/>
        <v>7618</v>
      </c>
      <c r="I14" s="7">
        <v>0</v>
      </c>
      <c r="J14" s="11"/>
      <c r="K14" s="6">
        <v>9</v>
      </c>
      <c r="L14" s="7">
        <v>0</v>
      </c>
      <c r="M14" s="7">
        <v>5</v>
      </c>
      <c r="N14" s="7">
        <v>6</v>
      </c>
      <c r="O14" s="7">
        <f t="shared" si="1"/>
        <v>11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5545</v>
      </c>
      <c r="C15" s="7">
        <v>0</v>
      </c>
      <c r="D15" s="7">
        <v>1491</v>
      </c>
      <c r="E15" s="7">
        <v>244</v>
      </c>
      <c r="F15" s="7">
        <v>307</v>
      </c>
      <c r="G15" s="7">
        <v>423</v>
      </c>
      <c r="H15" s="7">
        <f t="shared" si="0"/>
        <v>8010</v>
      </c>
      <c r="I15" s="7">
        <v>0</v>
      </c>
      <c r="J15" s="11"/>
      <c r="K15" s="6">
        <v>10</v>
      </c>
      <c r="L15" s="7">
        <v>1</v>
      </c>
      <c r="M15" s="7">
        <v>9</v>
      </c>
      <c r="N15" s="7">
        <v>7</v>
      </c>
      <c r="O15" s="7">
        <f t="shared" si="1"/>
        <v>17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7151</v>
      </c>
      <c r="C16" s="7">
        <v>0</v>
      </c>
      <c r="D16" s="7">
        <v>1064</v>
      </c>
      <c r="E16" s="7">
        <v>158</v>
      </c>
      <c r="F16" s="7">
        <v>169</v>
      </c>
      <c r="G16" s="7">
        <v>313</v>
      </c>
      <c r="H16" s="7">
        <f t="shared" si="0"/>
        <v>8855</v>
      </c>
      <c r="I16" s="7">
        <v>0</v>
      </c>
      <c r="J16" s="11"/>
      <c r="K16" s="6">
        <v>11</v>
      </c>
      <c r="L16" s="7">
        <v>2</v>
      </c>
      <c r="M16" s="7">
        <v>12</v>
      </c>
      <c r="N16" s="7">
        <v>2</v>
      </c>
      <c r="O16" s="7">
        <f t="shared" si="1"/>
        <v>16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3937</v>
      </c>
      <c r="C17" s="7">
        <v>0</v>
      </c>
      <c r="D17" s="7">
        <v>1314</v>
      </c>
      <c r="E17" s="7">
        <v>269</v>
      </c>
      <c r="F17" s="7">
        <v>264</v>
      </c>
      <c r="G17" s="7">
        <v>435</v>
      </c>
      <c r="H17" s="7">
        <f t="shared" si="0"/>
        <v>6219</v>
      </c>
      <c r="I17" s="7">
        <v>0</v>
      </c>
      <c r="J17" s="11"/>
      <c r="K17" s="6">
        <v>12</v>
      </c>
      <c r="L17" s="7">
        <v>8</v>
      </c>
      <c r="M17" s="7">
        <v>13</v>
      </c>
      <c r="N17" s="7">
        <v>3</v>
      </c>
      <c r="O17" s="7">
        <f t="shared" si="1"/>
        <v>24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3392</v>
      </c>
      <c r="C18" s="7">
        <v>0</v>
      </c>
      <c r="D18" s="7">
        <v>1637</v>
      </c>
      <c r="E18" s="7">
        <v>261</v>
      </c>
      <c r="F18" s="7">
        <v>312</v>
      </c>
      <c r="G18" s="7">
        <v>438</v>
      </c>
      <c r="H18" s="7">
        <f t="shared" si="0"/>
        <v>6040</v>
      </c>
      <c r="I18" s="7">
        <v>0</v>
      </c>
      <c r="J18" s="11"/>
      <c r="K18" s="6">
        <v>13</v>
      </c>
      <c r="L18" s="7">
        <v>6</v>
      </c>
      <c r="M18" s="7">
        <v>9</v>
      </c>
      <c r="N18" s="7">
        <v>2</v>
      </c>
      <c r="O18" s="7">
        <f t="shared" si="1"/>
        <v>17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3644</v>
      </c>
      <c r="C19" s="7">
        <v>0</v>
      </c>
      <c r="D19" s="7">
        <v>1767</v>
      </c>
      <c r="E19" s="7">
        <v>315</v>
      </c>
      <c r="F19" s="7">
        <v>327</v>
      </c>
      <c r="G19" s="7">
        <v>413</v>
      </c>
      <c r="H19" s="7">
        <f t="shared" si="0"/>
        <v>6466</v>
      </c>
      <c r="I19" s="7">
        <v>0</v>
      </c>
      <c r="J19" s="11"/>
      <c r="K19" s="6">
        <v>14</v>
      </c>
      <c r="L19" s="7">
        <v>10</v>
      </c>
      <c r="M19" s="7">
        <v>27</v>
      </c>
      <c r="N19" s="7">
        <v>5</v>
      </c>
      <c r="O19" s="7">
        <f t="shared" si="1"/>
        <v>42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4412</v>
      </c>
      <c r="C20" s="7">
        <v>0</v>
      </c>
      <c r="D20" s="7">
        <v>1802</v>
      </c>
      <c r="E20" s="7">
        <v>313</v>
      </c>
      <c r="F20" s="7">
        <v>313</v>
      </c>
      <c r="G20" s="7">
        <v>432</v>
      </c>
      <c r="H20" s="7">
        <f t="shared" si="0"/>
        <v>7272</v>
      </c>
      <c r="I20" s="7">
        <v>0</v>
      </c>
      <c r="J20" s="11"/>
      <c r="K20" s="6">
        <v>15</v>
      </c>
      <c r="L20" s="7">
        <v>1</v>
      </c>
      <c r="M20" s="7">
        <v>17</v>
      </c>
      <c r="N20" s="7">
        <v>6</v>
      </c>
      <c r="O20" s="7">
        <f t="shared" si="1"/>
        <v>24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8016</v>
      </c>
      <c r="C21" s="7">
        <v>0</v>
      </c>
      <c r="D21" s="7">
        <v>1650</v>
      </c>
      <c r="E21" s="7">
        <v>267</v>
      </c>
      <c r="F21" s="7">
        <v>296</v>
      </c>
      <c r="G21" s="7">
        <v>348</v>
      </c>
      <c r="H21" s="7">
        <f t="shared" si="0"/>
        <v>10577</v>
      </c>
      <c r="I21" s="7">
        <v>0</v>
      </c>
      <c r="J21" s="11"/>
      <c r="K21" s="6">
        <v>16</v>
      </c>
      <c r="L21" s="7">
        <v>9</v>
      </c>
      <c r="M21" s="7">
        <v>10</v>
      </c>
      <c r="N21" s="7">
        <v>8</v>
      </c>
      <c r="O21" s="7">
        <f t="shared" si="1"/>
        <v>27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10910</v>
      </c>
      <c r="C22" s="7">
        <v>0</v>
      </c>
      <c r="D22" s="7">
        <v>1419</v>
      </c>
      <c r="E22" s="7">
        <v>175</v>
      </c>
      <c r="F22" s="7">
        <v>270</v>
      </c>
      <c r="G22" s="7">
        <v>253</v>
      </c>
      <c r="H22" s="7">
        <f t="shared" si="0"/>
        <v>13027</v>
      </c>
      <c r="I22" s="7">
        <v>0</v>
      </c>
      <c r="J22" s="11"/>
      <c r="K22" s="6">
        <v>17</v>
      </c>
      <c r="L22" s="7">
        <v>1</v>
      </c>
      <c r="M22" s="7">
        <v>16</v>
      </c>
      <c r="N22" s="7">
        <v>1</v>
      </c>
      <c r="O22" s="7">
        <f t="shared" si="1"/>
        <v>18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7977</v>
      </c>
      <c r="C23" s="7">
        <v>0</v>
      </c>
      <c r="D23" s="7">
        <v>1226</v>
      </c>
      <c r="E23" s="7">
        <v>196</v>
      </c>
      <c r="F23" s="7">
        <v>223</v>
      </c>
      <c r="G23" s="7">
        <v>301</v>
      </c>
      <c r="H23" s="7">
        <f t="shared" si="0"/>
        <v>9923</v>
      </c>
      <c r="I23" s="7">
        <v>0</v>
      </c>
      <c r="J23" s="11"/>
      <c r="K23" s="6">
        <v>18</v>
      </c>
      <c r="L23" s="7">
        <v>0</v>
      </c>
      <c r="M23" s="7">
        <v>10</v>
      </c>
      <c r="N23" s="7">
        <v>5</v>
      </c>
      <c r="O23" s="7">
        <f t="shared" si="1"/>
        <v>15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13979</v>
      </c>
      <c r="C24" s="7">
        <v>0</v>
      </c>
      <c r="D24" s="7">
        <v>906</v>
      </c>
      <c r="E24" s="7">
        <v>68</v>
      </c>
      <c r="F24" s="7">
        <v>92</v>
      </c>
      <c r="G24" s="7">
        <v>118</v>
      </c>
      <c r="H24" s="7">
        <f t="shared" si="0"/>
        <v>15163</v>
      </c>
      <c r="I24" s="7">
        <v>0</v>
      </c>
      <c r="J24" s="11"/>
      <c r="K24" s="6">
        <v>19</v>
      </c>
      <c r="L24" s="7">
        <v>1</v>
      </c>
      <c r="M24" s="7">
        <v>4</v>
      </c>
      <c r="N24" s="7">
        <v>0</v>
      </c>
      <c r="O24" s="7">
        <f t="shared" si="1"/>
        <v>5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4650</v>
      </c>
      <c r="C25" s="7">
        <v>0</v>
      </c>
      <c r="D25" s="7">
        <v>1508</v>
      </c>
      <c r="E25" s="7">
        <v>323</v>
      </c>
      <c r="F25" s="7">
        <v>266</v>
      </c>
      <c r="G25" s="7">
        <v>441</v>
      </c>
      <c r="H25" s="7">
        <f t="shared" si="0"/>
        <v>7188</v>
      </c>
      <c r="I25" s="7">
        <v>0</v>
      </c>
      <c r="J25" s="11"/>
      <c r="K25" s="6">
        <v>20</v>
      </c>
      <c r="L25" s="7">
        <v>11</v>
      </c>
      <c r="M25" s="7">
        <v>14</v>
      </c>
      <c r="N25" s="7">
        <v>6</v>
      </c>
      <c r="O25" s="7">
        <f t="shared" si="1"/>
        <v>31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3595</v>
      </c>
      <c r="C26" s="7">
        <v>0</v>
      </c>
      <c r="D26" s="7">
        <v>1746</v>
      </c>
      <c r="E26" s="7">
        <v>313</v>
      </c>
      <c r="F26" s="7">
        <v>330</v>
      </c>
      <c r="G26" s="7">
        <v>445</v>
      </c>
      <c r="H26" s="7">
        <f t="shared" si="0"/>
        <v>6429</v>
      </c>
      <c r="I26" s="7">
        <v>0</v>
      </c>
      <c r="J26" s="11"/>
      <c r="K26" s="6">
        <v>21</v>
      </c>
      <c r="L26" s="7">
        <v>8</v>
      </c>
      <c r="M26" s="7">
        <v>18</v>
      </c>
      <c r="N26" s="7">
        <v>8</v>
      </c>
      <c r="O26" s="7">
        <f t="shared" si="1"/>
        <v>34</v>
      </c>
      <c r="P26" s="9">
        <f t="shared" si="2"/>
        <v>0</v>
      </c>
    </row>
    <row r="27" spans="1:26" ht="18" customHeight="1" thickTop="1" thickBot="1" x14ac:dyDescent="0.35">
      <c r="A27" s="6">
        <v>22</v>
      </c>
      <c r="B27" s="7">
        <v>3695</v>
      </c>
      <c r="C27" s="7">
        <v>0</v>
      </c>
      <c r="D27" s="7">
        <v>1747</v>
      </c>
      <c r="E27" s="7">
        <v>309</v>
      </c>
      <c r="F27" s="7">
        <v>342</v>
      </c>
      <c r="G27" s="7">
        <v>473</v>
      </c>
      <c r="H27" s="7">
        <f t="shared" si="0"/>
        <v>6566</v>
      </c>
      <c r="I27" s="7">
        <v>0</v>
      </c>
      <c r="J27" s="11"/>
      <c r="K27" s="6">
        <v>22</v>
      </c>
      <c r="L27" s="7">
        <v>1</v>
      </c>
      <c r="M27" s="7">
        <v>18</v>
      </c>
      <c r="N27" s="7">
        <v>3</v>
      </c>
      <c r="O27" s="7">
        <f t="shared" si="1"/>
        <v>22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4590</v>
      </c>
      <c r="C28" s="7">
        <v>0</v>
      </c>
      <c r="D28" s="7">
        <v>1680</v>
      </c>
      <c r="E28" s="7">
        <v>326</v>
      </c>
      <c r="F28" s="7">
        <v>331</v>
      </c>
      <c r="G28" s="7">
        <v>427</v>
      </c>
      <c r="H28" s="7">
        <f t="shared" si="0"/>
        <v>7354</v>
      </c>
      <c r="I28" s="7">
        <v>0</v>
      </c>
      <c r="J28" s="11"/>
      <c r="K28" s="6">
        <v>23</v>
      </c>
      <c r="L28" s="7">
        <v>8</v>
      </c>
      <c r="M28" s="7">
        <v>13</v>
      </c>
      <c r="N28" s="7">
        <v>6</v>
      </c>
      <c r="O28" s="7">
        <f t="shared" si="1"/>
        <v>27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5441</v>
      </c>
      <c r="C29" s="7">
        <v>0</v>
      </c>
      <c r="D29" s="7">
        <v>1513</v>
      </c>
      <c r="E29" s="7">
        <v>250</v>
      </c>
      <c r="F29" s="7">
        <v>292</v>
      </c>
      <c r="G29" s="7">
        <v>345</v>
      </c>
      <c r="H29" s="7">
        <f t="shared" si="0"/>
        <v>7841</v>
      </c>
      <c r="I29" s="7">
        <v>0</v>
      </c>
      <c r="J29" s="11"/>
      <c r="K29" s="6">
        <v>24</v>
      </c>
      <c r="L29" s="7">
        <v>1</v>
      </c>
      <c r="M29" s="7">
        <v>10</v>
      </c>
      <c r="N29" s="7">
        <v>2</v>
      </c>
      <c r="O29" s="7">
        <f t="shared" si="1"/>
        <v>13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6468</v>
      </c>
      <c r="C30" s="7">
        <v>0</v>
      </c>
      <c r="D30" s="7">
        <v>1099</v>
      </c>
      <c r="E30" s="7">
        <v>161</v>
      </c>
      <c r="F30" s="7">
        <v>176</v>
      </c>
      <c r="G30" s="7">
        <v>324</v>
      </c>
      <c r="H30" s="7">
        <f t="shared" si="0"/>
        <v>8228</v>
      </c>
      <c r="I30" s="7">
        <v>0</v>
      </c>
      <c r="J30" s="11"/>
      <c r="K30" s="6">
        <v>25</v>
      </c>
      <c r="L30" s="7">
        <v>1</v>
      </c>
      <c r="M30" s="7">
        <v>9</v>
      </c>
      <c r="N30" s="7">
        <v>1</v>
      </c>
      <c r="O30" s="7">
        <f t="shared" si="1"/>
        <v>11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29">
        <v>3555</v>
      </c>
      <c r="C31" s="29">
        <v>0</v>
      </c>
      <c r="D31" s="29">
        <v>1342</v>
      </c>
      <c r="E31" s="29">
        <v>341</v>
      </c>
      <c r="F31" s="29">
        <v>255</v>
      </c>
      <c r="G31" s="29">
        <v>393</v>
      </c>
      <c r="H31" s="30">
        <f t="shared" si="0"/>
        <v>5886</v>
      </c>
      <c r="I31" s="30">
        <v>0</v>
      </c>
      <c r="J31" s="11"/>
      <c r="K31" s="31">
        <v>26</v>
      </c>
      <c r="L31" s="29">
        <v>12</v>
      </c>
      <c r="M31" s="29">
        <v>9</v>
      </c>
      <c r="N31" s="29">
        <v>1</v>
      </c>
      <c r="O31" s="7">
        <f t="shared" si="1"/>
        <v>22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32">
        <v>3314</v>
      </c>
      <c r="C32" s="32">
        <v>0</v>
      </c>
      <c r="D32" s="32">
        <v>1613</v>
      </c>
      <c r="E32" s="32">
        <v>321</v>
      </c>
      <c r="F32" s="32">
        <v>302</v>
      </c>
      <c r="G32" s="32">
        <v>431</v>
      </c>
      <c r="H32" s="7">
        <f t="shared" si="0"/>
        <v>5981</v>
      </c>
      <c r="I32" s="7">
        <v>0</v>
      </c>
      <c r="J32" s="7"/>
      <c r="K32" s="6">
        <v>27</v>
      </c>
      <c r="L32" s="32">
        <v>6</v>
      </c>
      <c r="M32" s="32">
        <v>27</v>
      </c>
      <c r="N32" s="32">
        <v>7</v>
      </c>
      <c r="O32" s="7">
        <f t="shared" si="1"/>
        <v>40</v>
      </c>
      <c r="P32" s="9">
        <f t="shared" si="2"/>
        <v>0</v>
      </c>
    </row>
    <row r="33" spans="1:16" ht="18" customHeight="1" thickTop="1" thickBot="1" x14ac:dyDescent="0.35">
      <c r="A33" s="6">
        <v>28</v>
      </c>
      <c r="B33" s="32">
        <v>3315</v>
      </c>
      <c r="C33" s="32">
        <v>0</v>
      </c>
      <c r="D33" s="32">
        <v>1680</v>
      </c>
      <c r="E33" s="32">
        <v>334</v>
      </c>
      <c r="F33" s="32">
        <v>343</v>
      </c>
      <c r="G33" s="32">
        <v>446</v>
      </c>
      <c r="H33" s="7">
        <f t="shared" si="0"/>
        <v>6118</v>
      </c>
      <c r="I33" s="7">
        <v>0</v>
      </c>
      <c r="J33" s="7"/>
      <c r="K33" s="6">
        <v>28</v>
      </c>
      <c r="L33" s="32">
        <v>2</v>
      </c>
      <c r="M33" s="32">
        <v>24</v>
      </c>
      <c r="N33" s="32">
        <v>1</v>
      </c>
      <c r="O33" s="7">
        <f t="shared" si="1"/>
        <v>27</v>
      </c>
      <c r="P33" s="9">
        <f t="shared" si="2"/>
        <v>0</v>
      </c>
    </row>
    <row r="34" spans="1:16" ht="18" customHeight="1" thickTop="1" thickBot="1" x14ac:dyDescent="0.35">
      <c r="A34" s="6">
        <v>29</v>
      </c>
      <c r="B34" s="32">
        <v>3660</v>
      </c>
      <c r="C34" s="32">
        <v>0</v>
      </c>
      <c r="D34" s="32">
        <v>1713</v>
      </c>
      <c r="E34" s="32">
        <v>324</v>
      </c>
      <c r="F34" s="32">
        <v>335</v>
      </c>
      <c r="G34" s="32">
        <v>451</v>
      </c>
      <c r="H34" s="7">
        <f t="shared" si="0"/>
        <v>6483</v>
      </c>
      <c r="I34" s="7">
        <v>0</v>
      </c>
      <c r="J34" s="7"/>
      <c r="K34" s="6">
        <v>29</v>
      </c>
      <c r="L34" s="32">
        <v>4</v>
      </c>
      <c r="M34" s="32">
        <v>17</v>
      </c>
      <c r="N34" s="32">
        <v>3</v>
      </c>
      <c r="O34" s="7">
        <f t="shared" si="1"/>
        <v>24</v>
      </c>
      <c r="P34" s="9">
        <f t="shared" si="2"/>
        <v>0</v>
      </c>
    </row>
    <row r="35" spans="1:16" ht="18" customHeight="1" thickTop="1" thickBot="1" x14ac:dyDescent="0.35">
      <c r="A35" s="6">
        <v>30</v>
      </c>
      <c r="B35" s="32">
        <v>5016</v>
      </c>
      <c r="C35" s="32">
        <v>0</v>
      </c>
      <c r="D35" s="32">
        <v>1629</v>
      </c>
      <c r="E35" s="32">
        <v>289</v>
      </c>
      <c r="F35" s="32">
        <v>280</v>
      </c>
      <c r="G35" s="32">
        <v>378</v>
      </c>
      <c r="H35" s="33">
        <f t="shared" si="0"/>
        <v>7592</v>
      </c>
      <c r="I35" s="33">
        <v>0</v>
      </c>
      <c r="J35" s="33"/>
      <c r="K35" s="34">
        <v>30</v>
      </c>
      <c r="L35" s="32">
        <v>5</v>
      </c>
      <c r="M35" s="32">
        <v>12</v>
      </c>
      <c r="N35" s="32">
        <v>6</v>
      </c>
      <c r="O35" s="33">
        <f t="shared" si="1"/>
        <v>23</v>
      </c>
      <c r="P35" s="9">
        <f t="shared" si="2"/>
        <v>0</v>
      </c>
    </row>
    <row r="36" spans="1:16" ht="18.75" customHeight="1" thickTop="1" thickBot="1" x14ac:dyDescent="0.35">
      <c r="A36" s="6">
        <v>31</v>
      </c>
      <c r="B36" s="32">
        <v>5643</v>
      </c>
      <c r="C36" s="32">
        <v>0</v>
      </c>
      <c r="D36" s="32">
        <v>1408</v>
      </c>
      <c r="E36" s="32">
        <v>276</v>
      </c>
      <c r="F36" s="32">
        <v>290</v>
      </c>
      <c r="G36" s="32">
        <v>336</v>
      </c>
      <c r="H36" s="7">
        <f t="shared" si="0"/>
        <v>7953</v>
      </c>
      <c r="I36" s="7">
        <v>0</v>
      </c>
      <c r="J36" s="7"/>
      <c r="K36" s="6">
        <v>31</v>
      </c>
      <c r="L36" s="32">
        <v>2</v>
      </c>
      <c r="M36" s="32">
        <v>10</v>
      </c>
      <c r="N36" s="32">
        <v>3</v>
      </c>
      <c r="O36" s="7">
        <f t="shared" si="1"/>
        <v>15</v>
      </c>
      <c r="P36" s="9">
        <f t="shared" si="2"/>
        <v>0</v>
      </c>
    </row>
    <row r="37" spans="1:16" ht="18" customHeight="1" thickTop="1" x14ac:dyDescent="0.3">
      <c r="A37" s="4" t="s">
        <v>20</v>
      </c>
      <c r="B37" s="16">
        <f>SUM(B6:B36)</f>
        <v>167267</v>
      </c>
      <c r="C37" s="16">
        <f t="shared" ref="C37:H37" si="3">SUM(C6:C36)</f>
        <v>0</v>
      </c>
      <c r="D37" s="16">
        <f t="shared" si="3"/>
        <v>45534</v>
      </c>
      <c r="E37" s="16">
        <f t="shared" si="3"/>
        <v>8155</v>
      </c>
      <c r="F37" s="16">
        <f t="shared" si="3"/>
        <v>8436</v>
      </c>
      <c r="G37" s="16">
        <f t="shared" si="3"/>
        <v>11867</v>
      </c>
      <c r="H37" s="16">
        <f t="shared" si="3"/>
        <v>241259</v>
      </c>
      <c r="I37" s="16">
        <f>SUM(I6:I33)</f>
        <v>0</v>
      </c>
      <c r="J37" s="16"/>
      <c r="K37" s="16"/>
      <c r="L37" s="16">
        <f>SUM(L6:L36)</f>
        <v>138</v>
      </c>
      <c r="M37" s="16">
        <f t="shared" ref="M37:P37" si="4">SUM(M6:M36)</f>
        <v>418</v>
      </c>
      <c r="N37" s="16">
        <f t="shared" si="4"/>
        <v>118</v>
      </c>
      <c r="O37" s="16">
        <f t="shared" si="4"/>
        <v>674</v>
      </c>
      <c r="P37" s="16">
        <f t="shared" si="4"/>
        <v>18405</v>
      </c>
    </row>
    <row r="38" spans="1:16" ht="18" customHeight="1" x14ac:dyDescent="0.3">
      <c r="A38" s="4" t="s">
        <v>20</v>
      </c>
      <c r="B38" s="43">
        <f>+B37+C37</f>
        <v>167267</v>
      </c>
      <c r="C38" s="43"/>
      <c r="D38" s="16">
        <f>+D37</f>
        <v>45534</v>
      </c>
      <c r="E38" s="16">
        <f>+E37</f>
        <v>8155</v>
      </c>
      <c r="F38" s="16">
        <f>+F37</f>
        <v>8436</v>
      </c>
      <c r="G38" s="16">
        <f>+G37</f>
        <v>11867</v>
      </c>
      <c r="H38" s="16">
        <f>SUM(B38:G38)</f>
        <v>241259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6" x14ac:dyDescent="0.3">
      <c r="A39" s="23"/>
      <c r="B39" s="24"/>
      <c r="C39" s="24"/>
      <c r="D39" s="24"/>
      <c r="E39" s="24"/>
      <c r="F39" s="24"/>
      <c r="G39" s="24"/>
      <c r="H39" s="24"/>
      <c r="I39" s="24"/>
      <c r="J39" s="22"/>
      <c r="K39" s="25"/>
      <c r="L39" s="26"/>
    </row>
    <row r="41" spans="1:16" x14ac:dyDescent="0.3">
      <c r="A41" s="27"/>
    </row>
    <row r="42" spans="1:16" x14ac:dyDescent="0.3">
      <c r="A42" s="27"/>
      <c r="B42" s="10"/>
      <c r="C42" s="10"/>
      <c r="D42" s="10"/>
      <c r="E42" s="10"/>
      <c r="F42" s="10"/>
      <c r="H42" s="10"/>
      <c r="I42" s="10"/>
      <c r="J42" s="10"/>
      <c r="K42" s="28"/>
      <c r="L42" s="10"/>
      <c r="M42" s="10"/>
      <c r="N42" s="10"/>
      <c r="O42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11D6-B794-4337-9378-E49E8BA0EE56}">
  <dimension ref="A1:Z42"/>
  <sheetViews>
    <sheetView topLeftCell="A22" workbookViewId="0">
      <selection activeCell="J6" sqref="J6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33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82.5" customHeight="1" x14ac:dyDescent="0.3">
      <c r="A4" s="46" t="s">
        <v>2</v>
      </c>
      <c r="B4" s="42" t="s">
        <v>31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6900</v>
      </c>
      <c r="C6" s="7">
        <v>0</v>
      </c>
      <c r="D6" s="7">
        <v>1024</v>
      </c>
      <c r="E6" s="7">
        <v>212</v>
      </c>
      <c r="F6" s="7">
        <v>182</v>
      </c>
      <c r="G6" s="7">
        <v>251</v>
      </c>
      <c r="H6" s="7">
        <f>SUM(B6:G6)</f>
        <v>8569</v>
      </c>
      <c r="I6" s="7">
        <v>0</v>
      </c>
      <c r="J6" s="8"/>
      <c r="K6" s="6">
        <v>1</v>
      </c>
      <c r="L6" s="7">
        <v>2</v>
      </c>
      <c r="M6" s="7">
        <v>8</v>
      </c>
      <c r="N6" s="7">
        <v>6</v>
      </c>
      <c r="O6" s="7">
        <f>SUM(L6:N6)</f>
        <v>16</v>
      </c>
      <c r="P6" s="9">
        <v>6135</v>
      </c>
    </row>
    <row r="7" spans="1:19" ht="18" customHeight="1" thickTop="1" thickBot="1" x14ac:dyDescent="0.35">
      <c r="A7" s="6">
        <v>2</v>
      </c>
      <c r="B7" s="7">
        <v>3300</v>
      </c>
      <c r="C7" s="7">
        <v>0</v>
      </c>
      <c r="D7" s="7">
        <v>1079</v>
      </c>
      <c r="E7" s="7">
        <v>226</v>
      </c>
      <c r="F7" s="7">
        <v>158</v>
      </c>
      <c r="G7" s="7">
        <v>303</v>
      </c>
      <c r="H7" s="7">
        <f t="shared" ref="H7:H36" si="0">SUM(B7:G7)</f>
        <v>5066</v>
      </c>
      <c r="I7" s="7">
        <v>0</v>
      </c>
      <c r="J7" s="8"/>
      <c r="K7" s="6">
        <v>2</v>
      </c>
      <c r="L7" s="7">
        <v>6</v>
      </c>
      <c r="M7" s="7">
        <v>9</v>
      </c>
      <c r="N7" s="7">
        <v>3</v>
      </c>
      <c r="O7" s="7">
        <f t="shared" ref="O7:O36" si="1">SUM(L7:N7)</f>
        <v>18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2158</v>
      </c>
      <c r="C8" s="7">
        <v>0</v>
      </c>
      <c r="D8" s="7">
        <v>921</v>
      </c>
      <c r="E8" s="7">
        <v>139</v>
      </c>
      <c r="F8" s="7">
        <v>169</v>
      </c>
      <c r="G8" s="7">
        <v>150</v>
      </c>
      <c r="H8" s="7">
        <f t="shared" si="0"/>
        <v>3537</v>
      </c>
      <c r="I8" s="7">
        <v>0</v>
      </c>
      <c r="J8" s="8"/>
      <c r="K8" s="6">
        <v>3</v>
      </c>
      <c r="L8" s="7">
        <v>3</v>
      </c>
      <c r="M8" s="7">
        <v>14</v>
      </c>
      <c r="N8" s="7">
        <v>3</v>
      </c>
      <c r="O8" s="7">
        <f t="shared" si="1"/>
        <v>20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827</v>
      </c>
      <c r="C9" s="7">
        <v>0</v>
      </c>
      <c r="D9" s="7">
        <v>431</v>
      </c>
      <c r="E9" s="7">
        <v>53</v>
      </c>
      <c r="F9" s="7">
        <v>110</v>
      </c>
      <c r="G9" s="7">
        <v>64</v>
      </c>
      <c r="H9" s="7">
        <f t="shared" si="0"/>
        <v>1485</v>
      </c>
      <c r="I9" s="7">
        <v>0</v>
      </c>
      <c r="J9" s="8"/>
      <c r="K9" s="6">
        <v>4</v>
      </c>
      <c r="L9" s="7">
        <v>3</v>
      </c>
      <c r="M9" s="7">
        <v>10</v>
      </c>
      <c r="N9" s="7">
        <v>1</v>
      </c>
      <c r="O9" s="7">
        <f t="shared" si="1"/>
        <v>14</v>
      </c>
      <c r="P9" s="9">
        <v>0</v>
      </c>
    </row>
    <row r="10" spans="1:19" ht="18" customHeight="1" thickTop="1" thickBot="1" x14ac:dyDescent="0.35">
      <c r="A10" s="6">
        <v>5</v>
      </c>
      <c r="B10" s="7">
        <v>628</v>
      </c>
      <c r="C10" s="7">
        <v>0</v>
      </c>
      <c r="D10" s="7">
        <v>153</v>
      </c>
      <c r="E10" s="7">
        <v>14</v>
      </c>
      <c r="F10" s="7">
        <v>14</v>
      </c>
      <c r="G10" s="7">
        <v>6</v>
      </c>
      <c r="H10" s="7">
        <f t="shared" si="0"/>
        <v>815</v>
      </c>
      <c r="I10" s="7">
        <v>0</v>
      </c>
      <c r="J10" s="8"/>
      <c r="K10" s="6">
        <v>5</v>
      </c>
      <c r="L10" s="7">
        <v>2</v>
      </c>
      <c r="M10" s="7">
        <v>0</v>
      </c>
      <c r="N10" s="7">
        <v>2</v>
      </c>
      <c r="O10" s="7">
        <f t="shared" si="1"/>
        <v>4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3575</v>
      </c>
      <c r="C11" s="7">
        <v>0</v>
      </c>
      <c r="D11" s="7">
        <v>1321</v>
      </c>
      <c r="E11" s="7">
        <v>202</v>
      </c>
      <c r="F11" s="7">
        <v>265</v>
      </c>
      <c r="G11" s="7">
        <v>340</v>
      </c>
      <c r="H11" s="7">
        <f t="shared" si="0"/>
        <v>5703</v>
      </c>
      <c r="I11" s="7">
        <v>0</v>
      </c>
      <c r="J11" s="8"/>
      <c r="K11" s="6">
        <v>6</v>
      </c>
      <c r="L11" s="7">
        <v>5</v>
      </c>
      <c r="M11" s="7">
        <v>25</v>
      </c>
      <c r="N11" s="7">
        <v>6</v>
      </c>
      <c r="O11" s="7">
        <f t="shared" si="1"/>
        <v>36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5389</v>
      </c>
      <c r="C12" s="7">
        <v>0</v>
      </c>
      <c r="D12" s="7">
        <v>1495</v>
      </c>
      <c r="E12" s="7">
        <v>348</v>
      </c>
      <c r="F12" s="7">
        <v>370</v>
      </c>
      <c r="G12" s="7">
        <v>383</v>
      </c>
      <c r="H12" s="7">
        <f t="shared" si="0"/>
        <v>7985</v>
      </c>
      <c r="I12" s="7">
        <v>0</v>
      </c>
      <c r="J12" s="11"/>
      <c r="K12" s="6">
        <v>7</v>
      </c>
      <c r="L12" s="7">
        <v>2</v>
      </c>
      <c r="M12" s="7">
        <v>21</v>
      </c>
      <c r="N12" s="7">
        <v>4</v>
      </c>
      <c r="O12" s="7">
        <f t="shared" si="1"/>
        <v>27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5977</v>
      </c>
      <c r="C13" s="7">
        <v>0</v>
      </c>
      <c r="D13" s="7">
        <v>1432</v>
      </c>
      <c r="E13" s="7">
        <v>203</v>
      </c>
      <c r="F13" s="7">
        <v>245</v>
      </c>
      <c r="G13" s="7">
        <v>362</v>
      </c>
      <c r="H13" s="7">
        <f t="shared" si="0"/>
        <v>8219</v>
      </c>
      <c r="I13" s="7">
        <v>0</v>
      </c>
      <c r="J13" s="11"/>
      <c r="K13" s="6">
        <v>8</v>
      </c>
      <c r="L13" s="7">
        <v>1</v>
      </c>
      <c r="M13" s="7">
        <v>16</v>
      </c>
      <c r="N13" s="7">
        <v>5</v>
      </c>
      <c r="O13" s="7">
        <f t="shared" si="1"/>
        <v>22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3606</v>
      </c>
      <c r="C14" s="7">
        <v>0</v>
      </c>
      <c r="D14" s="7">
        <v>1560</v>
      </c>
      <c r="E14" s="7">
        <v>317</v>
      </c>
      <c r="F14" s="7">
        <v>268</v>
      </c>
      <c r="G14" s="7">
        <v>404</v>
      </c>
      <c r="H14" s="7">
        <f t="shared" si="0"/>
        <v>6155</v>
      </c>
      <c r="I14" s="7">
        <v>0</v>
      </c>
      <c r="J14" s="11"/>
      <c r="K14" s="6">
        <v>9</v>
      </c>
      <c r="L14" s="7">
        <v>2</v>
      </c>
      <c r="M14" s="7">
        <v>20</v>
      </c>
      <c r="N14" s="7">
        <v>0</v>
      </c>
      <c r="O14" s="7">
        <f t="shared" si="1"/>
        <v>22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3352</v>
      </c>
      <c r="C15" s="7">
        <v>0</v>
      </c>
      <c r="D15" s="7">
        <v>1825</v>
      </c>
      <c r="E15" s="7">
        <v>313</v>
      </c>
      <c r="F15" s="7">
        <v>311</v>
      </c>
      <c r="G15" s="7">
        <v>462</v>
      </c>
      <c r="H15" s="7">
        <f t="shared" si="0"/>
        <v>6263</v>
      </c>
      <c r="I15" s="7">
        <v>0</v>
      </c>
      <c r="J15" s="11"/>
      <c r="K15" s="6">
        <v>10</v>
      </c>
      <c r="L15" s="7">
        <v>6</v>
      </c>
      <c r="M15" s="7">
        <v>19</v>
      </c>
      <c r="N15" s="7">
        <v>6</v>
      </c>
      <c r="O15" s="7">
        <f t="shared" si="1"/>
        <v>31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3401</v>
      </c>
      <c r="C16" s="7">
        <v>0</v>
      </c>
      <c r="D16" s="7">
        <v>1852</v>
      </c>
      <c r="E16" s="7">
        <v>342</v>
      </c>
      <c r="F16" s="7">
        <v>371</v>
      </c>
      <c r="G16" s="7">
        <v>489</v>
      </c>
      <c r="H16" s="7">
        <f t="shared" si="0"/>
        <v>6455</v>
      </c>
      <c r="I16" s="7">
        <v>0</v>
      </c>
      <c r="J16" s="11"/>
      <c r="K16" s="6">
        <v>11</v>
      </c>
      <c r="L16" s="7">
        <v>2</v>
      </c>
      <c r="M16" s="7">
        <v>20</v>
      </c>
      <c r="N16" s="7">
        <v>8</v>
      </c>
      <c r="O16" s="7">
        <f t="shared" si="1"/>
        <v>30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3754</v>
      </c>
      <c r="C17" s="7">
        <v>0</v>
      </c>
      <c r="D17" s="7">
        <v>1875</v>
      </c>
      <c r="E17" s="7">
        <v>355</v>
      </c>
      <c r="F17" s="7">
        <v>350</v>
      </c>
      <c r="G17" s="7">
        <v>479</v>
      </c>
      <c r="H17" s="7">
        <f t="shared" si="0"/>
        <v>6813</v>
      </c>
      <c r="I17" s="7">
        <v>0</v>
      </c>
      <c r="J17" s="11"/>
      <c r="K17" s="6">
        <v>12</v>
      </c>
      <c r="L17" s="7">
        <v>11</v>
      </c>
      <c r="M17" s="7">
        <v>22</v>
      </c>
      <c r="N17" s="7">
        <v>9</v>
      </c>
      <c r="O17" s="7">
        <f t="shared" si="1"/>
        <v>42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5463</v>
      </c>
      <c r="C18" s="7">
        <v>0</v>
      </c>
      <c r="D18" s="7">
        <v>1669</v>
      </c>
      <c r="E18" s="7">
        <v>299</v>
      </c>
      <c r="F18" s="7">
        <v>317</v>
      </c>
      <c r="G18" s="7">
        <v>446</v>
      </c>
      <c r="H18" s="7">
        <f t="shared" si="0"/>
        <v>8194</v>
      </c>
      <c r="I18" s="7">
        <v>0</v>
      </c>
      <c r="J18" s="11"/>
      <c r="K18" s="6">
        <v>13</v>
      </c>
      <c r="L18" s="7">
        <v>1</v>
      </c>
      <c r="M18" s="7">
        <v>25</v>
      </c>
      <c r="N18" s="7">
        <v>6</v>
      </c>
      <c r="O18" s="7">
        <f t="shared" si="1"/>
        <v>32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5998</v>
      </c>
      <c r="C19" s="7">
        <v>0</v>
      </c>
      <c r="D19" s="7">
        <v>1507</v>
      </c>
      <c r="E19" s="7">
        <v>267</v>
      </c>
      <c r="F19" s="7">
        <v>311</v>
      </c>
      <c r="G19" s="7">
        <v>345</v>
      </c>
      <c r="H19" s="7">
        <f t="shared" si="0"/>
        <v>8428</v>
      </c>
      <c r="I19" s="7">
        <v>0</v>
      </c>
      <c r="J19" s="11"/>
      <c r="K19" s="6">
        <v>14</v>
      </c>
      <c r="L19" s="7">
        <v>5</v>
      </c>
      <c r="M19" s="7">
        <v>28</v>
      </c>
      <c r="N19" s="7">
        <v>6</v>
      </c>
      <c r="O19" s="7">
        <f t="shared" si="1"/>
        <v>39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7154</v>
      </c>
      <c r="C20" s="7">
        <v>0</v>
      </c>
      <c r="D20" s="7">
        <v>1084</v>
      </c>
      <c r="E20" s="7">
        <v>164</v>
      </c>
      <c r="F20" s="7">
        <v>181</v>
      </c>
      <c r="G20" s="7">
        <v>331</v>
      </c>
      <c r="H20" s="7">
        <f t="shared" si="0"/>
        <v>8914</v>
      </c>
      <c r="I20" s="7">
        <v>0</v>
      </c>
      <c r="J20" s="11"/>
      <c r="K20" s="6">
        <v>15</v>
      </c>
      <c r="L20" s="7">
        <v>5</v>
      </c>
      <c r="M20" s="7">
        <v>8</v>
      </c>
      <c r="N20" s="7">
        <v>5</v>
      </c>
      <c r="O20" s="7">
        <f t="shared" si="1"/>
        <v>18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3939</v>
      </c>
      <c r="C21" s="7">
        <v>0</v>
      </c>
      <c r="D21" s="7">
        <v>1429</v>
      </c>
      <c r="E21" s="7">
        <v>306</v>
      </c>
      <c r="F21" s="7">
        <v>255</v>
      </c>
      <c r="G21" s="7">
        <v>473</v>
      </c>
      <c r="H21" s="7">
        <f t="shared" si="0"/>
        <v>6402</v>
      </c>
      <c r="I21" s="7">
        <v>0</v>
      </c>
      <c r="J21" s="11"/>
      <c r="K21" s="6">
        <v>16</v>
      </c>
      <c r="L21" s="7">
        <v>4</v>
      </c>
      <c r="M21" s="7">
        <v>11</v>
      </c>
      <c r="N21" s="7">
        <v>3</v>
      </c>
      <c r="O21" s="7">
        <f t="shared" si="1"/>
        <v>18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3293</v>
      </c>
      <c r="C22" s="7">
        <v>0</v>
      </c>
      <c r="D22" s="7">
        <v>1643</v>
      </c>
      <c r="E22" s="7">
        <v>293</v>
      </c>
      <c r="F22" s="7">
        <v>314</v>
      </c>
      <c r="G22" s="7">
        <v>429</v>
      </c>
      <c r="H22" s="7">
        <f t="shared" si="0"/>
        <v>5972</v>
      </c>
      <c r="I22" s="7">
        <v>0</v>
      </c>
      <c r="J22" s="11"/>
      <c r="K22" s="6">
        <v>17</v>
      </c>
      <c r="L22" s="7">
        <v>5</v>
      </c>
      <c r="M22" s="7">
        <v>11</v>
      </c>
      <c r="N22" s="7">
        <v>1</v>
      </c>
      <c r="O22" s="7">
        <f t="shared" si="1"/>
        <v>17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3399</v>
      </c>
      <c r="C23" s="7">
        <v>0</v>
      </c>
      <c r="D23" s="7">
        <v>1687</v>
      </c>
      <c r="E23" s="7">
        <v>338</v>
      </c>
      <c r="F23" s="7">
        <v>335</v>
      </c>
      <c r="G23" s="7">
        <v>496</v>
      </c>
      <c r="H23" s="7">
        <f t="shared" si="0"/>
        <v>6255</v>
      </c>
      <c r="I23" s="7">
        <v>0</v>
      </c>
      <c r="J23" s="11"/>
      <c r="K23" s="6">
        <v>18</v>
      </c>
      <c r="L23" s="7">
        <v>0</v>
      </c>
      <c r="M23" s="7">
        <v>15</v>
      </c>
      <c r="N23" s="7">
        <v>2</v>
      </c>
      <c r="O23" s="7">
        <f t="shared" si="1"/>
        <v>17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3679</v>
      </c>
      <c r="C24" s="7">
        <v>0</v>
      </c>
      <c r="D24" s="7">
        <v>1725</v>
      </c>
      <c r="E24" s="7">
        <v>307</v>
      </c>
      <c r="F24" s="7">
        <v>309</v>
      </c>
      <c r="G24" s="7">
        <v>522</v>
      </c>
      <c r="H24" s="7">
        <f t="shared" si="0"/>
        <v>6542</v>
      </c>
      <c r="I24" s="7">
        <v>0</v>
      </c>
      <c r="J24" s="11"/>
      <c r="K24" s="6">
        <v>19</v>
      </c>
      <c r="L24" s="7">
        <v>0</v>
      </c>
      <c r="M24" s="7">
        <v>12</v>
      </c>
      <c r="N24" s="7">
        <v>12</v>
      </c>
      <c r="O24" s="7">
        <f t="shared" si="1"/>
        <v>24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5072</v>
      </c>
      <c r="C25" s="7">
        <v>0</v>
      </c>
      <c r="D25" s="7">
        <v>1589</v>
      </c>
      <c r="E25" s="7">
        <v>211</v>
      </c>
      <c r="F25" s="7">
        <v>292</v>
      </c>
      <c r="G25" s="7">
        <v>353</v>
      </c>
      <c r="H25" s="7">
        <f t="shared" si="0"/>
        <v>7517</v>
      </c>
      <c r="I25" s="7">
        <v>0</v>
      </c>
      <c r="J25" s="11"/>
      <c r="K25" s="6">
        <v>20</v>
      </c>
      <c r="L25" s="7">
        <v>2</v>
      </c>
      <c r="M25" s="7">
        <v>15</v>
      </c>
      <c r="N25" s="7">
        <v>7</v>
      </c>
      <c r="O25" s="7">
        <f t="shared" si="1"/>
        <v>24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5735</v>
      </c>
      <c r="C26" s="7">
        <v>0</v>
      </c>
      <c r="D26" s="7">
        <v>1539</v>
      </c>
      <c r="E26" s="7">
        <v>287</v>
      </c>
      <c r="F26" s="7">
        <v>336</v>
      </c>
      <c r="G26" s="7">
        <v>400</v>
      </c>
      <c r="H26" s="7">
        <f t="shared" si="0"/>
        <v>8297</v>
      </c>
      <c r="I26" s="7">
        <v>0</v>
      </c>
      <c r="J26" s="11"/>
      <c r="K26" s="6">
        <v>21</v>
      </c>
      <c r="L26" s="7">
        <v>1</v>
      </c>
      <c r="M26" s="7">
        <v>22</v>
      </c>
      <c r="N26" s="7">
        <v>7</v>
      </c>
      <c r="O26" s="7">
        <f t="shared" si="1"/>
        <v>30</v>
      </c>
      <c r="P26" s="9">
        <f t="shared" si="2"/>
        <v>0</v>
      </c>
    </row>
    <row r="27" spans="1:26" ht="18" customHeight="1" thickTop="1" thickBot="1" x14ac:dyDescent="0.35">
      <c r="A27" s="35">
        <v>22</v>
      </c>
      <c r="B27" s="36">
        <v>7052</v>
      </c>
      <c r="C27" s="36">
        <v>0</v>
      </c>
      <c r="D27" s="36">
        <v>1131</v>
      </c>
      <c r="E27" s="36">
        <v>146</v>
      </c>
      <c r="F27" s="36">
        <v>196</v>
      </c>
      <c r="G27" s="36">
        <v>311</v>
      </c>
      <c r="H27" s="36">
        <f t="shared" si="0"/>
        <v>8836</v>
      </c>
      <c r="I27" s="36">
        <v>0</v>
      </c>
      <c r="J27" s="37"/>
      <c r="K27" s="35">
        <v>22</v>
      </c>
      <c r="L27" s="36">
        <v>1</v>
      </c>
      <c r="M27" s="36">
        <v>10</v>
      </c>
      <c r="N27" s="36">
        <v>8</v>
      </c>
      <c r="O27" s="36">
        <f t="shared" si="1"/>
        <v>19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3716</v>
      </c>
      <c r="C28" s="7">
        <v>0</v>
      </c>
      <c r="D28" s="7">
        <v>1430</v>
      </c>
      <c r="E28" s="7">
        <v>325</v>
      </c>
      <c r="F28" s="7">
        <v>269</v>
      </c>
      <c r="G28" s="7">
        <v>397</v>
      </c>
      <c r="H28" s="7">
        <f t="shared" si="0"/>
        <v>6137</v>
      </c>
      <c r="I28" s="7">
        <v>0</v>
      </c>
      <c r="J28" s="11"/>
      <c r="K28" s="6">
        <v>23</v>
      </c>
      <c r="L28" s="7">
        <v>4</v>
      </c>
      <c r="M28" s="7">
        <v>7</v>
      </c>
      <c r="N28" s="7">
        <v>3</v>
      </c>
      <c r="O28" s="7">
        <f t="shared" si="1"/>
        <v>14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3409</v>
      </c>
      <c r="C29" s="7">
        <v>0</v>
      </c>
      <c r="D29" s="7">
        <v>1648</v>
      </c>
      <c r="E29" s="7">
        <v>305</v>
      </c>
      <c r="F29" s="7">
        <v>347</v>
      </c>
      <c r="G29" s="7">
        <v>453</v>
      </c>
      <c r="H29" s="7">
        <f t="shared" si="0"/>
        <v>6162</v>
      </c>
      <c r="I29" s="7">
        <v>0</v>
      </c>
      <c r="J29" s="11"/>
      <c r="K29" s="6">
        <v>24</v>
      </c>
      <c r="L29" s="7">
        <v>0</v>
      </c>
      <c r="M29" s="7">
        <v>13</v>
      </c>
      <c r="N29" s="7">
        <v>2</v>
      </c>
      <c r="O29" s="7">
        <f t="shared" si="1"/>
        <v>15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3452</v>
      </c>
      <c r="C30" s="7">
        <v>0</v>
      </c>
      <c r="D30" s="7">
        <v>1660</v>
      </c>
      <c r="E30" s="7">
        <v>321</v>
      </c>
      <c r="F30" s="7">
        <v>365</v>
      </c>
      <c r="G30" s="7">
        <v>486</v>
      </c>
      <c r="H30" s="7">
        <f t="shared" si="0"/>
        <v>6284</v>
      </c>
      <c r="I30" s="7">
        <v>0</v>
      </c>
      <c r="J30" s="11"/>
      <c r="K30" s="6">
        <v>25</v>
      </c>
      <c r="L30" s="7">
        <v>6</v>
      </c>
      <c r="M30" s="7">
        <v>27</v>
      </c>
      <c r="N30" s="7">
        <v>3</v>
      </c>
      <c r="O30" s="7">
        <f t="shared" si="1"/>
        <v>36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29">
        <v>3775</v>
      </c>
      <c r="C31" s="29">
        <v>0</v>
      </c>
      <c r="D31" s="29">
        <v>1843</v>
      </c>
      <c r="E31" s="29">
        <v>321</v>
      </c>
      <c r="F31" s="29">
        <v>365</v>
      </c>
      <c r="G31" s="29">
        <v>507</v>
      </c>
      <c r="H31" s="30">
        <f t="shared" si="0"/>
        <v>6811</v>
      </c>
      <c r="I31" s="30">
        <v>0</v>
      </c>
      <c r="J31" s="11"/>
      <c r="K31" s="31">
        <v>26</v>
      </c>
      <c r="L31" s="29">
        <v>1</v>
      </c>
      <c r="M31" s="29">
        <v>37</v>
      </c>
      <c r="N31" s="29">
        <v>4</v>
      </c>
      <c r="O31" s="7">
        <f t="shared" si="1"/>
        <v>42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32">
        <v>5216</v>
      </c>
      <c r="C32" s="32">
        <v>0</v>
      </c>
      <c r="D32" s="32">
        <v>1569</v>
      </c>
      <c r="E32" s="32">
        <v>284</v>
      </c>
      <c r="F32" s="32">
        <v>303</v>
      </c>
      <c r="G32" s="32">
        <v>405</v>
      </c>
      <c r="H32" s="7">
        <f t="shared" si="0"/>
        <v>7777</v>
      </c>
      <c r="I32" s="7">
        <v>0</v>
      </c>
      <c r="J32" s="7"/>
      <c r="K32" s="6">
        <v>27</v>
      </c>
      <c r="L32" s="32">
        <v>1</v>
      </c>
      <c r="M32" s="32">
        <v>23</v>
      </c>
      <c r="N32" s="32">
        <v>5</v>
      </c>
      <c r="O32" s="7">
        <f t="shared" si="1"/>
        <v>29</v>
      </c>
      <c r="P32" s="9">
        <f t="shared" si="2"/>
        <v>0</v>
      </c>
    </row>
    <row r="33" spans="1:16" ht="18" customHeight="1" thickTop="1" thickBot="1" x14ac:dyDescent="0.35">
      <c r="A33" s="6">
        <v>28</v>
      </c>
      <c r="B33" s="32">
        <v>5779</v>
      </c>
      <c r="C33" s="32">
        <v>0</v>
      </c>
      <c r="D33" s="32">
        <v>1425</v>
      </c>
      <c r="E33" s="32">
        <v>260</v>
      </c>
      <c r="F33" s="32">
        <v>295</v>
      </c>
      <c r="G33" s="32">
        <v>368</v>
      </c>
      <c r="H33" s="7">
        <f t="shared" si="0"/>
        <v>8127</v>
      </c>
      <c r="I33" s="7">
        <v>0</v>
      </c>
      <c r="J33" s="7"/>
      <c r="K33" s="6">
        <v>28</v>
      </c>
      <c r="L33" s="32">
        <v>1</v>
      </c>
      <c r="M33" s="32">
        <v>19</v>
      </c>
      <c r="N33" s="32">
        <v>8</v>
      </c>
      <c r="O33" s="7">
        <f t="shared" si="1"/>
        <v>28</v>
      </c>
      <c r="P33" s="9">
        <f t="shared" si="2"/>
        <v>0</v>
      </c>
    </row>
    <row r="34" spans="1:16" ht="18" customHeight="1" thickTop="1" thickBot="1" x14ac:dyDescent="0.35">
      <c r="A34" s="6">
        <v>29</v>
      </c>
      <c r="B34" s="32">
        <v>6836</v>
      </c>
      <c r="C34" s="32">
        <v>0</v>
      </c>
      <c r="D34" s="32">
        <v>1161</v>
      </c>
      <c r="E34" s="32">
        <v>148</v>
      </c>
      <c r="F34" s="32">
        <v>177</v>
      </c>
      <c r="G34" s="32">
        <v>282</v>
      </c>
      <c r="H34" s="7">
        <f t="shared" si="0"/>
        <v>8604</v>
      </c>
      <c r="I34" s="7">
        <v>0</v>
      </c>
      <c r="J34" s="7"/>
      <c r="K34" s="6">
        <v>29</v>
      </c>
      <c r="L34" s="32">
        <v>2</v>
      </c>
      <c r="M34" s="32">
        <v>6</v>
      </c>
      <c r="N34" s="32">
        <v>1</v>
      </c>
      <c r="O34" s="7">
        <f t="shared" si="1"/>
        <v>9</v>
      </c>
      <c r="P34" s="9">
        <f t="shared" si="2"/>
        <v>0</v>
      </c>
    </row>
    <row r="35" spans="1:16" ht="18" customHeight="1" thickTop="1" thickBot="1" x14ac:dyDescent="0.35">
      <c r="A35" s="6">
        <v>30</v>
      </c>
      <c r="B35" s="32">
        <v>3774</v>
      </c>
      <c r="C35" s="32">
        <v>0</v>
      </c>
      <c r="D35" s="32">
        <v>1356</v>
      </c>
      <c r="E35" s="32">
        <v>309</v>
      </c>
      <c r="F35" s="32">
        <v>256</v>
      </c>
      <c r="G35" s="32">
        <v>413</v>
      </c>
      <c r="H35" s="33">
        <f t="shared" si="0"/>
        <v>6108</v>
      </c>
      <c r="I35" s="33">
        <v>0</v>
      </c>
      <c r="J35" s="33"/>
      <c r="K35" s="34">
        <v>30</v>
      </c>
      <c r="L35" s="32">
        <v>6</v>
      </c>
      <c r="M35" s="32">
        <v>16</v>
      </c>
      <c r="N35" s="32">
        <v>5</v>
      </c>
      <c r="O35" s="33">
        <f t="shared" si="1"/>
        <v>27</v>
      </c>
      <c r="P35" s="9">
        <f t="shared" si="2"/>
        <v>0</v>
      </c>
    </row>
    <row r="36" spans="1:16" ht="18.75" customHeight="1" thickTop="1" thickBot="1" x14ac:dyDescent="0.35">
      <c r="A36" s="6">
        <v>31</v>
      </c>
      <c r="B36" s="32"/>
      <c r="C36" s="32"/>
      <c r="D36" s="32"/>
      <c r="E36" s="32"/>
      <c r="F36" s="32"/>
      <c r="G36" s="32"/>
      <c r="H36" s="7">
        <f t="shared" si="0"/>
        <v>0</v>
      </c>
      <c r="I36" s="7">
        <v>0</v>
      </c>
      <c r="J36" s="7"/>
      <c r="K36" s="6">
        <v>31</v>
      </c>
      <c r="L36" s="32"/>
      <c r="M36" s="32"/>
      <c r="N36" s="32"/>
      <c r="O36" s="7">
        <f t="shared" si="1"/>
        <v>0</v>
      </c>
      <c r="P36" s="9">
        <f t="shared" si="2"/>
        <v>0</v>
      </c>
    </row>
    <row r="37" spans="1:16" ht="18" customHeight="1" thickTop="1" x14ac:dyDescent="0.3">
      <c r="A37" s="4" t="s">
        <v>20</v>
      </c>
      <c r="B37" s="16">
        <f>SUM(B6:B36)</f>
        <v>129608</v>
      </c>
      <c r="C37" s="16">
        <f t="shared" ref="C37:H37" si="3">SUM(C6:C36)</f>
        <v>0</v>
      </c>
      <c r="D37" s="16">
        <f t="shared" si="3"/>
        <v>42063</v>
      </c>
      <c r="E37" s="16">
        <f t="shared" si="3"/>
        <v>7615</v>
      </c>
      <c r="F37" s="16">
        <f t="shared" si="3"/>
        <v>8036</v>
      </c>
      <c r="G37" s="16">
        <f t="shared" si="3"/>
        <v>11110</v>
      </c>
      <c r="H37" s="16">
        <f t="shared" si="3"/>
        <v>198432</v>
      </c>
      <c r="I37" s="16">
        <f>SUM(I6:I33)</f>
        <v>0</v>
      </c>
      <c r="J37" s="16"/>
      <c r="K37" s="16" t="s">
        <v>32</v>
      </c>
      <c r="L37" s="16">
        <f>SUM(L6:L36)</f>
        <v>90</v>
      </c>
      <c r="M37" s="16">
        <f t="shared" ref="M37:P37" si="4">SUM(M6:M36)</f>
        <v>489</v>
      </c>
      <c r="N37" s="16">
        <f t="shared" si="4"/>
        <v>141</v>
      </c>
      <c r="O37" s="16">
        <f t="shared" si="4"/>
        <v>720</v>
      </c>
      <c r="P37" s="16">
        <f t="shared" si="4"/>
        <v>18405</v>
      </c>
    </row>
    <row r="38" spans="1:16" ht="18" customHeight="1" x14ac:dyDescent="0.3">
      <c r="A38" s="4" t="s">
        <v>20</v>
      </c>
      <c r="B38" s="43">
        <f>+B37+C37</f>
        <v>129608</v>
      </c>
      <c r="C38" s="43"/>
      <c r="D38" s="16">
        <f>+D37</f>
        <v>42063</v>
      </c>
      <c r="E38" s="16">
        <f>+E37</f>
        <v>7615</v>
      </c>
      <c r="F38" s="16">
        <f>+F37</f>
        <v>8036</v>
      </c>
      <c r="G38" s="16">
        <f>+G37</f>
        <v>11110</v>
      </c>
      <c r="H38" s="16">
        <f>SUM(B38:G38)</f>
        <v>198432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6" x14ac:dyDescent="0.3">
      <c r="A39" s="23"/>
      <c r="B39" s="24"/>
      <c r="C39" s="24"/>
      <c r="D39" s="24"/>
      <c r="E39" s="24"/>
      <c r="F39" s="24"/>
      <c r="G39" s="24"/>
      <c r="H39" s="24"/>
      <c r="I39" s="24"/>
      <c r="J39" s="22"/>
      <c r="K39" s="25"/>
      <c r="L39" s="26"/>
    </row>
    <row r="41" spans="1:16" x14ac:dyDescent="0.3">
      <c r="A41" s="27"/>
    </row>
    <row r="42" spans="1:16" x14ac:dyDescent="0.3">
      <c r="A42" s="27"/>
      <c r="B42" s="10"/>
      <c r="C42" s="10"/>
      <c r="D42" s="10"/>
      <c r="E42" s="10"/>
      <c r="F42" s="10"/>
      <c r="H42" s="10"/>
      <c r="I42" s="10"/>
      <c r="J42" s="10"/>
      <c r="K42" s="28"/>
      <c r="L42" s="10"/>
      <c r="M42" s="10"/>
      <c r="N42" s="10"/>
      <c r="O42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185F-D9C9-4F91-9300-5E829C472C1E}">
  <dimension ref="A1:Z42"/>
  <sheetViews>
    <sheetView topLeftCell="A22" workbookViewId="0">
      <selection activeCell="J9" sqref="J9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34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82.5" customHeight="1" x14ac:dyDescent="0.3">
      <c r="A4" s="46" t="s">
        <v>2</v>
      </c>
      <c r="B4" s="42" t="s">
        <v>31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3172</v>
      </c>
      <c r="C6" s="7">
        <v>0</v>
      </c>
      <c r="D6" s="7">
        <v>1672</v>
      </c>
      <c r="E6" s="7">
        <v>290</v>
      </c>
      <c r="F6" s="7">
        <v>292</v>
      </c>
      <c r="G6" s="7">
        <v>442</v>
      </c>
      <c r="H6" s="7">
        <f>SUM(B6:G6)</f>
        <v>5868</v>
      </c>
      <c r="I6" s="7">
        <v>0</v>
      </c>
      <c r="J6" s="8"/>
      <c r="K6" s="6">
        <v>1</v>
      </c>
      <c r="L6" s="7">
        <v>3</v>
      </c>
      <c r="M6" s="7">
        <v>14</v>
      </c>
      <c r="N6" s="7">
        <v>7</v>
      </c>
      <c r="O6" s="7">
        <f>SUM(L6:N6)</f>
        <v>24</v>
      </c>
      <c r="P6" s="9">
        <v>6135</v>
      </c>
    </row>
    <row r="7" spans="1:19" ht="18" customHeight="1" thickTop="1" thickBot="1" x14ac:dyDescent="0.35">
      <c r="A7" s="6">
        <v>2</v>
      </c>
      <c r="B7" s="7">
        <v>3254</v>
      </c>
      <c r="C7" s="7">
        <v>0</v>
      </c>
      <c r="D7" s="7">
        <v>1647</v>
      </c>
      <c r="E7" s="7">
        <v>357</v>
      </c>
      <c r="F7" s="7">
        <v>347</v>
      </c>
      <c r="G7" s="7">
        <v>476</v>
      </c>
      <c r="H7" s="7">
        <f t="shared" ref="H7:H36" si="0">SUM(B7:G7)</f>
        <v>6081</v>
      </c>
      <c r="I7" s="7">
        <v>0</v>
      </c>
      <c r="J7" s="8"/>
      <c r="K7" s="6">
        <v>2</v>
      </c>
      <c r="L7" s="7">
        <v>5</v>
      </c>
      <c r="M7" s="7">
        <v>21</v>
      </c>
      <c r="N7" s="7">
        <v>4</v>
      </c>
      <c r="O7" s="7">
        <f t="shared" ref="O7:O36" si="1">SUM(L7:N7)</f>
        <v>30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3821</v>
      </c>
      <c r="C8" s="7">
        <v>0</v>
      </c>
      <c r="D8" s="7">
        <v>1727</v>
      </c>
      <c r="E8" s="7">
        <v>334</v>
      </c>
      <c r="F8" s="7">
        <v>323</v>
      </c>
      <c r="G8" s="7">
        <v>484</v>
      </c>
      <c r="H8" s="7">
        <f t="shared" si="0"/>
        <v>6689</v>
      </c>
      <c r="I8" s="7">
        <v>0</v>
      </c>
      <c r="J8" s="8"/>
      <c r="K8" s="6">
        <v>3</v>
      </c>
      <c r="L8" s="7">
        <v>2</v>
      </c>
      <c r="M8" s="7">
        <v>22</v>
      </c>
      <c r="N8" s="7">
        <v>1</v>
      </c>
      <c r="O8" s="7">
        <f t="shared" si="1"/>
        <v>25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5510</v>
      </c>
      <c r="C9" s="7">
        <v>0</v>
      </c>
      <c r="D9" s="7">
        <v>1711</v>
      </c>
      <c r="E9" s="7">
        <v>358</v>
      </c>
      <c r="F9" s="7">
        <v>278</v>
      </c>
      <c r="G9" s="7">
        <v>419</v>
      </c>
      <c r="H9" s="7">
        <f t="shared" si="0"/>
        <v>8276</v>
      </c>
      <c r="I9" s="7">
        <v>0</v>
      </c>
      <c r="J9" s="8"/>
      <c r="K9" s="6">
        <v>4</v>
      </c>
      <c r="L9" s="7">
        <v>3</v>
      </c>
      <c r="M9" s="7">
        <v>29</v>
      </c>
      <c r="N9" s="7">
        <v>11</v>
      </c>
      <c r="O9" s="7">
        <f t="shared" si="1"/>
        <v>43</v>
      </c>
      <c r="P9" s="9">
        <v>0</v>
      </c>
    </row>
    <row r="10" spans="1:19" ht="18" customHeight="1" thickTop="1" thickBot="1" x14ac:dyDescent="0.35">
      <c r="A10" s="6">
        <v>5</v>
      </c>
      <c r="B10" s="7">
        <v>7095</v>
      </c>
      <c r="C10" s="7">
        <v>0</v>
      </c>
      <c r="D10" s="7">
        <v>1397</v>
      </c>
      <c r="E10" s="7">
        <v>195</v>
      </c>
      <c r="F10" s="7">
        <v>295</v>
      </c>
      <c r="G10" s="7">
        <v>305</v>
      </c>
      <c r="H10" s="7">
        <f t="shared" si="0"/>
        <v>9287</v>
      </c>
      <c r="I10" s="7">
        <v>0</v>
      </c>
      <c r="J10" s="8"/>
      <c r="K10" s="6">
        <v>5</v>
      </c>
      <c r="L10" s="7">
        <v>3</v>
      </c>
      <c r="M10" s="7">
        <v>13</v>
      </c>
      <c r="N10" s="7">
        <v>3</v>
      </c>
      <c r="O10" s="7">
        <f t="shared" si="1"/>
        <v>19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7922</v>
      </c>
      <c r="C11" s="7">
        <v>0</v>
      </c>
      <c r="D11" s="7">
        <v>1164</v>
      </c>
      <c r="E11" s="7">
        <v>220</v>
      </c>
      <c r="F11" s="7">
        <v>180</v>
      </c>
      <c r="G11" s="7">
        <v>338</v>
      </c>
      <c r="H11" s="7">
        <f t="shared" si="0"/>
        <v>9824</v>
      </c>
      <c r="I11" s="7">
        <v>0</v>
      </c>
      <c r="J11" s="8"/>
      <c r="K11" s="6">
        <v>6</v>
      </c>
      <c r="L11" s="7">
        <v>2</v>
      </c>
      <c r="M11" s="7">
        <v>10</v>
      </c>
      <c r="N11" s="7">
        <v>1</v>
      </c>
      <c r="O11" s="7">
        <f t="shared" si="1"/>
        <v>13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5005</v>
      </c>
      <c r="C12" s="7">
        <v>0</v>
      </c>
      <c r="D12" s="7">
        <v>1378</v>
      </c>
      <c r="E12" s="7">
        <v>344</v>
      </c>
      <c r="F12" s="7">
        <v>273</v>
      </c>
      <c r="G12" s="7">
        <v>418</v>
      </c>
      <c r="H12" s="7">
        <f t="shared" si="0"/>
        <v>7418</v>
      </c>
      <c r="I12" s="7">
        <v>0</v>
      </c>
      <c r="J12" s="11"/>
      <c r="K12" s="6">
        <v>7</v>
      </c>
      <c r="L12" s="7">
        <v>7</v>
      </c>
      <c r="M12" s="7">
        <v>14</v>
      </c>
      <c r="N12" s="7">
        <v>6</v>
      </c>
      <c r="O12" s="7">
        <f t="shared" si="1"/>
        <v>27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4892</v>
      </c>
      <c r="C13" s="7">
        <v>0</v>
      </c>
      <c r="D13" s="7">
        <v>1686</v>
      </c>
      <c r="E13" s="7">
        <v>332</v>
      </c>
      <c r="F13" s="7">
        <v>298</v>
      </c>
      <c r="G13" s="7">
        <v>454</v>
      </c>
      <c r="H13" s="7">
        <f t="shared" si="0"/>
        <v>7662</v>
      </c>
      <c r="I13" s="7">
        <v>0</v>
      </c>
      <c r="J13" s="11"/>
      <c r="K13" s="6">
        <v>8</v>
      </c>
      <c r="L13" s="7">
        <v>1</v>
      </c>
      <c r="M13" s="7">
        <v>12</v>
      </c>
      <c r="N13" s="7">
        <v>9</v>
      </c>
      <c r="O13" s="7">
        <f t="shared" si="1"/>
        <v>22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5492</v>
      </c>
      <c r="C14" s="7">
        <v>0</v>
      </c>
      <c r="D14" s="7">
        <v>1768</v>
      </c>
      <c r="E14" s="7">
        <v>324</v>
      </c>
      <c r="F14" s="7">
        <v>360</v>
      </c>
      <c r="G14" s="7">
        <v>517</v>
      </c>
      <c r="H14" s="7">
        <f t="shared" si="0"/>
        <v>8461</v>
      </c>
      <c r="I14" s="7">
        <v>0</v>
      </c>
      <c r="J14" s="11"/>
      <c r="K14" s="6">
        <v>9</v>
      </c>
      <c r="L14" s="7">
        <v>4</v>
      </c>
      <c r="M14" s="7">
        <v>32</v>
      </c>
      <c r="N14" s="7">
        <v>6</v>
      </c>
      <c r="O14" s="7">
        <f t="shared" si="1"/>
        <v>42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6380</v>
      </c>
      <c r="C15" s="7">
        <v>0</v>
      </c>
      <c r="D15" s="7">
        <v>1765</v>
      </c>
      <c r="E15" s="7">
        <v>332</v>
      </c>
      <c r="F15" s="7">
        <v>329</v>
      </c>
      <c r="G15" s="7">
        <v>520</v>
      </c>
      <c r="H15" s="7">
        <f t="shared" si="0"/>
        <v>9326</v>
      </c>
      <c r="I15" s="7">
        <v>0</v>
      </c>
      <c r="J15" s="11"/>
      <c r="K15" s="6">
        <v>10</v>
      </c>
      <c r="L15" s="7">
        <v>3</v>
      </c>
      <c r="M15" s="7">
        <v>16</v>
      </c>
      <c r="N15" s="7">
        <v>4</v>
      </c>
      <c r="O15" s="7">
        <f t="shared" si="1"/>
        <v>23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9297</v>
      </c>
      <c r="C16" s="7">
        <v>0</v>
      </c>
      <c r="D16" s="7">
        <v>1627</v>
      </c>
      <c r="E16" s="7">
        <v>312</v>
      </c>
      <c r="F16" s="7">
        <v>295</v>
      </c>
      <c r="G16" s="7">
        <v>376</v>
      </c>
      <c r="H16" s="7">
        <f t="shared" si="0"/>
        <v>11907</v>
      </c>
      <c r="I16" s="7">
        <v>0</v>
      </c>
      <c r="J16" s="11"/>
      <c r="K16" s="6">
        <v>11</v>
      </c>
      <c r="L16" s="7">
        <v>6</v>
      </c>
      <c r="M16" s="7">
        <v>14</v>
      </c>
      <c r="N16" s="7">
        <v>6</v>
      </c>
      <c r="O16" s="7">
        <f t="shared" si="1"/>
        <v>26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11575</v>
      </c>
      <c r="C17" s="7">
        <v>0</v>
      </c>
      <c r="D17" s="7">
        <v>1393</v>
      </c>
      <c r="E17" s="7">
        <v>151</v>
      </c>
      <c r="F17" s="7">
        <v>285</v>
      </c>
      <c r="G17" s="7">
        <v>281</v>
      </c>
      <c r="H17" s="7">
        <f t="shared" si="0"/>
        <v>13685</v>
      </c>
      <c r="I17" s="7">
        <v>0</v>
      </c>
      <c r="J17" s="11"/>
      <c r="K17" s="6">
        <v>12</v>
      </c>
      <c r="L17" s="7">
        <v>0</v>
      </c>
      <c r="M17" s="7">
        <v>20</v>
      </c>
      <c r="N17" s="7">
        <v>1</v>
      </c>
      <c r="O17" s="7">
        <f t="shared" si="1"/>
        <v>21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10518</v>
      </c>
      <c r="C18" s="7">
        <v>0</v>
      </c>
      <c r="D18" s="7">
        <v>1255</v>
      </c>
      <c r="E18" s="7">
        <v>201</v>
      </c>
      <c r="F18" s="7">
        <v>193</v>
      </c>
      <c r="G18" s="7">
        <v>342</v>
      </c>
      <c r="H18" s="7">
        <f t="shared" si="0"/>
        <v>12509</v>
      </c>
      <c r="I18" s="7">
        <v>0</v>
      </c>
      <c r="J18" s="11"/>
      <c r="K18" s="6">
        <v>13</v>
      </c>
      <c r="L18" s="7">
        <v>4</v>
      </c>
      <c r="M18" s="7">
        <v>13</v>
      </c>
      <c r="N18" s="7">
        <v>7</v>
      </c>
      <c r="O18" s="7">
        <f t="shared" si="1"/>
        <v>24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15445</v>
      </c>
      <c r="C19" s="7">
        <v>0</v>
      </c>
      <c r="D19" s="7">
        <v>918</v>
      </c>
      <c r="E19" s="7">
        <v>69</v>
      </c>
      <c r="F19" s="7">
        <v>84</v>
      </c>
      <c r="G19" s="7">
        <v>141</v>
      </c>
      <c r="H19" s="7">
        <f t="shared" si="0"/>
        <v>16657</v>
      </c>
      <c r="I19" s="7">
        <v>0</v>
      </c>
      <c r="J19" s="11"/>
      <c r="K19" s="6">
        <v>14</v>
      </c>
      <c r="L19" s="7">
        <v>1</v>
      </c>
      <c r="M19" s="7">
        <v>1</v>
      </c>
      <c r="N19" s="7">
        <v>0</v>
      </c>
      <c r="O19" s="7">
        <f t="shared" si="1"/>
        <v>2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5070</v>
      </c>
      <c r="C20" s="7">
        <v>0</v>
      </c>
      <c r="D20" s="7">
        <v>1572</v>
      </c>
      <c r="E20" s="7">
        <v>295</v>
      </c>
      <c r="F20" s="7">
        <v>273</v>
      </c>
      <c r="G20" s="7">
        <v>417</v>
      </c>
      <c r="H20" s="7">
        <f t="shared" si="0"/>
        <v>7627</v>
      </c>
      <c r="I20" s="7">
        <v>0</v>
      </c>
      <c r="J20" s="11"/>
      <c r="K20" s="6">
        <v>15</v>
      </c>
      <c r="L20" s="7">
        <v>0</v>
      </c>
      <c r="M20" s="7">
        <v>8</v>
      </c>
      <c r="N20" s="7">
        <v>4</v>
      </c>
      <c r="O20" s="7">
        <f t="shared" si="1"/>
        <v>12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3620</v>
      </c>
      <c r="C21" s="7">
        <v>0</v>
      </c>
      <c r="D21" s="7">
        <v>1745</v>
      </c>
      <c r="E21" s="7">
        <v>283</v>
      </c>
      <c r="F21" s="7">
        <v>327</v>
      </c>
      <c r="G21" s="7">
        <v>456</v>
      </c>
      <c r="H21" s="7">
        <f t="shared" si="0"/>
        <v>6431</v>
      </c>
      <c r="I21" s="7">
        <v>0</v>
      </c>
      <c r="J21" s="11"/>
      <c r="K21" s="6">
        <v>16</v>
      </c>
      <c r="L21" s="7">
        <v>5</v>
      </c>
      <c r="M21" s="7">
        <v>20</v>
      </c>
      <c r="N21" s="7">
        <v>5</v>
      </c>
      <c r="O21" s="7">
        <f t="shared" si="1"/>
        <v>30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3907</v>
      </c>
      <c r="C22" s="7">
        <v>0</v>
      </c>
      <c r="D22" s="7">
        <v>1831</v>
      </c>
      <c r="E22" s="7">
        <v>355</v>
      </c>
      <c r="F22" s="7">
        <v>344</v>
      </c>
      <c r="G22" s="7">
        <v>537</v>
      </c>
      <c r="H22" s="7">
        <f t="shared" si="0"/>
        <v>6974</v>
      </c>
      <c r="I22" s="7">
        <v>0</v>
      </c>
      <c r="J22" s="11"/>
      <c r="K22" s="6">
        <v>17</v>
      </c>
      <c r="L22" s="7">
        <v>0</v>
      </c>
      <c r="M22" s="7">
        <v>26</v>
      </c>
      <c r="N22" s="7">
        <v>7</v>
      </c>
      <c r="O22" s="7">
        <f t="shared" si="1"/>
        <v>33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4647</v>
      </c>
      <c r="C23" s="7">
        <v>0</v>
      </c>
      <c r="D23" s="7">
        <v>1692</v>
      </c>
      <c r="E23" s="7">
        <v>305</v>
      </c>
      <c r="F23" s="7">
        <v>334</v>
      </c>
      <c r="G23" s="7">
        <v>446</v>
      </c>
      <c r="H23" s="7">
        <f t="shared" si="0"/>
        <v>7424</v>
      </c>
      <c r="I23" s="7">
        <v>0</v>
      </c>
      <c r="J23" s="11"/>
      <c r="K23" s="6">
        <v>18</v>
      </c>
      <c r="L23" s="7">
        <v>5</v>
      </c>
      <c r="M23" s="7">
        <v>21</v>
      </c>
      <c r="N23" s="7">
        <v>10</v>
      </c>
      <c r="O23" s="7">
        <f t="shared" si="1"/>
        <v>36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5332</v>
      </c>
      <c r="C24" s="7">
        <v>0</v>
      </c>
      <c r="D24" s="7">
        <v>1544</v>
      </c>
      <c r="E24" s="7">
        <v>260</v>
      </c>
      <c r="F24" s="7">
        <v>347</v>
      </c>
      <c r="G24" s="7">
        <v>361</v>
      </c>
      <c r="H24" s="7">
        <f t="shared" si="0"/>
        <v>7844</v>
      </c>
      <c r="I24" s="7">
        <v>0</v>
      </c>
      <c r="J24" s="11"/>
      <c r="K24" s="6">
        <v>19</v>
      </c>
      <c r="L24" s="7">
        <v>3</v>
      </c>
      <c r="M24" s="7">
        <v>17</v>
      </c>
      <c r="N24" s="7">
        <v>5</v>
      </c>
      <c r="O24" s="7">
        <f t="shared" si="1"/>
        <v>25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6246</v>
      </c>
      <c r="C25" s="7">
        <v>0</v>
      </c>
      <c r="D25" s="7">
        <v>1190</v>
      </c>
      <c r="E25" s="7">
        <v>167</v>
      </c>
      <c r="F25" s="7">
        <v>179</v>
      </c>
      <c r="G25" s="7">
        <v>344</v>
      </c>
      <c r="H25" s="7">
        <f t="shared" si="0"/>
        <v>8126</v>
      </c>
      <c r="I25" s="7">
        <v>0</v>
      </c>
      <c r="J25" s="11"/>
      <c r="K25" s="6">
        <v>20</v>
      </c>
      <c r="L25" s="7">
        <v>1</v>
      </c>
      <c r="M25" s="7">
        <v>13</v>
      </c>
      <c r="N25" s="7">
        <v>3</v>
      </c>
      <c r="O25" s="7">
        <f t="shared" si="1"/>
        <v>17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3480</v>
      </c>
      <c r="C26" s="7">
        <v>0</v>
      </c>
      <c r="D26" s="7">
        <v>1361</v>
      </c>
      <c r="E26" s="7">
        <v>305</v>
      </c>
      <c r="F26" s="7">
        <v>232</v>
      </c>
      <c r="G26" s="7">
        <v>399</v>
      </c>
      <c r="H26" s="7">
        <f t="shared" si="0"/>
        <v>5777</v>
      </c>
      <c r="I26" s="7">
        <v>0</v>
      </c>
      <c r="J26" s="11"/>
      <c r="K26" s="6">
        <v>21</v>
      </c>
      <c r="L26" s="7">
        <v>3</v>
      </c>
      <c r="M26" s="7">
        <v>10</v>
      </c>
      <c r="N26" s="7">
        <v>3</v>
      </c>
      <c r="O26" s="7">
        <f t="shared" si="1"/>
        <v>16</v>
      </c>
      <c r="P26" s="9">
        <f t="shared" si="2"/>
        <v>0</v>
      </c>
    </row>
    <row r="27" spans="1:26" ht="18" customHeight="1" thickTop="1" thickBot="1" x14ac:dyDescent="0.35">
      <c r="A27" s="38">
        <v>22</v>
      </c>
      <c r="B27" s="39">
        <v>3361</v>
      </c>
      <c r="C27" s="39">
        <v>0</v>
      </c>
      <c r="D27" s="39">
        <v>1779</v>
      </c>
      <c r="E27" s="39">
        <v>362</v>
      </c>
      <c r="F27" s="39">
        <v>334</v>
      </c>
      <c r="G27" s="39">
        <v>492</v>
      </c>
      <c r="H27" s="39">
        <f t="shared" si="0"/>
        <v>6328</v>
      </c>
      <c r="I27" s="39">
        <v>0</v>
      </c>
      <c r="J27" s="40"/>
      <c r="K27" s="38">
        <v>22</v>
      </c>
      <c r="L27" s="39">
        <v>3</v>
      </c>
      <c r="M27" s="39">
        <v>18</v>
      </c>
      <c r="N27" s="39">
        <v>7</v>
      </c>
      <c r="O27" s="39">
        <f t="shared" si="1"/>
        <v>28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3320</v>
      </c>
      <c r="C28" s="7">
        <v>0</v>
      </c>
      <c r="D28" s="7">
        <v>1985</v>
      </c>
      <c r="E28" s="7">
        <v>382</v>
      </c>
      <c r="F28" s="7">
        <v>453</v>
      </c>
      <c r="G28" s="7">
        <v>702</v>
      </c>
      <c r="H28" s="39">
        <f t="shared" si="0"/>
        <v>6842</v>
      </c>
      <c r="I28" s="7">
        <v>0</v>
      </c>
      <c r="J28" s="11"/>
      <c r="K28" s="6">
        <v>23</v>
      </c>
      <c r="L28" s="7">
        <v>5</v>
      </c>
      <c r="M28" s="7">
        <v>15</v>
      </c>
      <c r="N28" s="7">
        <v>2</v>
      </c>
      <c r="O28" s="7">
        <f t="shared" si="1"/>
        <v>22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3590</v>
      </c>
      <c r="C29" s="7">
        <v>0</v>
      </c>
      <c r="D29" s="7">
        <v>1932</v>
      </c>
      <c r="E29" s="7">
        <v>375</v>
      </c>
      <c r="F29" s="7">
        <v>420</v>
      </c>
      <c r="G29" s="7">
        <v>689</v>
      </c>
      <c r="H29" s="7">
        <f t="shared" si="0"/>
        <v>7006</v>
      </c>
      <c r="I29" s="7">
        <v>0</v>
      </c>
      <c r="J29" s="11"/>
      <c r="K29" s="6">
        <v>24</v>
      </c>
      <c r="L29" s="7">
        <v>5</v>
      </c>
      <c r="M29" s="7">
        <v>28</v>
      </c>
      <c r="N29" s="7">
        <v>3</v>
      </c>
      <c r="O29" s="7">
        <f t="shared" si="1"/>
        <v>36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4806</v>
      </c>
      <c r="C30" s="7">
        <v>0</v>
      </c>
      <c r="D30" s="7">
        <v>1942</v>
      </c>
      <c r="E30" s="7">
        <v>354</v>
      </c>
      <c r="F30" s="7">
        <v>420</v>
      </c>
      <c r="G30" s="7">
        <v>670</v>
      </c>
      <c r="H30" s="7">
        <f t="shared" si="0"/>
        <v>8192</v>
      </c>
      <c r="I30" s="7">
        <v>0</v>
      </c>
      <c r="J30" s="11"/>
      <c r="K30" s="6">
        <v>25</v>
      </c>
      <c r="L30" s="7">
        <v>5</v>
      </c>
      <c r="M30" s="7">
        <v>14</v>
      </c>
      <c r="N30" s="7">
        <v>3</v>
      </c>
      <c r="O30" s="7">
        <f t="shared" si="1"/>
        <v>22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29">
        <v>5076</v>
      </c>
      <c r="C31" s="29">
        <v>0</v>
      </c>
      <c r="D31" s="29">
        <v>1628</v>
      </c>
      <c r="E31" s="29">
        <v>289</v>
      </c>
      <c r="F31" s="29">
        <v>394</v>
      </c>
      <c r="G31" s="29">
        <v>513</v>
      </c>
      <c r="H31" s="30">
        <f t="shared" si="0"/>
        <v>7900</v>
      </c>
      <c r="I31" s="30">
        <v>0</v>
      </c>
      <c r="J31" s="11"/>
      <c r="K31" s="31">
        <v>26</v>
      </c>
      <c r="L31" s="29">
        <v>2</v>
      </c>
      <c r="M31" s="29">
        <v>15</v>
      </c>
      <c r="N31" s="29">
        <v>8</v>
      </c>
      <c r="O31" s="7">
        <f t="shared" si="1"/>
        <v>25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32">
        <v>5829</v>
      </c>
      <c r="C32" s="32">
        <v>0</v>
      </c>
      <c r="D32" s="32">
        <v>1183</v>
      </c>
      <c r="E32" s="32">
        <v>235</v>
      </c>
      <c r="F32" s="32">
        <v>215</v>
      </c>
      <c r="G32" s="32">
        <v>363</v>
      </c>
      <c r="H32" s="7">
        <f t="shared" si="0"/>
        <v>7825</v>
      </c>
      <c r="I32" s="7">
        <v>0</v>
      </c>
      <c r="J32" s="7"/>
      <c r="K32" s="6">
        <v>27</v>
      </c>
      <c r="L32" s="32">
        <v>1</v>
      </c>
      <c r="M32" s="32">
        <v>13</v>
      </c>
      <c r="N32" s="32">
        <v>3</v>
      </c>
      <c r="O32" s="7">
        <f t="shared" si="1"/>
        <v>17</v>
      </c>
      <c r="P32" s="9">
        <f t="shared" si="2"/>
        <v>0</v>
      </c>
    </row>
    <row r="33" spans="1:17" ht="18" customHeight="1" thickTop="1" thickBot="1" x14ac:dyDescent="0.35">
      <c r="A33" s="6">
        <v>28</v>
      </c>
      <c r="B33" s="32">
        <v>3521</v>
      </c>
      <c r="C33" s="32">
        <v>0</v>
      </c>
      <c r="D33" s="32">
        <v>1416</v>
      </c>
      <c r="E33" s="32">
        <v>359</v>
      </c>
      <c r="F33" s="32">
        <v>280</v>
      </c>
      <c r="G33" s="32">
        <v>422</v>
      </c>
      <c r="H33" s="7">
        <f t="shared" si="0"/>
        <v>5998</v>
      </c>
      <c r="I33" s="7">
        <v>0</v>
      </c>
      <c r="J33" s="7"/>
      <c r="K33" s="6">
        <v>28</v>
      </c>
      <c r="L33" s="32">
        <v>9</v>
      </c>
      <c r="M33" s="32">
        <v>16</v>
      </c>
      <c r="N33" s="32">
        <v>2</v>
      </c>
      <c r="O33" s="7">
        <f t="shared" si="1"/>
        <v>27</v>
      </c>
      <c r="P33" s="9">
        <f t="shared" si="2"/>
        <v>0</v>
      </c>
    </row>
    <row r="34" spans="1:17" ht="18" customHeight="1" thickTop="1" thickBot="1" x14ac:dyDescent="0.35">
      <c r="A34" s="6">
        <v>29</v>
      </c>
      <c r="B34" s="32">
        <v>3276</v>
      </c>
      <c r="C34" s="32">
        <v>0</v>
      </c>
      <c r="D34" s="32">
        <v>1715</v>
      </c>
      <c r="E34" s="32">
        <v>311</v>
      </c>
      <c r="F34" s="32">
        <v>298</v>
      </c>
      <c r="G34" s="32">
        <v>441</v>
      </c>
      <c r="H34" s="7">
        <f t="shared" si="0"/>
        <v>6041</v>
      </c>
      <c r="I34" s="7">
        <v>0</v>
      </c>
      <c r="J34" s="7"/>
      <c r="K34" s="6">
        <v>29</v>
      </c>
      <c r="L34" s="32">
        <v>5</v>
      </c>
      <c r="M34" s="32">
        <v>20</v>
      </c>
      <c r="N34" s="32">
        <v>1</v>
      </c>
      <c r="O34" s="7">
        <f t="shared" si="1"/>
        <v>26</v>
      </c>
      <c r="P34" s="9">
        <f t="shared" si="2"/>
        <v>0</v>
      </c>
    </row>
    <row r="35" spans="1:17" ht="18" customHeight="1" thickTop="1" thickBot="1" x14ac:dyDescent="0.35">
      <c r="A35" s="6">
        <v>30</v>
      </c>
      <c r="B35" s="32">
        <v>3517</v>
      </c>
      <c r="C35" s="32">
        <v>0</v>
      </c>
      <c r="D35" s="32">
        <v>1692</v>
      </c>
      <c r="E35" s="32">
        <v>329</v>
      </c>
      <c r="F35" s="32">
        <v>333</v>
      </c>
      <c r="G35" s="32">
        <v>465</v>
      </c>
      <c r="H35" s="33">
        <f t="shared" si="0"/>
        <v>6336</v>
      </c>
      <c r="I35" s="33">
        <v>0</v>
      </c>
      <c r="J35" s="33"/>
      <c r="K35" s="34">
        <v>30</v>
      </c>
      <c r="L35" s="32">
        <v>1</v>
      </c>
      <c r="M35" s="32">
        <v>11</v>
      </c>
      <c r="N35" s="32">
        <v>4</v>
      </c>
      <c r="O35" s="33">
        <f t="shared" si="1"/>
        <v>16</v>
      </c>
      <c r="P35" s="9">
        <f t="shared" si="2"/>
        <v>0</v>
      </c>
    </row>
    <row r="36" spans="1:17" ht="18.75" customHeight="1" thickTop="1" thickBot="1" x14ac:dyDescent="0.35">
      <c r="A36" s="6">
        <v>31</v>
      </c>
      <c r="B36" s="32">
        <v>3841</v>
      </c>
      <c r="C36" s="32">
        <v>0</v>
      </c>
      <c r="D36" s="32">
        <v>1907</v>
      </c>
      <c r="E36" s="32">
        <v>330</v>
      </c>
      <c r="F36" s="32">
        <v>320</v>
      </c>
      <c r="G36" s="32">
        <v>576</v>
      </c>
      <c r="H36" s="33">
        <f t="shared" si="0"/>
        <v>6974</v>
      </c>
      <c r="I36" s="7">
        <v>0</v>
      </c>
      <c r="J36" s="7"/>
      <c r="K36" s="6">
        <v>31</v>
      </c>
      <c r="L36" s="32">
        <v>6</v>
      </c>
      <c r="M36" s="32">
        <v>23</v>
      </c>
      <c r="N36" s="32">
        <v>3</v>
      </c>
      <c r="O36" s="7">
        <f t="shared" si="1"/>
        <v>32</v>
      </c>
      <c r="P36" s="9">
        <f t="shared" si="2"/>
        <v>0</v>
      </c>
      <c r="Q36" s="5">
        <v>3</v>
      </c>
    </row>
    <row r="37" spans="1:17" ht="18" customHeight="1" thickTop="1" x14ac:dyDescent="0.3">
      <c r="A37" s="4" t="s">
        <v>20</v>
      </c>
      <c r="B37" s="16">
        <f>SUM(B6:B36)</f>
        <v>171817</v>
      </c>
      <c r="C37" s="16">
        <f t="shared" ref="C37:H37" si="3">SUM(C6:C36)</f>
        <v>0</v>
      </c>
      <c r="D37" s="16">
        <f t="shared" si="3"/>
        <v>49222</v>
      </c>
      <c r="E37" s="16">
        <f t="shared" si="3"/>
        <v>9115</v>
      </c>
      <c r="F37" s="16">
        <f t="shared" si="3"/>
        <v>9335</v>
      </c>
      <c r="G37" s="16">
        <f t="shared" si="3"/>
        <v>13806</v>
      </c>
      <c r="H37" s="16">
        <f t="shared" si="3"/>
        <v>253295</v>
      </c>
      <c r="I37" s="16">
        <f>SUM(I6:I33)</f>
        <v>0</v>
      </c>
      <c r="J37" s="16"/>
      <c r="K37" s="16" t="s">
        <v>32</v>
      </c>
      <c r="L37" s="16">
        <f>SUM(L6:L36)</f>
        <v>103</v>
      </c>
      <c r="M37" s="16">
        <f>SUM(M6:M36)</f>
        <v>519</v>
      </c>
      <c r="N37" s="16">
        <f>SUM(N6:N36)</f>
        <v>139</v>
      </c>
      <c r="O37" s="16">
        <f t="shared" ref="O37:P37" si="4">SUM(O6:O36)</f>
        <v>761</v>
      </c>
      <c r="P37" s="16">
        <f t="shared" si="4"/>
        <v>18405</v>
      </c>
    </row>
    <row r="38" spans="1:17" ht="18" customHeight="1" x14ac:dyDescent="0.3">
      <c r="A38" s="4" t="s">
        <v>20</v>
      </c>
      <c r="B38" s="43">
        <f>+B37+C37</f>
        <v>171817</v>
      </c>
      <c r="C38" s="43"/>
      <c r="D38" s="16">
        <f>+D37</f>
        <v>49222</v>
      </c>
      <c r="E38" s="16">
        <f>+E37</f>
        <v>9115</v>
      </c>
      <c r="F38" s="16">
        <f>+F37</f>
        <v>9335</v>
      </c>
      <c r="G38" s="16">
        <f>+G37</f>
        <v>13806</v>
      </c>
      <c r="H38" s="16">
        <f>SUM(B38:G38)</f>
        <v>253295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7" x14ac:dyDescent="0.3">
      <c r="A39" s="23"/>
      <c r="B39" s="24"/>
      <c r="C39" s="24"/>
      <c r="D39" s="24"/>
      <c r="E39" s="24"/>
      <c r="F39" s="24"/>
      <c r="G39" s="24"/>
      <c r="H39" s="24"/>
      <c r="I39" s="24"/>
      <c r="J39" s="22"/>
      <c r="K39" s="25"/>
      <c r="L39" s="26"/>
    </row>
    <row r="41" spans="1:17" x14ac:dyDescent="0.3">
      <c r="A41" s="27"/>
    </row>
    <row r="42" spans="1:17" x14ac:dyDescent="0.3">
      <c r="A42" s="27"/>
      <c r="B42" s="10"/>
      <c r="C42" s="10"/>
      <c r="D42" s="10"/>
      <c r="E42" s="10"/>
      <c r="F42" s="10"/>
      <c r="H42" s="10"/>
      <c r="I42" s="10"/>
      <c r="J42" s="10"/>
      <c r="K42" s="28"/>
      <c r="L42" s="10"/>
      <c r="M42" s="10"/>
      <c r="N42" s="10"/>
      <c r="O42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6356-A841-4C56-8E04-852E9F82F49C}">
  <dimension ref="A1:Z43"/>
  <sheetViews>
    <sheetView topLeftCell="A27" workbookViewId="0">
      <selection activeCell="D48" sqref="D48"/>
    </sheetView>
  </sheetViews>
  <sheetFormatPr baseColWidth="10" defaultColWidth="11.44140625" defaultRowHeight="13.8" x14ac:dyDescent="0.3"/>
  <cols>
    <col min="1" max="1" width="15.33203125" style="5" customWidth="1"/>
    <col min="2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35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82.5" customHeight="1" x14ac:dyDescent="0.3">
      <c r="A4" s="46" t="s">
        <v>2</v>
      </c>
      <c r="B4" s="42" t="s">
        <v>31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6972</v>
      </c>
      <c r="C6" s="7">
        <v>0</v>
      </c>
      <c r="D6" s="7">
        <v>1571</v>
      </c>
      <c r="E6" s="7">
        <v>290</v>
      </c>
      <c r="F6" s="7">
        <v>264</v>
      </c>
      <c r="G6" s="7">
        <v>370</v>
      </c>
      <c r="H6" s="7">
        <f>SUM(B6:G6)</f>
        <v>9467</v>
      </c>
      <c r="I6" s="7">
        <v>0</v>
      </c>
      <c r="J6" s="8"/>
      <c r="K6" s="6">
        <v>1</v>
      </c>
      <c r="L6" s="7">
        <v>3</v>
      </c>
      <c r="M6" s="7">
        <v>14</v>
      </c>
      <c r="N6" s="7">
        <v>2</v>
      </c>
      <c r="O6" s="7">
        <f>SUM(L6:N6)</f>
        <v>19</v>
      </c>
      <c r="P6" s="9">
        <v>6135</v>
      </c>
    </row>
    <row r="7" spans="1:19" ht="18" customHeight="1" thickTop="1" thickBot="1" x14ac:dyDescent="0.35">
      <c r="A7" s="6">
        <v>2</v>
      </c>
      <c r="B7" s="7">
        <v>8486</v>
      </c>
      <c r="C7" s="7">
        <v>0</v>
      </c>
      <c r="D7" s="7">
        <v>1328</v>
      </c>
      <c r="E7" s="7">
        <v>173</v>
      </c>
      <c r="F7" s="7">
        <v>314</v>
      </c>
      <c r="G7" s="7">
        <v>304</v>
      </c>
      <c r="H7" s="7">
        <f t="shared" ref="H7:H36" si="0">SUM(B7:G7)</f>
        <v>10605</v>
      </c>
      <c r="I7" s="7">
        <v>0</v>
      </c>
      <c r="J7" s="8"/>
      <c r="K7" s="6">
        <v>2</v>
      </c>
      <c r="L7" s="7">
        <v>1</v>
      </c>
      <c r="M7" s="7">
        <v>9</v>
      </c>
      <c r="N7" s="7">
        <v>4</v>
      </c>
      <c r="O7" s="7">
        <f t="shared" ref="O7:O36" si="1">SUM(L7:N7)</f>
        <v>14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6115</v>
      </c>
      <c r="C8" s="7">
        <v>0</v>
      </c>
      <c r="D8" s="7">
        <v>1216</v>
      </c>
      <c r="E8" s="7">
        <v>200</v>
      </c>
      <c r="F8" s="7">
        <v>196</v>
      </c>
      <c r="G8" s="7">
        <v>352</v>
      </c>
      <c r="H8" s="7">
        <f t="shared" si="0"/>
        <v>8079</v>
      </c>
      <c r="I8" s="7">
        <v>0</v>
      </c>
      <c r="J8" s="8"/>
      <c r="K8" s="6">
        <v>3</v>
      </c>
      <c r="L8" s="7">
        <v>2</v>
      </c>
      <c r="M8" s="7">
        <v>14</v>
      </c>
      <c r="N8" s="7">
        <v>2</v>
      </c>
      <c r="O8" s="7">
        <f t="shared" si="1"/>
        <v>18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10619</v>
      </c>
      <c r="C9" s="7">
        <v>0</v>
      </c>
      <c r="D9" s="7">
        <v>714</v>
      </c>
      <c r="E9" s="7">
        <v>64</v>
      </c>
      <c r="F9" s="7">
        <v>92</v>
      </c>
      <c r="G9" s="7">
        <v>110</v>
      </c>
      <c r="H9" s="7">
        <f t="shared" si="0"/>
        <v>11599</v>
      </c>
      <c r="I9" s="7">
        <v>0</v>
      </c>
      <c r="J9" s="8"/>
      <c r="K9" s="6">
        <v>4</v>
      </c>
      <c r="L9" s="7">
        <v>1</v>
      </c>
      <c r="M9" s="7">
        <v>4</v>
      </c>
      <c r="N9" s="7">
        <v>1</v>
      </c>
      <c r="O9" s="7">
        <f t="shared" si="1"/>
        <v>6</v>
      </c>
      <c r="P9" s="9">
        <v>0</v>
      </c>
    </row>
    <row r="10" spans="1:19" ht="18" customHeight="1" thickTop="1" thickBot="1" x14ac:dyDescent="0.35">
      <c r="A10" s="6">
        <v>5</v>
      </c>
      <c r="B10" s="7">
        <v>4411</v>
      </c>
      <c r="C10" s="7">
        <v>0</v>
      </c>
      <c r="D10" s="7">
        <v>1465</v>
      </c>
      <c r="E10" s="7">
        <v>353</v>
      </c>
      <c r="F10" s="7">
        <v>279</v>
      </c>
      <c r="G10" s="7">
        <v>439</v>
      </c>
      <c r="H10" s="7">
        <f t="shared" si="0"/>
        <v>6947</v>
      </c>
      <c r="I10" s="7">
        <v>0</v>
      </c>
      <c r="J10" s="8"/>
      <c r="K10" s="6">
        <v>5</v>
      </c>
      <c r="L10" s="7">
        <v>1</v>
      </c>
      <c r="M10" s="7">
        <v>34</v>
      </c>
      <c r="N10" s="7">
        <v>6</v>
      </c>
      <c r="O10" s="7">
        <f t="shared" si="1"/>
        <v>41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3629</v>
      </c>
      <c r="C11" s="7">
        <v>0</v>
      </c>
      <c r="D11" s="7">
        <v>1664</v>
      </c>
      <c r="E11" s="7">
        <v>275</v>
      </c>
      <c r="F11" s="7">
        <v>326</v>
      </c>
      <c r="G11" s="7">
        <v>439</v>
      </c>
      <c r="H11" s="7">
        <f t="shared" si="0"/>
        <v>6333</v>
      </c>
      <c r="I11" s="7">
        <v>0</v>
      </c>
      <c r="J11" s="8"/>
      <c r="K11" s="6">
        <v>6</v>
      </c>
      <c r="L11" s="7">
        <v>1</v>
      </c>
      <c r="M11" s="7">
        <v>11</v>
      </c>
      <c r="N11" s="7">
        <v>5</v>
      </c>
      <c r="O11" s="7">
        <f t="shared" si="1"/>
        <v>17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4000</v>
      </c>
      <c r="C12" s="7">
        <v>0</v>
      </c>
      <c r="D12" s="7">
        <v>1771</v>
      </c>
      <c r="E12" s="7">
        <v>309</v>
      </c>
      <c r="F12" s="7">
        <v>363</v>
      </c>
      <c r="G12" s="7">
        <v>441</v>
      </c>
      <c r="H12" s="7">
        <f t="shared" si="0"/>
        <v>6884</v>
      </c>
      <c r="I12" s="7">
        <v>0</v>
      </c>
      <c r="J12" s="11"/>
      <c r="K12" s="6">
        <v>7</v>
      </c>
      <c r="L12" s="7">
        <v>6</v>
      </c>
      <c r="M12" s="7">
        <v>16</v>
      </c>
      <c r="N12" s="7">
        <v>3</v>
      </c>
      <c r="O12" s="7">
        <f t="shared" si="1"/>
        <v>25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6896</v>
      </c>
      <c r="C13" s="7">
        <v>0</v>
      </c>
      <c r="D13" s="7">
        <v>1655</v>
      </c>
      <c r="E13" s="7">
        <v>272</v>
      </c>
      <c r="F13" s="7">
        <v>330</v>
      </c>
      <c r="G13" s="7">
        <v>419</v>
      </c>
      <c r="H13" s="7">
        <f t="shared" si="0"/>
        <v>9572</v>
      </c>
      <c r="I13" s="7">
        <v>0</v>
      </c>
      <c r="J13" s="11"/>
      <c r="K13" s="6">
        <v>8</v>
      </c>
      <c r="L13" s="7">
        <v>3</v>
      </c>
      <c r="M13" s="7">
        <v>20</v>
      </c>
      <c r="N13" s="7">
        <v>8</v>
      </c>
      <c r="O13" s="7">
        <f t="shared" si="1"/>
        <v>31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9643</v>
      </c>
      <c r="C14" s="7">
        <v>0</v>
      </c>
      <c r="D14" s="7">
        <v>1351</v>
      </c>
      <c r="E14" s="7">
        <v>187</v>
      </c>
      <c r="F14" s="7">
        <v>297</v>
      </c>
      <c r="G14" s="7">
        <v>319</v>
      </c>
      <c r="H14" s="7">
        <f t="shared" si="0"/>
        <v>11797</v>
      </c>
      <c r="I14" s="7">
        <v>0</v>
      </c>
      <c r="J14" s="11"/>
      <c r="K14" s="6">
        <v>9</v>
      </c>
      <c r="L14" s="7">
        <v>1</v>
      </c>
      <c r="M14" s="7">
        <v>18</v>
      </c>
      <c r="N14" s="7">
        <v>6</v>
      </c>
      <c r="O14" s="7">
        <f t="shared" si="1"/>
        <v>25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6307</v>
      </c>
      <c r="C15" s="7">
        <v>0</v>
      </c>
      <c r="D15" s="7">
        <v>1264</v>
      </c>
      <c r="E15" s="7">
        <v>196</v>
      </c>
      <c r="F15" s="7">
        <v>213</v>
      </c>
      <c r="G15" s="7">
        <v>346</v>
      </c>
      <c r="H15" s="7">
        <f t="shared" si="0"/>
        <v>8326</v>
      </c>
      <c r="I15" s="7">
        <v>0</v>
      </c>
      <c r="J15" s="11"/>
      <c r="K15" s="6">
        <v>10</v>
      </c>
      <c r="L15" s="7">
        <v>2</v>
      </c>
      <c r="M15" s="7">
        <v>22</v>
      </c>
      <c r="N15" s="7">
        <v>4</v>
      </c>
      <c r="O15" s="7">
        <f t="shared" si="1"/>
        <v>28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11359</v>
      </c>
      <c r="C16" s="7">
        <v>0</v>
      </c>
      <c r="D16" s="7">
        <v>802</v>
      </c>
      <c r="E16" s="7">
        <v>72</v>
      </c>
      <c r="F16" s="7">
        <v>105</v>
      </c>
      <c r="G16" s="7">
        <v>137</v>
      </c>
      <c r="H16" s="7">
        <f t="shared" si="0"/>
        <v>12475</v>
      </c>
      <c r="I16" s="7">
        <v>0</v>
      </c>
      <c r="J16" s="11"/>
      <c r="K16" s="6">
        <v>11</v>
      </c>
      <c r="L16" s="7">
        <v>0</v>
      </c>
      <c r="M16" s="7">
        <v>4</v>
      </c>
      <c r="N16" s="7">
        <v>2</v>
      </c>
      <c r="O16" s="7">
        <f t="shared" si="1"/>
        <v>6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4201</v>
      </c>
      <c r="C17" s="7">
        <v>0</v>
      </c>
      <c r="D17" s="7">
        <v>1464</v>
      </c>
      <c r="E17" s="7">
        <v>265</v>
      </c>
      <c r="F17" s="7">
        <v>222</v>
      </c>
      <c r="G17" s="7">
        <v>425</v>
      </c>
      <c r="H17" s="7">
        <f t="shared" si="0"/>
        <v>6577</v>
      </c>
      <c r="I17" s="7">
        <v>0</v>
      </c>
      <c r="J17" s="11"/>
      <c r="K17" s="6">
        <v>12</v>
      </c>
      <c r="L17" s="7">
        <v>3</v>
      </c>
      <c r="M17" s="7">
        <v>23</v>
      </c>
      <c r="N17" s="7">
        <v>3</v>
      </c>
      <c r="O17" s="7">
        <f t="shared" si="1"/>
        <v>29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3399</v>
      </c>
      <c r="C18" s="7">
        <v>0</v>
      </c>
      <c r="D18" s="7">
        <v>1774</v>
      </c>
      <c r="E18" s="7">
        <v>308</v>
      </c>
      <c r="F18" s="7">
        <v>339</v>
      </c>
      <c r="G18" s="7">
        <v>456</v>
      </c>
      <c r="H18" s="7">
        <f t="shared" si="0"/>
        <v>6276</v>
      </c>
      <c r="I18" s="7">
        <v>0</v>
      </c>
      <c r="J18" s="11"/>
      <c r="K18" s="6">
        <v>13</v>
      </c>
      <c r="L18" s="7">
        <v>3</v>
      </c>
      <c r="M18" s="7">
        <v>36</v>
      </c>
      <c r="N18" s="7">
        <v>8</v>
      </c>
      <c r="O18" s="7">
        <f t="shared" si="1"/>
        <v>47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3469</v>
      </c>
      <c r="C19" s="7">
        <v>0</v>
      </c>
      <c r="D19" s="7">
        <v>1785</v>
      </c>
      <c r="E19" s="7">
        <v>341</v>
      </c>
      <c r="F19" s="7">
        <v>360</v>
      </c>
      <c r="G19" s="7">
        <v>479</v>
      </c>
      <c r="H19" s="7">
        <f t="shared" si="0"/>
        <v>6434</v>
      </c>
      <c r="I19" s="7">
        <v>0</v>
      </c>
      <c r="J19" s="11"/>
      <c r="K19" s="6">
        <v>14</v>
      </c>
      <c r="L19" s="7">
        <v>0</v>
      </c>
      <c r="M19" s="7">
        <v>20</v>
      </c>
      <c r="N19" s="7">
        <v>8</v>
      </c>
      <c r="O19" s="7">
        <f t="shared" si="1"/>
        <v>28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4427</v>
      </c>
      <c r="C20" s="7">
        <v>0</v>
      </c>
      <c r="D20" s="7">
        <v>1684</v>
      </c>
      <c r="E20" s="7">
        <v>315</v>
      </c>
      <c r="F20" s="7">
        <v>352</v>
      </c>
      <c r="G20" s="7">
        <v>429</v>
      </c>
      <c r="H20" s="7">
        <f t="shared" si="0"/>
        <v>7207</v>
      </c>
      <c r="I20" s="7">
        <v>0</v>
      </c>
      <c r="J20" s="11"/>
      <c r="K20" s="6">
        <v>15</v>
      </c>
      <c r="L20" s="7">
        <v>0</v>
      </c>
      <c r="M20" s="7">
        <v>18</v>
      </c>
      <c r="N20" s="7">
        <v>10</v>
      </c>
      <c r="O20" s="7">
        <f t="shared" si="1"/>
        <v>28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5012</v>
      </c>
      <c r="C21" s="7">
        <v>0</v>
      </c>
      <c r="D21" s="7">
        <v>1535</v>
      </c>
      <c r="E21" s="7">
        <v>264</v>
      </c>
      <c r="F21" s="7">
        <v>343</v>
      </c>
      <c r="G21" s="7">
        <v>414</v>
      </c>
      <c r="H21" s="7">
        <f t="shared" si="0"/>
        <v>7568</v>
      </c>
      <c r="I21" s="7">
        <v>0</v>
      </c>
      <c r="J21" s="11"/>
      <c r="K21" s="6">
        <v>16</v>
      </c>
      <c r="L21" s="7">
        <v>1</v>
      </c>
      <c r="M21" s="7">
        <v>26</v>
      </c>
      <c r="N21" s="7">
        <v>7</v>
      </c>
      <c r="O21" s="7">
        <f t="shared" si="1"/>
        <v>34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5526</v>
      </c>
      <c r="C22" s="7">
        <v>0</v>
      </c>
      <c r="D22" s="7">
        <v>1137</v>
      </c>
      <c r="E22" s="7">
        <v>191</v>
      </c>
      <c r="F22" s="7">
        <v>205</v>
      </c>
      <c r="G22" s="7">
        <v>290</v>
      </c>
      <c r="H22" s="7">
        <f t="shared" si="0"/>
        <v>7349</v>
      </c>
      <c r="I22" s="7">
        <v>0</v>
      </c>
      <c r="J22" s="11"/>
      <c r="K22" s="6">
        <v>17</v>
      </c>
      <c r="L22" s="7">
        <v>2</v>
      </c>
      <c r="M22" s="7">
        <v>20</v>
      </c>
      <c r="N22" s="7">
        <v>6</v>
      </c>
      <c r="O22" s="7">
        <f t="shared" si="1"/>
        <v>28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3508</v>
      </c>
      <c r="C23" s="7">
        <v>0</v>
      </c>
      <c r="D23" s="7">
        <v>1373</v>
      </c>
      <c r="E23" s="7">
        <v>390</v>
      </c>
      <c r="F23" s="7">
        <v>262</v>
      </c>
      <c r="G23" s="7">
        <v>456</v>
      </c>
      <c r="H23" s="7">
        <f t="shared" si="0"/>
        <v>5989</v>
      </c>
      <c r="I23" s="7">
        <v>0</v>
      </c>
      <c r="J23" s="11"/>
      <c r="K23" s="6">
        <v>18</v>
      </c>
      <c r="L23" s="7">
        <v>8</v>
      </c>
      <c r="M23" s="7">
        <v>11</v>
      </c>
      <c r="N23" s="7">
        <v>4</v>
      </c>
      <c r="O23" s="7">
        <f t="shared" si="1"/>
        <v>23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3180</v>
      </c>
      <c r="C24" s="7">
        <v>0</v>
      </c>
      <c r="D24" s="7">
        <v>1652</v>
      </c>
      <c r="E24" s="7">
        <v>312</v>
      </c>
      <c r="F24" s="7">
        <v>353</v>
      </c>
      <c r="G24" s="7">
        <v>444</v>
      </c>
      <c r="H24" s="7">
        <f t="shared" si="0"/>
        <v>5941</v>
      </c>
      <c r="I24" s="7">
        <v>0</v>
      </c>
      <c r="J24" s="11"/>
      <c r="K24" s="6">
        <v>19</v>
      </c>
      <c r="L24" s="7">
        <v>2</v>
      </c>
      <c r="M24" s="7">
        <v>17</v>
      </c>
      <c r="N24" s="7">
        <v>14</v>
      </c>
      <c r="O24" s="7">
        <f t="shared" si="1"/>
        <v>33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3451</v>
      </c>
      <c r="C25" s="7">
        <v>0</v>
      </c>
      <c r="D25" s="7">
        <v>1786</v>
      </c>
      <c r="E25" s="7">
        <v>325</v>
      </c>
      <c r="F25" s="7">
        <v>342</v>
      </c>
      <c r="G25" s="7">
        <v>477</v>
      </c>
      <c r="H25" s="7">
        <f t="shared" si="0"/>
        <v>6381</v>
      </c>
      <c r="I25" s="7">
        <v>0</v>
      </c>
      <c r="J25" s="11"/>
      <c r="K25" s="6">
        <v>20</v>
      </c>
      <c r="L25" s="7">
        <v>2</v>
      </c>
      <c r="M25" s="7">
        <v>4</v>
      </c>
      <c r="N25" s="7">
        <v>11</v>
      </c>
      <c r="O25" s="7">
        <f t="shared" si="1"/>
        <v>17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3713</v>
      </c>
      <c r="C26" s="7">
        <v>0</v>
      </c>
      <c r="D26" s="7">
        <v>1783</v>
      </c>
      <c r="E26" s="7">
        <v>318</v>
      </c>
      <c r="F26" s="7">
        <v>390</v>
      </c>
      <c r="G26" s="7">
        <v>461</v>
      </c>
      <c r="H26" s="7">
        <f t="shared" si="0"/>
        <v>6665</v>
      </c>
      <c r="I26" s="7">
        <v>0</v>
      </c>
      <c r="J26" s="11"/>
      <c r="K26" s="6">
        <v>21</v>
      </c>
      <c r="L26" s="7">
        <v>0</v>
      </c>
      <c r="M26" s="7">
        <v>17</v>
      </c>
      <c r="N26" s="7">
        <v>6</v>
      </c>
      <c r="O26" s="7">
        <f t="shared" si="1"/>
        <v>23</v>
      </c>
      <c r="P26" s="9">
        <f t="shared" si="2"/>
        <v>0</v>
      </c>
    </row>
    <row r="27" spans="1:26" ht="18" customHeight="1" thickTop="1" thickBot="1" x14ac:dyDescent="0.35">
      <c r="A27" s="38">
        <v>22</v>
      </c>
      <c r="B27" s="39">
        <v>4937</v>
      </c>
      <c r="C27" s="39">
        <v>0</v>
      </c>
      <c r="D27" s="39">
        <v>1675</v>
      </c>
      <c r="E27" s="39">
        <v>327</v>
      </c>
      <c r="F27" s="39">
        <v>319</v>
      </c>
      <c r="G27" s="39">
        <v>450</v>
      </c>
      <c r="H27" s="39">
        <f t="shared" si="0"/>
        <v>7708</v>
      </c>
      <c r="I27" s="39">
        <v>0</v>
      </c>
      <c r="J27" s="40"/>
      <c r="K27" s="38">
        <v>22</v>
      </c>
      <c r="L27" s="39">
        <v>2</v>
      </c>
      <c r="M27" s="39">
        <v>14</v>
      </c>
      <c r="N27" s="39">
        <v>8</v>
      </c>
      <c r="O27" s="39">
        <f t="shared" si="1"/>
        <v>24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5399</v>
      </c>
      <c r="C28" s="7">
        <v>0</v>
      </c>
      <c r="D28" s="7">
        <v>1539</v>
      </c>
      <c r="E28" s="7">
        <v>299</v>
      </c>
      <c r="F28" s="7">
        <v>379</v>
      </c>
      <c r="G28" s="7">
        <v>367</v>
      </c>
      <c r="H28" s="39">
        <f t="shared" si="0"/>
        <v>7983</v>
      </c>
      <c r="I28" s="7">
        <v>0</v>
      </c>
      <c r="J28" s="11"/>
      <c r="K28" s="6">
        <v>23</v>
      </c>
      <c r="L28" s="7">
        <v>8</v>
      </c>
      <c r="M28" s="7">
        <v>24</v>
      </c>
      <c r="N28" s="7">
        <v>9</v>
      </c>
      <c r="O28" s="7">
        <f t="shared" si="1"/>
        <v>41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6339</v>
      </c>
      <c r="C29" s="7">
        <v>0</v>
      </c>
      <c r="D29" s="7">
        <v>1227</v>
      </c>
      <c r="E29" s="7">
        <v>176</v>
      </c>
      <c r="F29" s="7">
        <v>213</v>
      </c>
      <c r="G29" s="7">
        <v>362</v>
      </c>
      <c r="H29" s="7">
        <f t="shared" si="0"/>
        <v>8317</v>
      </c>
      <c r="I29" s="7">
        <v>0</v>
      </c>
      <c r="J29" s="11"/>
      <c r="K29" s="6">
        <v>24</v>
      </c>
      <c r="L29" s="7">
        <v>6</v>
      </c>
      <c r="M29" s="7">
        <v>11</v>
      </c>
      <c r="N29" s="7">
        <v>1</v>
      </c>
      <c r="O29" s="7">
        <f t="shared" si="1"/>
        <v>18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3811</v>
      </c>
      <c r="C30" s="7">
        <v>0</v>
      </c>
      <c r="D30" s="7">
        <v>1571</v>
      </c>
      <c r="E30" s="7">
        <v>307</v>
      </c>
      <c r="F30" s="7">
        <v>283</v>
      </c>
      <c r="G30" s="7">
        <v>430</v>
      </c>
      <c r="H30" s="7">
        <f t="shared" si="0"/>
        <v>6402</v>
      </c>
      <c r="I30" s="7">
        <v>0</v>
      </c>
      <c r="J30" s="11"/>
      <c r="K30" s="6">
        <v>25</v>
      </c>
      <c r="L30" s="7">
        <v>10</v>
      </c>
      <c r="M30" s="7">
        <v>16</v>
      </c>
      <c r="N30" s="7">
        <v>4</v>
      </c>
      <c r="O30" s="7">
        <f t="shared" si="1"/>
        <v>30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29">
        <v>3672</v>
      </c>
      <c r="C31" s="29">
        <v>0</v>
      </c>
      <c r="D31" s="29">
        <v>1803</v>
      </c>
      <c r="E31" s="29">
        <v>332</v>
      </c>
      <c r="F31" s="29">
        <v>312</v>
      </c>
      <c r="G31" s="29">
        <v>451</v>
      </c>
      <c r="H31" s="30">
        <f t="shared" si="0"/>
        <v>6570</v>
      </c>
      <c r="I31" s="30">
        <v>0</v>
      </c>
      <c r="J31" s="11"/>
      <c r="K31" s="31">
        <v>26</v>
      </c>
      <c r="L31" s="29">
        <v>6</v>
      </c>
      <c r="M31" s="29">
        <v>22</v>
      </c>
      <c r="N31" s="29">
        <v>5</v>
      </c>
      <c r="O31" s="7">
        <f t="shared" si="1"/>
        <v>33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32">
        <v>3828</v>
      </c>
      <c r="C32" s="32">
        <v>0</v>
      </c>
      <c r="D32" s="32">
        <v>1673</v>
      </c>
      <c r="E32" s="32">
        <v>260</v>
      </c>
      <c r="F32" s="32">
        <v>297</v>
      </c>
      <c r="G32" s="32">
        <v>401</v>
      </c>
      <c r="H32" s="7">
        <f t="shared" si="0"/>
        <v>6459</v>
      </c>
      <c r="I32" s="7">
        <v>0</v>
      </c>
      <c r="J32" s="7"/>
      <c r="K32" s="6">
        <v>27</v>
      </c>
      <c r="L32" s="32">
        <v>6</v>
      </c>
      <c r="M32" s="32">
        <v>15</v>
      </c>
      <c r="N32" s="32">
        <v>4</v>
      </c>
      <c r="O32" s="7">
        <f t="shared" si="1"/>
        <v>25</v>
      </c>
      <c r="P32" s="9">
        <f t="shared" si="2"/>
        <v>0</v>
      </c>
    </row>
    <row r="33" spans="1:17" ht="18" customHeight="1" thickTop="1" thickBot="1" x14ac:dyDescent="0.35">
      <c r="A33" s="6">
        <v>28</v>
      </c>
      <c r="B33" s="32">
        <v>4305</v>
      </c>
      <c r="C33" s="32">
        <v>0</v>
      </c>
      <c r="D33" s="32">
        <v>1716</v>
      </c>
      <c r="E33" s="32">
        <v>244</v>
      </c>
      <c r="F33" s="32">
        <v>290</v>
      </c>
      <c r="G33" s="32">
        <v>377</v>
      </c>
      <c r="H33" s="7">
        <f t="shared" si="0"/>
        <v>6932</v>
      </c>
      <c r="I33" s="7">
        <v>0</v>
      </c>
      <c r="J33" s="7"/>
      <c r="K33" s="6">
        <v>28</v>
      </c>
      <c r="L33" s="32">
        <v>4</v>
      </c>
      <c r="M33" s="32">
        <v>16</v>
      </c>
      <c r="N33" s="32">
        <v>3</v>
      </c>
      <c r="O33" s="7">
        <f t="shared" si="1"/>
        <v>23</v>
      </c>
      <c r="P33" s="9">
        <f t="shared" si="2"/>
        <v>0</v>
      </c>
    </row>
    <row r="34" spans="1:17" ht="18" customHeight="1" thickTop="1" thickBot="1" x14ac:dyDescent="0.35">
      <c r="A34" s="6">
        <v>29</v>
      </c>
      <c r="B34" s="32">
        <v>5471</v>
      </c>
      <c r="C34" s="32">
        <v>0</v>
      </c>
      <c r="D34" s="32">
        <v>1897</v>
      </c>
      <c r="E34" s="32">
        <v>332</v>
      </c>
      <c r="F34" s="32">
        <v>363</v>
      </c>
      <c r="G34" s="32">
        <v>489</v>
      </c>
      <c r="H34" s="7">
        <f t="shared" si="0"/>
        <v>8552</v>
      </c>
      <c r="I34" s="7">
        <v>0</v>
      </c>
      <c r="J34" s="7"/>
      <c r="K34" s="6">
        <v>29</v>
      </c>
      <c r="L34" s="32">
        <v>9</v>
      </c>
      <c r="M34" s="32">
        <v>17</v>
      </c>
      <c r="N34" s="32">
        <v>13</v>
      </c>
      <c r="O34" s="7">
        <f t="shared" si="1"/>
        <v>39</v>
      </c>
      <c r="P34" s="9">
        <f t="shared" si="2"/>
        <v>0</v>
      </c>
    </row>
    <row r="35" spans="1:17" ht="18" customHeight="1" thickTop="1" thickBot="1" x14ac:dyDescent="0.35">
      <c r="A35" s="6">
        <v>30</v>
      </c>
      <c r="B35" s="32">
        <v>6700</v>
      </c>
      <c r="C35" s="32">
        <v>0</v>
      </c>
      <c r="D35" s="32">
        <v>1730</v>
      </c>
      <c r="E35" s="32">
        <v>282</v>
      </c>
      <c r="F35" s="32">
        <v>333</v>
      </c>
      <c r="G35" s="32">
        <v>422</v>
      </c>
      <c r="H35" s="33">
        <f t="shared" si="0"/>
        <v>9467</v>
      </c>
      <c r="I35" s="33">
        <v>0</v>
      </c>
      <c r="J35" s="33"/>
      <c r="K35" s="34">
        <v>30</v>
      </c>
      <c r="L35" s="32">
        <v>5</v>
      </c>
      <c r="M35" s="32">
        <v>10</v>
      </c>
      <c r="N35" s="32">
        <v>7</v>
      </c>
      <c r="O35" s="33">
        <f t="shared" si="1"/>
        <v>22</v>
      </c>
      <c r="P35" s="9">
        <f t="shared" si="2"/>
        <v>0</v>
      </c>
    </row>
    <row r="36" spans="1:17" ht="18.75" customHeight="1" thickTop="1" thickBot="1" x14ac:dyDescent="0.35">
      <c r="A36" s="6">
        <v>31</v>
      </c>
      <c r="B36" s="32"/>
      <c r="C36" s="32"/>
      <c r="D36" s="32"/>
      <c r="E36" s="32"/>
      <c r="F36" s="32"/>
      <c r="G36" s="32"/>
      <c r="H36" s="33">
        <f t="shared" si="0"/>
        <v>0</v>
      </c>
      <c r="I36" s="7">
        <v>0</v>
      </c>
      <c r="J36" s="7"/>
      <c r="K36" s="6">
        <v>31</v>
      </c>
      <c r="L36" s="32"/>
      <c r="M36" s="32"/>
      <c r="N36" s="32"/>
      <c r="O36" s="7">
        <f t="shared" si="1"/>
        <v>0</v>
      </c>
      <c r="P36" s="9">
        <f t="shared" si="2"/>
        <v>0</v>
      </c>
      <c r="Q36" s="5">
        <v>3</v>
      </c>
    </row>
    <row r="37" spans="1:17" ht="18" customHeight="1" thickTop="1" x14ac:dyDescent="0.3">
      <c r="A37" s="4" t="s">
        <v>20</v>
      </c>
      <c r="B37" s="16">
        <f t="shared" ref="B37:H37" si="3">SUM(B6:B36)</f>
        <v>162785</v>
      </c>
      <c r="C37" s="16">
        <f t="shared" si="3"/>
        <v>0</v>
      </c>
      <c r="D37" s="16">
        <f t="shared" si="3"/>
        <v>45605</v>
      </c>
      <c r="E37" s="16">
        <f t="shared" si="3"/>
        <v>7979</v>
      </c>
      <c r="F37" s="16">
        <f t="shared" si="3"/>
        <v>8736</v>
      </c>
      <c r="G37" s="16">
        <f t="shared" si="3"/>
        <v>11756</v>
      </c>
      <c r="H37" s="16">
        <f t="shared" si="3"/>
        <v>236861</v>
      </c>
      <c r="I37" s="16">
        <f>SUM(I6:I33)</f>
        <v>0</v>
      </c>
      <c r="J37" s="16"/>
      <c r="K37" s="16" t="s">
        <v>32</v>
      </c>
      <c r="L37" s="16">
        <f>SUM(L6:L36)</f>
        <v>98</v>
      </c>
      <c r="M37" s="16">
        <f>SUM(M6:M36)</f>
        <v>503</v>
      </c>
      <c r="N37" s="16">
        <f>SUM(N6:N36)</f>
        <v>174</v>
      </c>
      <c r="O37" s="16">
        <f t="shared" ref="O37:P37" si="4">SUM(O6:O36)</f>
        <v>775</v>
      </c>
      <c r="P37" s="16">
        <f t="shared" si="4"/>
        <v>18405</v>
      </c>
    </row>
    <row r="38" spans="1:17" ht="18" customHeight="1" x14ac:dyDescent="0.3">
      <c r="A38" s="4" t="s">
        <v>20</v>
      </c>
      <c r="B38" s="43">
        <f>+B37+C37</f>
        <v>162785</v>
      </c>
      <c r="C38" s="43"/>
      <c r="D38" s="16">
        <f>+D37</f>
        <v>45605</v>
      </c>
      <c r="E38" s="16">
        <f>+E37</f>
        <v>7979</v>
      </c>
      <c r="F38" s="16">
        <f>+F37</f>
        <v>8736</v>
      </c>
      <c r="G38" s="16">
        <f>+G37</f>
        <v>11756</v>
      </c>
      <c r="H38" s="16">
        <f>SUM(B38:G38)</f>
        <v>236861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7" ht="18" customHeight="1" x14ac:dyDescent="0.3">
      <c r="A39" s="19"/>
      <c r="B39" s="20"/>
      <c r="C39" s="20"/>
      <c r="D39" s="20"/>
      <c r="E39" s="20"/>
      <c r="F39" s="20"/>
      <c r="G39" s="20"/>
      <c r="H39" s="20"/>
      <c r="L39" s="22"/>
    </row>
    <row r="40" spans="1:17" x14ac:dyDescent="0.3">
      <c r="A40" s="23"/>
      <c r="B40" s="24"/>
      <c r="C40" s="24"/>
      <c r="D40" s="24"/>
      <c r="E40" s="24"/>
      <c r="F40" s="24"/>
      <c r="G40" s="24"/>
      <c r="H40" s="24"/>
      <c r="I40" s="24"/>
      <c r="J40" s="22"/>
      <c r="K40" s="25"/>
      <c r="L40" s="26"/>
    </row>
    <row r="42" spans="1:17" x14ac:dyDescent="0.3">
      <c r="A42" s="27"/>
    </row>
    <row r="43" spans="1:17" x14ac:dyDescent="0.3">
      <c r="A43" s="27"/>
      <c r="B43" s="10"/>
      <c r="C43" s="10"/>
      <c r="D43" s="10"/>
      <c r="E43" s="10"/>
      <c r="F43" s="10"/>
      <c r="H43" s="10"/>
      <c r="I43" s="10"/>
      <c r="J43" s="10"/>
      <c r="K43" s="28"/>
      <c r="L43" s="10"/>
      <c r="M43" s="10"/>
      <c r="N43" s="10"/>
      <c r="O43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A0AB1-6603-4AA1-A8A9-6A57F154FF2F}">
  <dimension ref="A1:Z42"/>
  <sheetViews>
    <sheetView topLeftCell="A23" workbookViewId="0">
      <selection activeCell="E42" sqref="E42"/>
    </sheetView>
  </sheetViews>
  <sheetFormatPr baseColWidth="10" defaultColWidth="11.44140625" defaultRowHeight="13.8" x14ac:dyDescent="0.3"/>
  <cols>
    <col min="1" max="1" width="15.33203125" style="5" customWidth="1"/>
    <col min="2" max="2" width="12.6640625" style="5" customWidth="1"/>
    <col min="3" max="3" width="9.6640625" style="5" customWidth="1"/>
    <col min="4" max="9" width="12.6640625" style="5" customWidth="1"/>
    <col min="10" max="10" width="4.6640625" style="5" customWidth="1"/>
    <col min="11" max="11" width="12.5546875" style="21" customWidth="1"/>
    <col min="12" max="15" width="12.5546875" style="5" customWidth="1"/>
    <col min="16" max="16" width="0" style="5" hidden="1" customWidth="1"/>
    <col min="17" max="16384" width="11.44140625" style="5"/>
  </cols>
  <sheetData>
    <row r="1" spans="1:19" s="1" customFormat="1" ht="15.6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9" s="1" customFormat="1" ht="15.6" x14ac:dyDescent="0.3">
      <c r="A2" s="44" t="s">
        <v>23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9" s="1" customFormat="1" ht="15.6" x14ac:dyDescent="0.3">
      <c r="A3" s="45" t="s">
        <v>36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9" ht="82.5" customHeight="1" x14ac:dyDescent="0.3">
      <c r="A4" s="46" t="s">
        <v>2</v>
      </c>
      <c r="B4" s="42" t="s">
        <v>31</v>
      </c>
      <c r="C4" s="42"/>
      <c r="D4" s="2" t="s">
        <v>4</v>
      </c>
      <c r="E4" s="2" t="s">
        <v>5</v>
      </c>
      <c r="F4" s="2" t="s">
        <v>6</v>
      </c>
      <c r="G4" s="2" t="s">
        <v>7</v>
      </c>
      <c r="H4" s="42" t="s">
        <v>8</v>
      </c>
      <c r="I4" s="42" t="s">
        <v>9</v>
      </c>
      <c r="J4" s="3"/>
      <c r="K4" s="48" t="s">
        <v>2</v>
      </c>
      <c r="L4" s="42" t="s">
        <v>10</v>
      </c>
      <c r="M4" s="42" t="s">
        <v>11</v>
      </c>
      <c r="N4" s="42" t="s">
        <v>12</v>
      </c>
      <c r="O4" s="42" t="s">
        <v>13</v>
      </c>
    </row>
    <row r="5" spans="1:19" ht="21" customHeight="1" x14ac:dyDescent="0.3">
      <c r="A5" s="47"/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2"/>
      <c r="I5" s="42"/>
      <c r="J5" s="3"/>
      <c r="K5" s="48"/>
      <c r="L5" s="42"/>
      <c r="M5" s="42"/>
      <c r="N5" s="42"/>
      <c r="O5" s="42"/>
    </row>
    <row r="6" spans="1:19" ht="18" customHeight="1" thickBot="1" x14ac:dyDescent="0.35">
      <c r="A6" s="6">
        <v>1</v>
      </c>
      <c r="B6" s="7">
        <v>7799</v>
      </c>
      <c r="C6" s="7">
        <v>0</v>
      </c>
      <c r="D6" s="7">
        <v>1423</v>
      </c>
      <c r="E6" s="7">
        <v>172</v>
      </c>
      <c r="F6" s="7">
        <v>225</v>
      </c>
      <c r="G6" s="7">
        <v>279</v>
      </c>
      <c r="H6" s="7">
        <f>SUM(B6:G6)</f>
        <v>9898</v>
      </c>
      <c r="I6" s="7">
        <v>0</v>
      </c>
      <c r="J6" s="8"/>
      <c r="K6" s="6">
        <v>1</v>
      </c>
      <c r="L6" s="7">
        <v>1</v>
      </c>
      <c r="M6" s="7">
        <v>10</v>
      </c>
      <c r="N6" s="7">
        <v>13</v>
      </c>
      <c r="O6" s="7">
        <f>SUM(L6:N6)</f>
        <v>24</v>
      </c>
      <c r="P6" s="9">
        <v>6135</v>
      </c>
    </row>
    <row r="7" spans="1:19" ht="18" customHeight="1" thickTop="1" thickBot="1" x14ac:dyDescent="0.35">
      <c r="A7" s="6">
        <v>2</v>
      </c>
      <c r="B7" s="7">
        <v>4158</v>
      </c>
      <c r="C7" s="7">
        <v>0</v>
      </c>
      <c r="D7" s="7">
        <v>1492</v>
      </c>
      <c r="E7" s="7">
        <v>338</v>
      </c>
      <c r="F7" s="7">
        <v>293</v>
      </c>
      <c r="G7" s="7">
        <v>361</v>
      </c>
      <c r="H7" s="7">
        <f t="shared" ref="H7:H36" si="0">SUM(B7:G7)</f>
        <v>6642</v>
      </c>
      <c r="I7" s="7">
        <v>0</v>
      </c>
      <c r="J7" s="8"/>
      <c r="K7" s="6">
        <v>2</v>
      </c>
      <c r="L7" s="7">
        <v>4</v>
      </c>
      <c r="M7" s="7">
        <v>5</v>
      </c>
      <c r="N7" s="7">
        <v>0</v>
      </c>
      <c r="O7" s="7">
        <f t="shared" ref="O7:O36" si="1">SUM(L7:N7)</f>
        <v>9</v>
      </c>
      <c r="P7" s="9">
        <f>+P6</f>
        <v>6135</v>
      </c>
    </row>
    <row r="8" spans="1:19" ht="18" customHeight="1" thickTop="1" thickBot="1" x14ac:dyDescent="0.35">
      <c r="A8" s="6">
        <v>3</v>
      </c>
      <c r="B8" s="7">
        <v>4306</v>
      </c>
      <c r="C8" s="7">
        <v>0</v>
      </c>
      <c r="D8" s="7">
        <v>1872</v>
      </c>
      <c r="E8" s="7">
        <v>371</v>
      </c>
      <c r="F8" s="7">
        <v>314</v>
      </c>
      <c r="G8" s="7">
        <v>460</v>
      </c>
      <c r="H8" s="7">
        <f t="shared" si="0"/>
        <v>7323</v>
      </c>
      <c r="I8" s="7">
        <v>0</v>
      </c>
      <c r="J8" s="8"/>
      <c r="K8" s="6">
        <v>3</v>
      </c>
      <c r="L8" s="7">
        <v>3</v>
      </c>
      <c r="M8" s="7">
        <v>18</v>
      </c>
      <c r="N8" s="7">
        <v>6</v>
      </c>
      <c r="O8" s="7">
        <f t="shared" si="1"/>
        <v>27</v>
      </c>
      <c r="P8" s="9">
        <f t="shared" ref="P8:P36" si="2">+P7</f>
        <v>6135</v>
      </c>
      <c r="S8" s="10"/>
    </row>
    <row r="9" spans="1:19" ht="18" customHeight="1" thickTop="1" thickBot="1" x14ac:dyDescent="0.35">
      <c r="A9" s="6">
        <v>4</v>
      </c>
      <c r="B9" s="7">
        <v>4378</v>
      </c>
      <c r="C9" s="7">
        <v>0</v>
      </c>
      <c r="D9" s="7">
        <v>1983</v>
      </c>
      <c r="E9" s="7">
        <v>347</v>
      </c>
      <c r="F9" s="7">
        <v>373</v>
      </c>
      <c r="G9" s="7">
        <v>497</v>
      </c>
      <c r="H9" s="7">
        <f t="shared" si="0"/>
        <v>7578</v>
      </c>
      <c r="I9" s="7">
        <v>0</v>
      </c>
      <c r="J9" s="8"/>
      <c r="K9" s="6">
        <v>4</v>
      </c>
      <c r="L9" s="7">
        <v>14</v>
      </c>
      <c r="M9" s="7">
        <v>15</v>
      </c>
      <c r="N9" s="7">
        <v>5</v>
      </c>
      <c r="O9" s="7">
        <f t="shared" si="1"/>
        <v>34</v>
      </c>
      <c r="P9" s="9">
        <v>0</v>
      </c>
    </row>
    <row r="10" spans="1:19" ht="18" customHeight="1" thickTop="1" thickBot="1" x14ac:dyDescent="0.35">
      <c r="A10" s="6">
        <v>5</v>
      </c>
      <c r="B10" s="7">
        <v>6031</v>
      </c>
      <c r="C10" s="7">
        <v>0</v>
      </c>
      <c r="D10" s="7">
        <v>1959</v>
      </c>
      <c r="E10" s="7">
        <v>330</v>
      </c>
      <c r="F10" s="7">
        <v>373</v>
      </c>
      <c r="G10" s="7">
        <v>476</v>
      </c>
      <c r="H10" s="7">
        <f t="shared" si="0"/>
        <v>9169</v>
      </c>
      <c r="I10" s="7">
        <v>0</v>
      </c>
      <c r="J10" s="8"/>
      <c r="K10" s="6">
        <v>5</v>
      </c>
      <c r="L10" s="7">
        <v>11</v>
      </c>
      <c r="M10" s="7">
        <v>15</v>
      </c>
      <c r="N10" s="7">
        <v>5</v>
      </c>
      <c r="O10" s="7">
        <f t="shared" si="1"/>
        <v>31</v>
      </c>
      <c r="P10" s="9">
        <f t="shared" si="2"/>
        <v>0</v>
      </c>
    </row>
    <row r="11" spans="1:19" ht="18" customHeight="1" thickTop="1" thickBot="1" x14ac:dyDescent="0.35">
      <c r="A11" s="6">
        <v>6</v>
      </c>
      <c r="B11" s="7">
        <v>7871</v>
      </c>
      <c r="C11" s="7">
        <v>0</v>
      </c>
      <c r="D11" s="7">
        <v>1923</v>
      </c>
      <c r="E11" s="7">
        <v>294</v>
      </c>
      <c r="F11" s="7">
        <v>356</v>
      </c>
      <c r="G11" s="7">
        <v>406</v>
      </c>
      <c r="H11" s="7">
        <f t="shared" si="0"/>
        <v>10850</v>
      </c>
      <c r="I11" s="7">
        <v>0</v>
      </c>
      <c r="J11" s="8"/>
      <c r="K11" s="6">
        <v>6</v>
      </c>
      <c r="L11" s="7">
        <v>7</v>
      </c>
      <c r="M11" s="7">
        <v>13</v>
      </c>
      <c r="N11" s="7">
        <v>6</v>
      </c>
      <c r="O11" s="7">
        <f t="shared" si="1"/>
        <v>26</v>
      </c>
      <c r="P11" s="9">
        <f t="shared" si="2"/>
        <v>0</v>
      </c>
    </row>
    <row r="12" spans="1:19" ht="18" customHeight="1" thickTop="1" thickBot="1" x14ac:dyDescent="0.35">
      <c r="A12" s="6">
        <v>7</v>
      </c>
      <c r="B12" s="7">
        <v>6936</v>
      </c>
      <c r="C12" s="7">
        <v>0</v>
      </c>
      <c r="D12" s="7">
        <v>1579</v>
      </c>
      <c r="E12" s="7">
        <v>294</v>
      </c>
      <c r="F12" s="7">
        <v>323</v>
      </c>
      <c r="G12" s="7">
        <v>334</v>
      </c>
      <c r="H12" s="7">
        <f t="shared" si="0"/>
        <v>9466</v>
      </c>
      <c r="I12" s="7">
        <v>0</v>
      </c>
      <c r="J12" s="11"/>
      <c r="K12" s="6">
        <v>7</v>
      </c>
      <c r="L12" s="7">
        <v>8</v>
      </c>
      <c r="M12" s="7">
        <v>21</v>
      </c>
      <c r="N12" s="7">
        <v>2</v>
      </c>
      <c r="O12" s="7">
        <f t="shared" si="1"/>
        <v>31</v>
      </c>
      <c r="P12" s="9">
        <f t="shared" si="2"/>
        <v>0</v>
      </c>
    </row>
    <row r="13" spans="1:19" ht="18" customHeight="1" thickTop="1" thickBot="1" x14ac:dyDescent="0.35">
      <c r="A13" s="6">
        <v>8</v>
      </c>
      <c r="B13" s="7">
        <v>8468</v>
      </c>
      <c r="C13" s="7">
        <v>0</v>
      </c>
      <c r="D13" s="7">
        <v>1194</v>
      </c>
      <c r="E13" s="7">
        <v>159</v>
      </c>
      <c r="F13" s="7">
        <v>214</v>
      </c>
      <c r="G13" s="7">
        <v>272</v>
      </c>
      <c r="H13" s="7">
        <f t="shared" si="0"/>
        <v>10307</v>
      </c>
      <c r="I13" s="7">
        <v>0</v>
      </c>
      <c r="J13" s="11"/>
      <c r="K13" s="6">
        <v>8</v>
      </c>
      <c r="L13" s="7">
        <v>4</v>
      </c>
      <c r="M13" s="7">
        <v>11</v>
      </c>
      <c r="N13" s="7">
        <v>3</v>
      </c>
      <c r="O13" s="7">
        <f t="shared" si="1"/>
        <v>18</v>
      </c>
      <c r="P13" s="9">
        <f t="shared" si="2"/>
        <v>0</v>
      </c>
    </row>
    <row r="14" spans="1:19" s="13" customFormat="1" ht="18" customHeight="1" thickTop="1" thickBot="1" x14ac:dyDescent="0.35">
      <c r="A14" s="6">
        <v>9</v>
      </c>
      <c r="B14" s="7">
        <v>6472</v>
      </c>
      <c r="C14" s="7">
        <v>0</v>
      </c>
      <c r="D14" s="7">
        <v>1697</v>
      </c>
      <c r="E14" s="7">
        <v>338</v>
      </c>
      <c r="F14" s="7">
        <v>286</v>
      </c>
      <c r="G14" s="7">
        <v>499</v>
      </c>
      <c r="H14" s="7">
        <f t="shared" si="0"/>
        <v>9292</v>
      </c>
      <c r="I14" s="7">
        <v>0</v>
      </c>
      <c r="J14" s="11"/>
      <c r="K14" s="6">
        <v>9</v>
      </c>
      <c r="L14" s="7">
        <v>7</v>
      </c>
      <c r="M14" s="7">
        <v>9</v>
      </c>
      <c r="N14" s="7">
        <v>0</v>
      </c>
      <c r="O14" s="7">
        <f t="shared" si="1"/>
        <v>16</v>
      </c>
      <c r="P14" s="12">
        <f t="shared" si="2"/>
        <v>0</v>
      </c>
    </row>
    <row r="15" spans="1:19" ht="18" customHeight="1" thickTop="1" thickBot="1" x14ac:dyDescent="0.35">
      <c r="A15" s="6">
        <v>10</v>
      </c>
      <c r="B15" s="7">
        <v>5579</v>
      </c>
      <c r="C15" s="7">
        <v>0</v>
      </c>
      <c r="D15" s="7">
        <v>1886</v>
      </c>
      <c r="E15" s="7">
        <v>335</v>
      </c>
      <c r="F15" s="7">
        <v>321</v>
      </c>
      <c r="G15" s="7">
        <v>437</v>
      </c>
      <c r="H15" s="7">
        <f t="shared" si="0"/>
        <v>8558</v>
      </c>
      <c r="I15" s="7">
        <v>0</v>
      </c>
      <c r="J15" s="11"/>
      <c r="K15" s="6">
        <v>10</v>
      </c>
      <c r="L15" s="7">
        <v>6</v>
      </c>
      <c r="M15" s="7">
        <v>8</v>
      </c>
      <c r="N15" s="7">
        <v>4</v>
      </c>
      <c r="O15" s="7">
        <f t="shared" si="1"/>
        <v>18</v>
      </c>
      <c r="P15" s="9">
        <f t="shared" si="2"/>
        <v>0</v>
      </c>
    </row>
    <row r="16" spans="1:19" ht="18" customHeight="1" thickTop="1" thickBot="1" x14ac:dyDescent="0.35">
      <c r="A16" s="6">
        <v>11</v>
      </c>
      <c r="B16" s="7">
        <v>4806</v>
      </c>
      <c r="C16" s="7">
        <v>0</v>
      </c>
      <c r="D16" s="7">
        <v>2046</v>
      </c>
      <c r="E16" s="7">
        <v>359</v>
      </c>
      <c r="F16" s="7">
        <v>368</v>
      </c>
      <c r="G16" s="7">
        <v>491</v>
      </c>
      <c r="H16" s="7">
        <f t="shared" si="0"/>
        <v>8070</v>
      </c>
      <c r="I16" s="7">
        <v>0</v>
      </c>
      <c r="J16" s="11"/>
      <c r="K16" s="6">
        <v>11</v>
      </c>
      <c r="L16" s="7">
        <v>2</v>
      </c>
      <c r="M16" s="7">
        <v>17</v>
      </c>
      <c r="N16" s="7">
        <v>10</v>
      </c>
      <c r="O16" s="7">
        <f t="shared" si="1"/>
        <v>29</v>
      </c>
      <c r="P16" s="9">
        <f t="shared" si="2"/>
        <v>0</v>
      </c>
    </row>
    <row r="17" spans="1:26" ht="18" customHeight="1" thickTop="1" thickBot="1" x14ac:dyDescent="0.35">
      <c r="A17" s="6">
        <v>12</v>
      </c>
      <c r="B17" s="7">
        <v>4941</v>
      </c>
      <c r="C17" s="7">
        <v>0</v>
      </c>
      <c r="D17" s="7">
        <v>2023</v>
      </c>
      <c r="E17" s="7">
        <v>327</v>
      </c>
      <c r="F17" s="7">
        <v>414</v>
      </c>
      <c r="G17" s="7">
        <v>569</v>
      </c>
      <c r="H17" s="7">
        <f t="shared" si="0"/>
        <v>8274</v>
      </c>
      <c r="I17" s="7">
        <v>0</v>
      </c>
      <c r="J17" s="11"/>
      <c r="K17" s="6">
        <v>12</v>
      </c>
      <c r="L17" s="7">
        <v>8</v>
      </c>
      <c r="M17" s="7">
        <v>28</v>
      </c>
      <c r="N17" s="7">
        <v>9</v>
      </c>
      <c r="O17" s="7">
        <f t="shared" si="1"/>
        <v>45</v>
      </c>
      <c r="P17" s="9">
        <f t="shared" si="2"/>
        <v>0</v>
      </c>
    </row>
    <row r="18" spans="1:26" ht="18" customHeight="1" thickTop="1" thickBot="1" x14ac:dyDescent="0.35">
      <c r="A18" s="6">
        <v>13</v>
      </c>
      <c r="B18" s="7">
        <v>6032</v>
      </c>
      <c r="C18" s="7">
        <v>0</v>
      </c>
      <c r="D18" s="7">
        <v>1882</v>
      </c>
      <c r="E18" s="7">
        <v>339</v>
      </c>
      <c r="F18" s="7">
        <v>349</v>
      </c>
      <c r="G18" s="7">
        <v>481</v>
      </c>
      <c r="H18" s="7">
        <f t="shared" si="0"/>
        <v>9083</v>
      </c>
      <c r="I18" s="7">
        <v>0</v>
      </c>
      <c r="J18" s="11"/>
      <c r="K18" s="6">
        <v>13</v>
      </c>
      <c r="L18" s="7">
        <v>7</v>
      </c>
      <c r="M18" s="7">
        <v>22</v>
      </c>
      <c r="N18" s="7">
        <v>11</v>
      </c>
      <c r="O18" s="7">
        <f t="shared" si="1"/>
        <v>40</v>
      </c>
      <c r="P18" s="9">
        <f t="shared" si="2"/>
        <v>0</v>
      </c>
    </row>
    <row r="19" spans="1:26" ht="18" customHeight="1" thickTop="1" thickBot="1" x14ac:dyDescent="0.35">
      <c r="A19" s="6">
        <v>14</v>
      </c>
      <c r="B19" s="7">
        <v>7249</v>
      </c>
      <c r="C19" s="7">
        <v>0</v>
      </c>
      <c r="D19" s="7">
        <v>1694</v>
      </c>
      <c r="E19" s="7">
        <v>285</v>
      </c>
      <c r="F19" s="7">
        <v>362</v>
      </c>
      <c r="G19" s="7">
        <v>409</v>
      </c>
      <c r="H19" s="7">
        <f t="shared" si="0"/>
        <v>9999</v>
      </c>
      <c r="I19" s="7">
        <v>0</v>
      </c>
      <c r="J19" s="11"/>
      <c r="K19" s="6">
        <v>14</v>
      </c>
      <c r="L19" s="7">
        <v>2</v>
      </c>
      <c r="M19" s="7">
        <v>15</v>
      </c>
      <c r="N19" s="7">
        <v>9</v>
      </c>
      <c r="O19" s="7">
        <f t="shared" si="1"/>
        <v>26</v>
      </c>
      <c r="P19" s="9">
        <f t="shared" si="2"/>
        <v>0</v>
      </c>
    </row>
    <row r="20" spans="1:26" ht="18" customHeight="1" thickTop="1" thickBot="1" x14ac:dyDescent="0.35">
      <c r="A20" s="6">
        <v>15</v>
      </c>
      <c r="B20" s="7">
        <v>7921</v>
      </c>
      <c r="C20" s="7">
        <v>0</v>
      </c>
      <c r="D20" s="7">
        <v>1388</v>
      </c>
      <c r="E20" s="7">
        <v>202</v>
      </c>
      <c r="F20" s="7">
        <v>237</v>
      </c>
      <c r="G20" s="7">
        <v>370</v>
      </c>
      <c r="H20" s="7">
        <f t="shared" si="0"/>
        <v>10118</v>
      </c>
      <c r="I20" s="7">
        <v>0</v>
      </c>
      <c r="J20" s="11"/>
      <c r="K20" s="6">
        <v>15</v>
      </c>
      <c r="L20" s="7">
        <v>6</v>
      </c>
      <c r="M20" s="7">
        <v>6</v>
      </c>
      <c r="N20" s="7">
        <v>8</v>
      </c>
      <c r="O20" s="7">
        <f t="shared" si="1"/>
        <v>20</v>
      </c>
      <c r="P20" s="9">
        <f t="shared" si="2"/>
        <v>0</v>
      </c>
    </row>
    <row r="21" spans="1:26" ht="18" customHeight="1" thickTop="1" thickBot="1" x14ac:dyDescent="0.35">
      <c r="A21" s="6">
        <v>16</v>
      </c>
      <c r="B21" s="7">
        <v>4797</v>
      </c>
      <c r="C21" s="7">
        <v>0</v>
      </c>
      <c r="D21" s="7">
        <v>1495</v>
      </c>
      <c r="E21" s="7">
        <v>386</v>
      </c>
      <c r="F21" s="7">
        <v>284</v>
      </c>
      <c r="G21" s="7">
        <v>434</v>
      </c>
      <c r="H21" s="7">
        <f t="shared" si="0"/>
        <v>7396</v>
      </c>
      <c r="I21" s="7">
        <v>0</v>
      </c>
      <c r="J21" s="11"/>
      <c r="K21" s="6">
        <v>16</v>
      </c>
      <c r="L21" s="7">
        <v>4</v>
      </c>
      <c r="M21" s="7">
        <v>23</v>
      </c>
      <c r="N21" s="7">
        <v>6</v>
      </c>
      <c r="O21" s="7">
        <f t="shared" si="1"/>
        <v>33</v>
      </c>
      <c r="P21" s="9">
        <f>+P20</f>
        <v>0</v>
      </c>
    </row>
    <row r="22" spans="1:26" ht="18" customHeight="1" thickTop="1" thickBot="1" x14ac:dyDescent="0.35">
      <c r="A22" s="6">
        <v>17</v>
      </c>
      <c r="B22" s="7">
        <v>4724</v>
      </c>
      <c r="C22" s="7">
        <v>0</v>
      </c>
      <c r="D22" s="7">
        <v>1857</v>
      </c>
      <c r="E22" s="7">
        <v>376</v>
      </c>
      <c r="F22" s="7">
        <v>325</v>
      </c>
      <c r="G22" s="7">
        <v>474</v>
      </c>
      <c r="H22" s="7">
        <f t="shared" si="0"/>
        <v>7756</v>
      </c>
      <c r="I22" s="7">
        <v>0</v>
      </c>
      <c r="J22" s="11"/>
      <c r="K22" s="6">
        <v>17</v>
      </c>
      <c r="L22" s="7">
        <v>5</v>
      </c>
      <c r="M22" s="7">
        <v>14</v>
      </c>
      <c r="N22" s="7">
        <v>4</v>
      </c>
      <c r="O22" s="7">
        <f t="shared" si="1"/>
        <v>23</v>
      </c>
      <c r="P22" s="9">
        <f t="shared" si="2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8" customHeight="1" thickTop="1" thickBot="1" x14ac:dyDescent="0.35">
      <c r="A23" s="6">
        <v>18</v>
      </c>
      <c r="B23" s="7">
        <v>5038</v>
      </c>
      <c r="C23" s="7">
        <v>0</v>
      </c>
      <c r="D23" s="7">
        <v>2002</v>
      </c>
      <c r="E23" s="7">
        <v>378</v>
      </c>
      <c r="F23" s="7">
        <v>368</v>
      </c>
      <c r="G23" s="7">
        <v>483</v>
      </c>
      <c r="H23" s="7">
        <f t="shared" si="0"/>
        <v>8269</v>
      </c>
      <c r="I23" s="7">
        <v>0</v>
      </c>
      <c r="J23" s="11"/>
      <c r="K23" s="6">
        <v>18</v>
      </c>
      <c r="L23" s="7">
        <v>4</v>
      </c>
      <c r="M23" s="7">
        <v>8</v>
      </c>
      <c r="N23" s="7">
        <v>7</v>
      </c>
      <c r="O23" s="7">
        <f t="shared" si="1"/>
        <v>19</v>
      </c>
      <c r="P23" s="9">
        <f t="shared" si="2"/>
        <v>0</v>
      </c>
    </row>
    <row r="24" spans="1:26" ht="18" customHeight="1" thickTop="1" thickBot="1" x14ac:dyDescent="0.35">
      <c r="A24" s="6">
        <v>19</v>
      </c>
      <c r="B24" s="7">
        <v>6077</v>
      </c>
      <c r="C24" s="7">
        <v>0</v>
      </c>
      <c r="D24" s="7">
        <v>1979</v>
      </c>
      <c r="E24" s="7">
        <v>368</v>
      </c>
      <c r="F24" s="7">
        <v>379</v>
      </c>
      <c r="G24" s="7">
        <v>529</v>
      </c>
      <c r="H24" s="7">
        <f t="shared" si="0"/>
        <v>9332</v>
      </c>
      <c r="I24" s="7">
        <v>0</v>
      </c>
      <c r="J24" s="11"/>
      <c r="K24" s="6">
        <v>19</v>
      </c>
      <c r="L24" s="7">
        <v>7</v>
      </c>
      <c r="M24" s="7">
        <v>21</v>
      </c>
      <c r="N24" s="7">
        <v>11</v>
      </c>
      <c r="O24" s="7">
        <f t="shared" si="1"/>
        <v>39</v>
      </c>
      <c r="P24" s="9">
        <f t="shared" si="2"/>
        <v>0</v>
      </c>
    </row>
    <row r="25" spans="1:26" ht="18" customHeight="1" thickTop="1" thickBot="1" x14ac:dyDescent="0.35">
      <c r="A25" s="6">
        <v>20</v>
      </c>
      <c r="B25" s="7">
        <v>7748</v>
      </c>
      <c r="C25" s="7">
        <v>0</v>
      </c>
      <c r="D25" s="7">
        <v>2126</v>
      </c>
      <c r="E25" s="7">
        <v>408</v>
      </c>
      <c r="F25" s="7">
        <v>359</v>
      </c>
      <c r="G25" s="7">
        <v>480</v>
      </c>
      <c r="H25" s="7">
        <f t="shared" si="0"/>
        <v>11121</v>
      </c>
      <c r="I25" s="7">
        <v>0</v>
      </c>
      <c r="J25" s="11"/>
      <c r="K25" s="6">
        <v>20</v>
      </c>
      <c r="L25" s="7">
        <v>3</v>
      </c>
      <c r="M25" s="7">
        <v>17</v>
      </c>
      <c r="N25" s="7">
        <v>9</v>
      </c>
      <c r="O25" s="7">
        <f t="shared" si="1"/>
        <v>29</v>
      </c>
      <c r="P25" s="9">
        <f t="shared" si="2"/>
        <v>0</v>
      </c>
    </row>
    <row r="26" spans="1:26" ht="18" customHeight="1" thickTop="1" thickBot="1" x14ac:dyDescent="0.35">
      <c r="A26" s="6">
        <v>21</v>
      </c>
      <c r="B26" s="7">
        <v>11037</v>
      </c>
      <c r="C26" s="7">
        <v>0</v>
      </c>
      <c r="D26" s="7">
        <v>1901</v>
      </c>
      <c r="E26" s="7">
        <v>303</v>
      </c>
      <c r="F26" s="7">
        <v>377</v>
      </c>
      <c r="G26" s="7">
        <v>419</v>
      </c>
      <c r="H26" s="7">
        <f t="shared" si="0"/>
        <v>14037</v>
      </c>
      <c r="I26" s="7">
        <v>0</v>
      </c>
      <c r="J26" s="11"/>
      <c r="K26" s="6">
        <v>21</v>
      </c>
      <c r="L26" s="7">
        <v>3</v>
      </c>
      <c r="M26" s="7">
        <v>17</v>
      </c>
      <c r="N26" s="7">
        <v>6</v>
      </c>
      <c r="O26" s="7">
        <f t="shared" si="1"/>
        <v>26</v>
      </c>
      <c r="P26" s="9">
        <f t="shared" si="2"/>
        <v>0</v>
      </c>
    </row>
    <row r="27" spans="1:26" ht="18" customHeight="1" thickTop="1" thickBot="1" x14ac:dyDescent="0.35">
      <c r="A27" s="38">
        <v>22</v>
      </c>
      <c r="B27" s="39">
        <v>10617</v>
      </c>
      <c r="C27" s="39">
        <v>0</v>
      </c>
      <c r="D27" s="39">
        <v>1946</v>
      </c>
      <c r="E27" s="39">
        <v>206</v>
      </c>
      <c r="F27" s="39">
        <v>237</v>
      </c>
      <c r="G27" s="39">
        <v>346</v>
      </c>
      <c r="H27" s="39">
        <f t="shared" si="0"/>
        <v>13352</v>
      </c>
      <c r="I27" s="39">
        <v>0</v>
      </c>
      <c r="J27" s="40"/>
      <c r="K27" s="38">
        <v>22</v>
      </c>
      <c r="L27" s="39">
        <v>3</v>
      </c>
      <c r="M27" s="39">
        <v>13</v>
      </c>
      <c r="N27" s="39">
        <v>8</v>
      </c>
      <c r="O27" s="39">
        <f t="shared" si="1"/>
        <v>24</v>
      </c>
      <c r="P27" s="9">
        <f t="shared" si="2"/>
        <v>0</v>
      </c>
    </row>
    <row r="28" spans="1:26" ht="18" customHeight="1" thickTop="1" thickBot="1" x14ac:dyDescent="0.35">
      <c r="A28" s="6">
        <v>23</v>
      </c>
      <c r="B28" s="7">
        <v>7854</v>
      </c>
      <c r="C28" s="7">
        <v>0</v>
      </c>
      <c r="D28" s="7">
        <v>1671</v>
      </c>
      <c r="E28" s="7">
        <v>267</v>
      </c>
      <c r="F28" s="7">
        <v>259</v>
      </c>
      <c r="G28" s="7">
        <v>293</v>
      </c>
      <c r="H28" s="39">
        <f t="shared" si="0"/>
        <v>10344</v>
      </c>
      <c r="I28" s="7">
        <v>0</v>
      </c>
      <c r="J28" s="11"/>
      <c r="K28" s="6">
        <v>23</v>
      </c>
      <c r="L28" s="7">
        <v>5</v>
      </c>
      <c r="M28" s="7">
        <v>11</v>
      </c>
      <c r="N28" s="7">
        <v>5</v>
      </c>
      <c r="O28" s="7">
        <f t="shared" si="1"/>
        <v>21</v>
      </c>
      <c r="P28" s="9">
        <f t="shared" si="2"/>
        <v>0</v>
      </c>
    </row>
    <row r="29" spans="1:26" ht="18" customHeight="1" thickTop="1" thickBot="1" x14ac:dyDescent="0.35">
      <c r="A29" s="6">
        <v>24</v>
      </c>
      <c r="B29" s="7">
        <v>6029</v>
      </c>
      <c r="C29" s="7">
        <v>0</v>
      </c>
      <c r="D29" s="7">
        <v>1217</v>
      </c>
      <c r="E29" s="7">
        <v>99</v>
      </c>
      <c r="F29" s="7">
        <v>156</v>
      </c>
      <c r="G29" s="7">
        <v>142</v>
      </c>
      <c r="H29" s="7">
        <f t="shared" si="0"/>
        <v>7643</v>
      </c>
      <c r="I29" s="7">
        <v>0</v>
      </c>
      <c r="J29" s="11"/>
      <c r="K29" s="6">
        <v>24</v>
      </c>
      <c r="L29" s="7">
        <v>0</v>
      </c>
      <c r="M29" s="7">
        <v>6</v>
      </c>
      <c r="N29" s="7">
        <v>1</v>
      </c>
      <c r="O29" s="7">
        <f t="shared" si="1"/>
        <v>7</v>
      </c>
      <c r="P29" s="9">
        <f t="shared" si="2"/>
        <v>0</v>
      </c>
    </row>
    <row r="30" spans="1:26" ht="18" customHeight="1" thickTop="1" thickBot="1" x14ac:dyDescent="0.35">
      <c r="A30" s="6">
        <v>25</v>
      </c>
      <c r="B30" s="7">
        <v>7644</v>
      </c>
      <c r="C30" s="7">
        <v>0</v>
      </c>
      <c r="D30" s="7">
        <v>532</v>
      </c>
      <c r="E30" s="7">
        <v>88</v>
      </c>
      <c r="F30" s="7">
        <v>106</v>
      </c>
      <c r="G30" s="7">
        <v>106</v>
      </c>
      <c r="H30" s="7">
        <f t="shared" si="0"/>
        <v>8476</v>
      </c>
      <c r="I30" s="7">
        <v>0</v>
      </c>
      <c r="J30" s="11"/>
      <c r="K30" s="6">
        <v>25</v>
      </c>
      <c r="L30" s="7">
        <v>0</v>
      </c>
      <c r="M30" s="7">
        <v>0</v>
      </c>
      <c r="N30" s="7">
        <v>2</v>
      </c>
      <c r="O30" s="7">
        <f t="shared" si="1"/>
        <v>2</v>
      </c>
      <c r="P30" s="9">
        <f t="shared" si="2"/>
        <v>0</v>
      </c>
    </row>
    <row r="31" spans="1:26" ht="18" customHeight="1" thickTop="1" thickBot="1" x14ac:dyDescent="0.35">
      <c r="A31" s="6">
        <v>26</v>
      </c>
      <c r="B31" s="29">
        <v>9868</v>
      </c>
      <c r="C31" s="29">
        <v>0</v>
      </c>
      <c r="D31" s="29">
        <v>1639</v>
      </c>
      <c r="E31" s="29">
        <v>321</v>
      </c>
      <c r="F31" s="41">
        <v>295</v>
      </c>
      <c r="G31" s="29">
        <v>538</v>
      </c>
      <c r="H31" s="30">
        <f t="shared" si="0"/>
        <v>12661</v>
      </c>
      <c r="I31" s="30">
        <v>0</v>
      </c>
      <c r="J31" s="11"/>
      <c r="K31" s="31">
        <v>26</v>
      </c>
      <c r="L31" s="29">
        <v>1</v>
      </c>
      <c r="M31" s="29">
        <v>33</v>
      </c>
      <c r="N31" s="29">
        <v>4</v>
      </c>
      <c r="O31" s="7">
        <f t="shared" si="1"/>
        <v>38</v>
      </c>
      <c r="P31" s="9">
        <f t="shared" si="2"/>
        <v>0</v>
      </c>
    </row>
    <row r="32" spans="1:26" ht="18" customHeight="1" thickTop="1" thickBot="1" x14ac:dyDescent="0.35">
      <c r="A32" s="6">
        <v>27</v>
      </c>
      <c r="B32" s="32">
        <v>11175</v>
      </c>
      <c r="C32" s="32">
        <v>0</v>
      </c>
      <c r="D32" s="32">
        <v>1751</v>
      </c>
      <c r="E32" s="32">
        <v>272</v>
      </c>
      <c r="F32" s="32">
        <v>297</v>
      </c>
      <c r="G32" s="32">
        <v>430</v>
      </c>
      <c r="H32" s="7">
        <f t="shared" si="0"/>
        <v>13925</v>
      </c>
      <c r="I32" s="7">
        <v>0</v>
      </c>
      <c r="J32" s="7"/>
      <c r="K32" s="6">
        <v>27</v>
      </c>
      <c r="L32" s="32">
        <v>6</v>
      </c>
      <c r="M32" s="32">
        <v>14</v>
      </c>
      <c r="N32" s="32">
        <v>3</v>
      </c>
      <c r="O32" s="7">
        <f t="shared" si="1"/>
        <v>23</v>
      </c>
      <c r="P32" s="9">
        <f t="shared" si="2"/>
        <v>0</v>
      </c>
    </row>
    <row r="33" spans="1:17" ht="18" customHeight="1" thickTop="1" thickBot="1" x14ac:dyDescent="0.35">
      <c r="A33" s="6">
        <v>28</v>
      </c>
      <c r="B33" s="32">
        <v>15830</v>
      </c>
      <c r="C33" s="32">
        <v>0</v>
      </c>
      <c r="D33" s="32">
        <v>2004</v>
      </c>
      <c r="E33" s="32">
        <v>229</v>
      </c>
      <c r="F33" s="32">
        <v>317</v>
      </c>
      <c r="G33" s="32">
        <v>344</v>
      </c>
      <c r="H33" s="7">
        <f t="shared" si="0"/>
        <v>18724</v>
      </c>
      <c r="I33" s="7">
        <v>0</v>
      </c>
      <c r="J33" s="7"/>
      <c r="K33" s="6">
        <v>28</v>
      </c>
      <c r="L33" s="32">
        <v>4</v>
      </c>
      <c r="M33" s="32">
        <v>14</v>
      </c>
      <c r="N33" s="32">
        <v>5</v>
      </c>
      <c r="O33" s="7">
        <f t="shared" si="1"/>
        <v>23</v>
      </c>
      <c r="P33" s="9">
        <f t="shared" si="2"/>
        <v>0</v>
      </c>
    </row>
    <row r="34" spans="1:17" ht="18" customHeight="1" thickTop="1" thickBot="1" x14ac:dyDescent="0.35">
      <c r="A34" s="6">
        <v>29</v>
      </c>
      <c r="B34" s="32">
        <v>15399</v>
      </c>
      <c r="C34" s="32">
        <v>0</v>
      </c>
      <c r="D34" s="32">
        <v>1458</v>
      </c>
      <c r="E34" s="32">
        <v>182</v>
      </c>
      <c r="F34" s="32">
        <v>193</v>
      </c>
      <c r="G34" s="32">
        <v>268</v>
      </c>
      <c r="H34" s="7">
        <f t="shared" si="0"/>
        <v>17500</v>
      </c>
      <c r="I34" s="7">
        <v>0</v>
      </c>
      <c r="J34" s="7"/>
      <c r="K34" s="6">
        <v>29</v>
      </c>
      <c r="L34" s="32">
        <v>2</v>
      </c>
      <c r="M34" s="32">
        <v>17</v>
      </c>
      <c r="N34" s="32">
        <v>2</v>
      </c>
      <c r="O34" s="7">
        <f t="shared" si="1"/>
        <v>21</v>
      </c>
      <c r="P34" s="9">
        <f t="shared" si="2"/>
        <v>0</v>
      </c>
    </row>
    <row r="35" spans="1:17" ht="18" customHeight="1" thickTop="1" thickBot="1" x14ac:dyDescent="0.35">
      <c r="A35" s="6">
        <v>30</v>
      </c>
      <c r="B35" s="32">
        <v>12209</v>
      </c>
      <c r="C35" s="32">
        <v>0</v>
      </c>
      <c r="D35" s="32">
        <v>1436</v>
      </c>
      <c r="E35" s="32">
        <v>204</v>
      </c>
      <c r="F35" s="32">
        <v>187</v>
      </c>
      <c r="G35" s="32">
        <v>236</v>
      </c>
      <c r="H35" s="33">
        <f t="shared" si="0"/>
        <v>14272</v>
      </c>
      <c r="I35" s="33">
        <v>0</v>
      </c>
      <c r="J35" s="33"/>
      <c r="K35" s="34">
        <v>30</v>
      </c>
      <c r="L35" s="32">
        <v>1</v>
      </c>
      <c r="M35" s="32">
        <v>7</v>
      </c>
      <c r="N35" s="32">
        <v>5</v>
      </c>
      <c r="O35" s="33">
        <f t="shared" si="1"/>
        <v>13</v>
      </c>
      <c r="P35" s="9">
        <f t="shared" si="2"/>
        <v>0</v>
      </c>
    </row>
    <row r="36" spans="1:17" ht="18.75" customHeight="1" thickTop="1" thickBot="1" x14ac:dyDescent="0.35">
      <c r="A36" s="6">
        <v>31</v>
      </c>
      <c r="B36" s="32">
        <v>9537</v>
      </c>
      <c r="C36" s="32">
        <v>0</v>
      </c>
      <c r="D36" s="32">
        <v>886</v>
      </c>
      <c r="E36" s="32">
        <v>82</v>
      </c>
      <c r="F36" s="32">
        <v>116</v>
      </c>
      <c r="G36" s="32">
        <v>94</v>
      </c>
      <c r="H36" s="33">
        <f t="shared" si="0"/>
        <v>10715</v>
      </c>
      <c r="I36" s="7">
        <v>0</v>
      </c>
      <c r="J36" s="7"/>
      <c r="K36" s="6">
        <v>31</v>
      </c>
      <c r="L36" s="32">
        <v>3</v>
      </c>
      <c r="M36" s="32">
        <v>9</v>
      </c>
      <c r="N36" s="32">
        <v>1</v>
      </c>
      <c r="O36" s="7">
        <f t="shared" si="1"/>
        <v>13</v>
      </c>
      <c r="P36" s="9">
        <f t="shared" si="2"/>
        <v>0</v>
      </c>
      <c r="Q36" s="5">
        <v>3</v>
      </c>
    </row>
    <row r="37" spans="1:17" ht="18" customHeight="1" thickTop="1" x14ac:dyDescent="0.3">
      <c r="A37" s="4" t="s">
        <v>20</v>
      </c>
      <c r="B37" s="16">
        <f>SUM(B6:B36)</f>
        <v>238530</v>
      </c>
      <c r="C37" s="16">
        <f t="shared" ref="C37:H37" si="3">SUM(C6:C36)</f>
        <v>0</v>
      </c>
      <c r="D37" s="16">
        <f t="shared" si="3"/>
        <v>51941</v>
      </c>
      <c r="E37" s="16">
        <f t="shared" si="3"/>
        <v>8659</v>
      </c>
      <c r="F37" s="16">
        <f t="shared" si="3"/>
        <v>9063</v>
      </c>
      <c r="G37" s="16">
        <f t="shared" si="3"/>
        <v>11957</v>
      </c>
      <c r="H37" s="16">
        <f t="shared" si="3"/>
        <v>320150</v>
      </c>
      <c r="I37" s="16">
        <f>SUM(I6:I33)</f>
        <v>0</v>
      </c>
      <c r="J37" s="16"/>
      <c r="K37" s="16" t="s">
        <v>32</v>
      </c>
      <c r="L37" s="16">
        <f>SUM(L6:L36)</f>
        <v>141</v>
      </c>
      <c r="M37" s="16">
        <f>SUM(M6:M36)</f>
        <v>437</v>
      </c>
      <c r="N37" s="16">
        <f>SUM(N6:N36)</f>
        <v>170</v>
      </c>
      <c r="O37" s="16">
        <f t="shared" ref="O37:P37" si="4">SUM(O6:O36)</f>
        <v>748</v>
      </c>
      <c r="P37" s="16">
        <f t="shared" si="4"/>
        <v>18405</v>
      </c>
    </row>
    <row r="38" spans="1:17" ht="18" customHeight="1" x14ac:dyDescent="0.3">
      <c r="A38" s="4" t="s">
        <v>20</v>
      </c>
      <c r="B38" s="43">
        <f>+B37+C37</f>
        <v>238530</v>
      </c>
      <c r="C38" s="43"/>
      <c r="D38" s="16">
        <f>+D37</f>
        <v>51941</v>
      </c>
      <c r="E38" s="16">
        <f>+E37</f>
        <v>8659</v>
      </c>
      <c r="F38" s="16">
        <f>+F37</f>
        <v>9063</v>
      </c>
      <c r="G38" s="16">
        <f>+G37</f>
        <v>11957</v>
      </c>
      <c r="H38" s="16">
        <f>SUM(B38:G38)</f>
        <v>320150</v>
      </c>
      <c r="I38" s="16">
        <v>0</v>
      </c>
      <c r="J38" s="17"/>
      <c r="K38" s="18"/>
      <c r="L38" s="18" t="s">
        <v>21</v>
      </c>
      <c r="M38" s="18" t="s">
        <v>22</v>
      </c>
      <c r="N38" s="18" t="s">
        <v>21</v>
      </c>
      <c r="O38" s="18"/>
    </row>
    <row r="39" spans="1:17" x14ac:dyDescent="0.3">
      <c r="A39" s="23"/>
      <c r="B39" s="24"/>
      <c r="C39" s="24"/>
      <c r="D39" s="24"/>
      <c r="E39" s="24"/>
      <c r="F39" s="24"/>
      <c r="G39" s="24"/>
      <c r="H39" s="24"/>
      <c r="I39" s="24"/>
      <c r="J39" s="22"/>
      <c r="K39" s="25"/>
      <c r="L39" s="26"/>
    </row>
    <row r="41" spans="1:17" x14ac:dyDescent="0.3">
      <c r="A41" s="27"/>
    </row>
    <row r="42" spans="1:17" x14ac:dyDescent="0.3">
      <c r="A42" s="27"/>
      <c r="B42" s="10"/>
      <c r="C42" s="10"/>
      <c r="D42" s="10"/>
      <c r="E42" s="10"/>
      <c r="F42" s="10"/>
      <c r="H42" s="10"/>
      <c r="I42" s="10"/>
      <c r="J42" s="10"/>
      <c r="K42" s="28"/>
      <c r="L42" s="10"/>
      <c r="M42" s="10"/>
      <c r="N42" s="10"/>
      <c r="O42" s="10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2024</vt:lpstr>
      <vt:lpstr>FEBRERO 2024</vt:lpstr>
      <vt:lpstr>MARZO 2024</vt:lpstr>
      <vt:lpstr>ABRIL 2024</vt:lpstr>
      <vt:lpstr>MAYO 2024</vt:lpstr>
      <vt:lpstr>JUNIO 2024</vt:lpstr>
      <vt:lpstr>JULIO 2024</vt:lpstr>
      <vt:lpstr>AGOSTO 2024</vt:lpstr>
      <vt:lpstr>SEPTIEMBRE 2024</vt:lpstr>
      <vt:lpstr>OCTUBRE 2024</vt:lpstr>
      <vt:lpstr>NOVIEMBRE 2024</vt:lpstr>
      <vt:lpstr>DICIEMBRE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Gonzalez</dc:creator>
  <cp:lastModifiedBy>ANDREA CAROLINA BUSTOS FUENTES</cp:lastModifiedBy>
  <dcterms:created xsi:type="dcterms:W3CDTF">2026-01-14T21:26:05Z</dcterms:created>
  <dcterms:modified xsi:type="dcterms:W3CDTF">2026-01-27T23:55:14Z</dcterms:modified>
</cp:coreProperties>
</file>