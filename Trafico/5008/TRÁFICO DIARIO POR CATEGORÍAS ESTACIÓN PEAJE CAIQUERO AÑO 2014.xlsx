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8F72CE87-D9BF-4D15-8F2D-CCA18E54CEEA}" xr6:coauthVersionLast="47" xr6:coauthVersionMax="47" xr10:uidLastSave="{00000000-0000-0000-0000-000000000000}"/>
  <bookViews>
    <workbookView xWindow="-108" yWindow="-108" windowWidth="23256" windowHeight="12456" firstSheet="6" activeTab="11" xr2:uid="{2C02F142-BA86-42BE-8208-5200E55FE39C}"/>
  </bookViews>
  <sheets>
    <sheet name="ENERO 2014" sheetId="1" r:id="rId1"/>
    <sheet name="FEBRERO 2014" sheetId="2" r:id="rId2"/>
    <sheet name="MARZO 2014" sheetId="3" r:id="rId3"/>
    <sheet name="ABRIL 2014" sheetId="4" r:id="rId4"/>
    <sheet name="MAYO 2014" sheetId="5" r:id="rId5"/>
    <sheet name="JUNIO 2014" sheetId="6" r:id="rId6"/>
    <sheet name="JULIO 2014" sheetId="7" r:id="rId7"/>
    <sheet name="AGOSTO 2014" sheetId="8" r:id="rId8"/>
    <sheet name="SEPTIEMBRE 2014" sheetId="9" r:id="rId9"/>
    <sheet name="OCTUBRE 2014" sheetId="10" r:id="rId10"/>
    <sheet name="NOVIEMBRE 2014" sheetId="11" r:id="rId11"/>
    <sheet name="DICIEMBRE 2014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2" l="1"/>
  <c r="M37" i="12"/>
  <c r="L37" i="12"/>
  <c r="I37" i="12"/>
  <c r="G37" i="12"/>
  <c r="G38" i="12" s="1"/>
  <c r="F37" i="12"/>
  <c r="F38" i="12" s="1"/>
  <c r="D37" i="12"/>
  <c r="D38" i="12" s="1"/>
  <c r="C37" i="12"/>
  <c r="O36" i="12"/>
  <c r="B36" i="12"/>
  <c r="H36" i="12" s="1"/>
  <c r="O35" i="12"/>
  <c r="B35" i="12"/>
  <c r="H35" i="12" s="1"/>
  <c r="O34" i="12"/>
  <c r="B34" i="12"/>
  <c r="H34" i="12" s="1"/>
  <c r="O33" i="12"/>
  <c r="H33" i="12"/>
  <c r="O32" i="12"/>
  <c r="H32" i="12"/>
  <c r="O31" i="12"/>
  <c r="H31" i="12"/>
  <c r="O30" i="12"/>
  <c r="H30" i="12"/>
  <c r="O29" i="12"/>
  <c r="H29" i="12"/>
  <c r="O28" i="12"/>
  <c r="H28" i="12"/>
  <c r="O27" i="12"/>
  <c r="H27" i="12"/>
  <c r="O26" i="12"/>
  <c r="H26" i="12"/>
  <c r="O25" i="12"/>
  <c r="H25" i="12"/>
  <c r="O24" i="12"/>
  <c r="H24" i="12"/>
  <c r="O23" i="12"/>
  <c r="H23" i="12"/>
  <c r="O22" i="12"/>
  <c r="H22" i="12"/>
  <c r="O21" i="12"/>
  <c r="H21" i="12"/>
  <c r="O20" i="12"/>
  <c r="H20" i="12"/>
  <c r="O19" i="12"/>
  <c r="H19" i="12"/>
  <c r="O18" i="12"/>
  <c r="H18" i="12"/>
  <c r="O17" i="12"/>
  <c r="H17" i="12"/>
  <c r="O16" i="12"/>
  <c r="H16" i="12"/>
  <c r="O15" i="12"/>
  <c r="H15" i="12"/>
  <c r="O14" i="12"/>
  <c r="B14" i="12"/>
  <c r="H14" i="12" s="1"/>
  <c r="O13" i="12"/>
  <c r="B13" i="12"/>
  <c r="H13" i="12" s="1"/>
  <c r="O12" i="12"/>
  <c r="B12" i="12"/>
  <c r="H12" i="12" s="1"/>
  <c r="O11" i="12"/>
  <c r="B11" i="12"/>
  <c r="H11" i="12" s="1"/>
  <c r="O10" i="12"/>
  <c r="B10" i="12"/>
  <c r="H10" i="12" s="1"/>
  <c r="O9" i="12"/>
  <c r="B9" i="12"/>
  <c r="H9" i="12" s="1"/>
  <c r="O8" i="12"/>
  <c r="B8" i="12"/>
  <c r="H8" i="12" s="1"/>
  <c r="O7" i="12"/>
  <c r="E7" i="12"/>
  <c r="E37" i="12" s="1"/>
  <c r="E38" i="12" s="1"/>
  <c r="B7" i="12"/>
  <c r="O6" i="12"/>
  <c r="H6" i="12"/>
  <c r="B6" i="12"/>
  <c r="B37" i="12" l="1"/>
  <c r="B38" i="12" s="1"/>
  <c r="O37" i="12"/>
  <c r="H7" i="12"/>
  <c r="H37" i="12" s="1"/>
  <c r="H38" i="12" s="1"/>
  <c r="N37" i="11" l="1"/>
  <c r="M37" i="11"/>
  <c r="L37" i="11"/>
  <c r="I37" i="11"/>
  <c r="G37" i="11"/>
  <c r="G38" i="11" s="1"/>
  <c r="F37" i="11"/>
  <c r="F38" i="11" s="1"/>
  <c r="D37" i="11"/>
  <c r="D38" i="11" s="1"/>
  <c r="C37" i="11"/>
  <c r="O36" i="11"/>
  <c r="H36" i="11"/>
  <c r="O35" i="11"/>
  <c r="B35" i="11"/>
  <c r="H35" i="11" s="1"/>
  <c r="O34" i="11"/>
  <c r="B34" i="11"/>
  <c r="H34" i="11" s="1"/>
  <c r="O33" i="11"/>
  <c r="B33" i="11"/>
  <c r="H33" i="11" s="1"/>
  <c r="O32" i="11"/>
  <c r="B32" i="11"/>
  <c r="H32" i="11" s="1"/>
  <c r="O31" i="11"/>
  <c r="B31" i="11"/>
  <c r="H31" i="11" s="1"/>
  <c r="O30" i="11"/>
  <c r="B30" i="11"/>
  <c r="H30" i="11" s="1"/>
  <c r="O29" i="11"/>
  <c r="B29" i="11"/>
  <c r="H29" i="11" s="1"/>
  <c r="O28" i="11"/>
  <c r="B28" i="11"/>
  <c r="H28" i="11" s="1"/>
  <c r="O27" i="11"/>
  <c r="B27" i="11"/>
  <c r="H27" i="11" s="1"/>
  <c r="O26" i="11"/>
  <c r="E26" i="11"/>
  <c r="H26" i="11" s="1"/>
  <c r="B26" i="11"/>
  <c r="O25" i="11"/>
  <c r="B25" i="11"/>
  <c r="H25" i="11" s="1"/>
  <c r="O24" i="11"/>
  <c r="B24" i="11"/>
  <c r="H24" i="11" s="1"/>
  <c r="O23" i="11"/>
  <c r="B23" i="11"/>
  <c r="H23" i="11" s="1"/>
  <c r="O22" i="11"/>
  <c r="H22" i="11"/>
  <c r="B22" i="11"/>
  <c r="O21" i="11"/>
  <c r="B21" i="11"/>
  <c r="H21" i="11" s="1"/>
  <c r="O20" i="11"/>
  <c r="B20" i="11"/>
  <c r="H20" i="11" s="1"/>
  <c r="O19" i="11"/>
  <c r="B19" i="11"/>
  <c r="H19" i="11" s="1"/>
  <c r="O18" i="11"/>
  <c r="B18" i="11"/>
  <c r="H18" i="11" s="1"/>
  <c r="O17" i="11"/>
  <c r="B17" i="11"/>
  <c r="H17" i="11" s="1"/>
  <c r="O16" i="11"/>
  <c r="B16" i="11"/>
  <c r="H16" i="11" s="1"/>
  <c r="O15" i="11"/>
  <c r="B15" i="11"/>
  <c r="H15" i="11" s="1"/>
  <c r="O14" i="11"/>
  <c r="B14" i="11"/>
  <c r="H14" i="11" s="1"/>
  <c r="O13" i="11"/>
  <c r="B13" i="11"/>
  <c r="H13" i="11" s="1"/>
  <c r="O12" i="11"/>
  <c r="B12" i="11"/>
  <c r="H12" i="11" s="1"/>
  <c r="O11" i="11"/>
  <c r="B11" i="11"/>
  <c r="H11" i="11" s="1"/>
  <c r="O10" i="11"/>
  <c r="H10" i="11"/>
  <c r="B10" i="11"/>
  <c r="O9" i="11"/>
  <c r="B9" i="11"/>
  <c r="H9" i="11" s="1"/>
  <c r="O8" i="11"/>
  <c r="B8" i="11"/>
  <c r="H8" i="11" s="1"/>
  <c r="O7" i="11"/>
  <c r="B7" i="11"/>
  <c r="H7" i="11" s="1"/>
  <c r="O6" i="11"/>
  <c r="B6" i="11"/>
  <c r="H6" i="11" s="1"/>
  <c r="H37" i="11" l="1"/>
  <c r="H38" i="11" s="1"/>
  <c r="O37" i="11"/>
  <c r="B37" i="11"/>
  <c r="B38" i="11" s="1"/>
  <c r="E37" i="11"/>
  <c r="E38" i="11" s="1"/>
  <c r="N37" i="10" l="1"/>
  <c r="M37" i="10"/>
  <c r="L37" i="10"/>
  <c r="I37" i="10"/>
  <c r="G37" i="10"/>
  <c r="G38" i="10" s="1"/>
  <c r="F37" i="10"/>
  <c r="F38" i="10" s="1"/>
  <c r="D37" i="10"/>
  <c r="D38" i="10" s="1"/>
  <c r="C37" i="10"/>
  <c r="O36" i="10"/>
  <c r="B36" i="10"/>
  <c r="H36" i="10" s="1"/>
  <c r="O35" i="10"/>
  <c r="B35" i="10"/>
  <c r="H35" i="10" s="1"/>
  <c r="O34" i="10"/>
  <c r="B34" i="10"/>
  <c r="H34" i="10" s="1"/>
  <c r="O33" i="10"/>
  <c r="B33" i="10"/>
  <c r="H33" i="10" s="1"/>
  <c r="O32" i="10"/>
  <c r="B32" i="10"/>
  <c r="H32" i="10" s="1"/>
  <c r="O31" i="10"/>
  <c r="H31" i="10"/>
  <c r="B31" i="10"/>
  <c r="O30" i="10"/>
  <c r="B30" i="10"/>
  <c r="H30" i="10" s="1"/>
  <c r="O29" i="10"/>
  <c r="B29" i="10"/>
  <c r="H29" i="10" s="1"/>
  <c r="O28" i="10"/>
  <c r="B28" i="10"/>
  <c r="H28" i="10" s="1"/>
  <c r="O27" i="10"/>
  <c r="H27" i="10"/>
  <c r="B27" i="10"/>
  <c r="O26" i="10"/>
  <c r="B26" i="10"/>
  <c r="H26" i="10" s="1"/>
  <c r="O25" i="10"/>
  <c r="B25" i="10"/>
  <c r="H25" i="10" s="1"/>
  <c r="O24" i="10"/>
  <c r="B24" i="10"/>
  <c r="H24" i="10" s="1"/>
  <c r="O23" i="10"/>
  <c r="H23" i="10"/>
  <c r="B23" i="10"/>
  <c r="O22" i="10"/>
  <c r="B22" i="10"/>
  <c r="H22" i="10" s="1"/>
  <c r="O21" i="10"/>
  <c r="B21" i="10"/>
  <c r="H21" i="10" s="1"/>
  <c r="O20" i="10"/>
  <c r="B20" i="10"/>
  <c r="H20" i="10" s="1"/>
  <c r="O19" i="10"/>
  <c r="H19" i="10"/>
  <c r="B19" i="10"/>
  <c r="O18" i="10"/>
  <c r="B18" i="10"/>
  <c r="H18" i="10" s="1"/>
  <c r="O17" i="10"/>
  <c r="B17" i="10"/>
  <c r="H17" i="10" s="1"/>
  <c r="O16" i="10"/>
  <c r="B16" i="10"/>
  <c r="H16" i="10" s="1"/>
  <c r="O15" i="10"/>
  <c r="H15" i="10"/>
  <c r="B15" i="10"/>
  <c r="O14" i="10"/>
  <c r="B14" i="10"/>
  <c r="H14" i="10" s="1"/>
  <c r="O13" i="10"/>
  <c r="B13" i="10"/>
  <c r="H13" i="10" s="1"/>
  <c r="O12" i="10"/>
  <c r="B12" i="10"/>
  <c r="H12" i="10" s="1"/>
  <c r="O11" i="10"/>
  <c r="H11" i="10"/>
  <c r="B11" i="10"/>
  <c r="O10" i="10"/>
  <c r="B10" i="10"/>
  <c r="H10" i="10" s="1"/>
  <c r="O9" i="10"/>
  <c r="B9" i="10"/>
  <c r="H9" i="10" s="1"/>
  <c r="O8" i="10"/>
  <c r="B8" i="10"/>
  <c r="H8" i="10" s="1"/>
  <c r="O7" i="10"/>
  <c r="H7" i="10"/>
  <c r="E7" i="10"/>
  <c r="E37" i="10" s="1"/>
  <c r="E38" i="10" s="1"/>
  <c r="B7" i="10"/>
  <c r="O6" i="10"/>
  <c r="H6" i="10"/>
  <c r="B6" i="10"/>
  <c r="B37" i="10" l="1"/>
  <c r="B38" i="10" s="1"/>
  <c r="O37" i="10"/>
  <c r="H37" i="10"/>
  <c r="H38" i="10" s="1"/>
  <c r="N37" i="9" l="1"/>
  <c r="M37" i="9"/>
  <c r="L37" i="9"/>
  <c r="I37" i="9"/>
  <c r="G37" i="9"/>
  <c r="G38" i="9" s="1"/>
  <c r="F37" i="9"/>
  <c r="F38" i="9" s="1"/>
  <c r="C37" i="9"/>
  <c r="O36" i="9"/>
  <c r="H36" i="9"/>
  <c r="O35" i="9"/>
  <c r="E35" i="9"/>
  <c r="B35" i="9"/>
  <c r="H35" i="9" s="1"/>
  <c r="O34" i="9"/>
  <c r="E34" i="9"/>
  <c r="B34" i="9"/>
  <c r="O33" i="9"/>
  <c r="B33" i="9"/>
  <c r="H33" i="9" s="1"/>
  <c r="O32" i="9"/>
  <c r="B32" i="9"/>
  <c r="H32" i="9" s="1"/>
  <c r="O31" i="9"/>
  <c r="E31" i="9"/>
  <c r="D31" i="9"/>
  <c r="D37" i="9" s="1"/>
  <c r="D38" i="9" s="1"/>
  <c r="B31" i="9"/>
  <c r="H31" i="9" s="1"/>
  <c r="O30" i="9"/>
  <c r="B30" i="9"/>
  <c r="H30" i="9" s="1"/>
  <c r="O29" i="9"/>
  <c r="B29" i="9"/>
  <c r="H29" i="9" s="1"/>
  <c r="O28" i="9"/>
  <c r="B28" i="9"/>
  <c r="H28" i="9" s="1"/>
  <c r="O27" i="9"/>
  <c r="B27" i="9"/>
  <c r="H27" i="9" s="1"/>
  <c r="O26" i="9"/>
  <c r="H26" i="9"/>
  <c r="B26" i="9"/>
  <c r="O25" i="9"/>
  <c r="B25" i="9"/>
  <c r="H25" i="9" s="1"/>
  <c r="O24" i="9"/>
  <c r="B24" i="9"/>
  <c r="H24" i="9" s="1"/>
  <c r="O23" i="9"/>
  <c r="H23" i="9"/>
  <c r="B23" i="9"/>
  <c r="O22" i="9"/>
  <c r="B22" i="9"/>
  <c r="H22" i="9" s="1"/>
  <c r="O21" i="9"/>
  <c r="B21" i="9"/>
  <c r="H21" i="9" s="1"/>
  <c r="O20" i="9"/>
  <c r="B20" i="9"/>
  <c r="H20" i="9" s="1"/>
  <c r="O19" i="9"/>
  <c r="B19" i="9"/>
  <c r="H19" i="9" s="1"/>
  <c r="O18" i="9"/>
  <c r="B18" i="9"/>
  <c r="H18" i="9" s="1"/>
  <c r="O17" i="9"/>
  <c r="B17" i="9"/>
  <c r="H17" i="9" s="1"/>
  <c r="O16" i="9"/>
  <c r="H16" i="9"/>
  <c r="B16" i="9"/>
  <c r="O15" i="9"/>
  <c r="B15" i="9"/>
  <c r="H15" i="9" s="1"/>
  <c r="O14" i="9"/>
  <c r="B14" i="9"/>
  <c r="H14" i="9" s="1"/>
  <c r="O13" i="9"/>
  <c r="B13" i="9"/>
  <c r="H13" i="9" s="1"/>
  <c r="O12" i="9"/>
  <c r="B12" i="9"/>
  <c r="H12" i="9" s="1"/>
  <c r="O11" i="9"/>
  <c r="B11" i="9"/>
  <c r="H11" i="9" s="1"/>
  <c r="O10" i="9"/>
  <c r="B10" i="9"/>
  <c r="H10" i="9" s="1"/>
  <c r="O9" i="9"/>
  <c r="B9" i="9"/>
  <c r="H9" i="9" s="1"/>
  <c r="O8" i="9"/>
  <c r="H8" i="9"/>
  <c r="B8" i="9"/>
  <c r="O7" i="9"/>
  <c r="B7" i="9"/>
  <c r="H7" i="9" s="1"/>
  <c r="O6" i="9"/>
  <c r="B6" i="9"/>
  <c r="H6" i="9" s="1"/>
  <c r="E37" i="9" l="1"/>
  <c r="E38" i="9" s="1"/>
  <c r="O37" i="9"/>
  <c r="H34" i="9"/>
  <c r="H37" i="9" s="1"/>
  <c r="H38" i="9" s="1"/>
  <c r="B37" i="9"/>
  <c r="B38" i="9" s="1"/>
  <c r="N37" i="8" l="1"/>
  <c r="M37" i="8"/>
  <c r="L37" i="8"/>
  <c r="I37" i="8"/>
  <c r="G37" i="8"/>
  <c r="G38" i="8" s="1"/>
  <c r="F37" i="8"/>
  <c r="F38" i="8" s="1"/>
  <c r="D37" i="8"/>
  <c r="D38" i="8" s="1"/>
  <c r="C37" i="8"/>
  <c r="O36" i="8"/>
  <c r="B36" i="8"/>
  <c r="H36" i="8" s="1"/>
  <c r="O35" i="8"/>
  <c r="B35" i="8"/>
  <c r="H35" i="8" s="1"/>
  <c r="O34" i="8"/>
  <c r="B34" i="8"/>
  <c r="H34" i="8" s="1"/>
  <c r="O33" i="8"/>
  <c r="B33" i="8"/>
  <c r="H33" i="8" s="1"/>
  <c r="O32" i="8"/>
  <c r="B32" i="8"/>
  <c r="H32" i="8" s="1"/>
  <c r="O31" i="8"/>
  <c r="B31" i="8"/>
  <c r="H31" i="8" s="1"/>
  <c r="O30" i="8"/>
  <c r="B30" i="8"/>
  <c r="H30" i="8" s="1"/>
  <c r="O29" i="8"/>
  <c r="B29" i="8"/>
  <c r="H29" i="8" s="1"/>
  <c r="O28" i="8"/>
  <c r="B28" i="8"/>
  <c r="H28" i="8" s="1"/>
  <c r="O27" i="8"/>
  <c r="B27" i="8"/>
  <c r="H27" i="8" s="1"/>
  <c r="O26" i="8"/>
  <c r="B26" i="8"/>
  <c r="H26" i="8" s="1"/>
  <c r="O25" i="8"/>
  <c r="B25" i="8"/>
  <c r="H25" i="8" s="1"/>
  <c r="O24" i="8"/>
  <c r="B24" i="8"/>
  <c r="H24" i="8" s="1"/>
  <c r="O23" i="8"/>
  <c r="B23" i="8"/>
  <c r="H23" i="8" s="1"/>
  <c r="O22" i="8"/>
  <c r="B22" i="8"/>
  <c r="H22" i="8" s="1"/>
  <c r="O21" i="8"/>
  <c r="B21" i="8"/>
  <c r="H21" i="8" s="1"/>
  <c r="O20" i="8"/>
  <c r="H20" i="8"/>
  <c r="O19" i="8"/>
  <c r="B19" i="8"/>
  <c r="H19" i="8" s="1"/>
  <c r="O18" i="8"/>
  <c r="B18" i="8"/>
  <c r="H18" i="8" s="1"/>
  <c r="O17" i="8"/>
  <c r="B17" i="8"/>
  <c r="H17" i="8" s="1"/>
  <c r="O16" i="8"/>
  <c r="B16" i="8"/>
  <c r="H16" i="8" s="1"/>
  <c r="O15" i="8"/>
  <c r="B15" i="8"/>
  <c r="H15" i="8" s="1"/>
  <c r="O14" i="8"/>
  <c r="B14" i="8"/>
  <c r="H14" i="8" s="1"/>
  <c r="O13" i="8"/>
  <c r="B13" i="8"/>
  <c r="H13" i="8" s="1"/>
  <c r="O12" i="8"/>
  <c r="B12" i="8"/>
  <c r="H12" i="8" s="1"/>
  <c r="O11" i="8"/>
  <c r="B11" i="8"/>
  <c r="H11" i="8" s="1"/>
  <c r="O10" i="8"/>
  <c r="B10" i="8"/>
  <c r="H10" i="8" s="1"/>
  <c r="O9" i="8"/>
  <c r="E9" i="8"/>
  <c r="E37" i="8" s="1"/>
  <c r="E38" i="8" s="1"/>
  <c r="B9" i="8"/>
  <c r="H9" i="8" s="1"/>
  <c r="O8" i="8"/>
  <c r="B8" i="8"/>
  <c r="H8" i="8" s="1"/>
  <c r="O7" i="8"/>
  <c r="B7" i="8"/>
  <c r="H7" i="8" s="1"/>
  <c r="O6" i="8"/>
  <c r="B6" i="8"/>
  <c r="H6" i="8" s="1"/>
  <c r="N37" i="7"/>
  <c r="M37" i="7"/>
  <c r="L37" i="7"/>
  <c r="I37" i="7"/>
  <c r="G37" i="7"/>
  <c r="G38" i="7" s="1"/>
  <c r="F37" i="7"/>
  <c r="F38" i="7" s="1"/>
  <c r="E37" i="7"/>
  <c r="E38" i="7" s="1"/>
  <c r="C37" i="7"/>
  <c r="O36" i="7"/>
  <c r="H36" i="7"/>
  <c r="B36" i="7"/>
  <c r="O35" i="7"/>
  <c r="B35" i="7"/>
  <c r="H35" i="7" s="1"/>
  <c r="O34" i="7"/>
  <c r="H34" i="7"/>
  <c r="B34" i="7"/>
  <c r="O33" i="7"/>
  <c r="B33" i="7"/>
  <c r="H33" i="7" s="1"/>
  <c r="O32" i="7"/>
  <c r="H32" i="7"/>
  <c r="B32" i="7"/>
  <c r="O31" i="7"/>
  <c r="B31" i="7"/>
  <c r="H31" i="7" s="1"/>
  <c r="O30" i="7"/>
  <c r="H30" i="7"/>
  <c r="B30" i="7"/>
  <c r="O29" i="7"/>
  <c r="B29" i="7"/>
  <c r="H29" i="7" s="1"/>
  <c r="O28" i="7"/>
  <c r="H28" i="7"/>
  <c r="B28" i="7"/>
  <c r="O27" i="7"/>
  <c r="B27" i="7"/>
  <c r="H27" i="7" s="1"/>
  <c r="O26" i="7"/>
  <c r="H26" i="7"/>
  <c r="B26" i="7"/>
  <c r="O25" i="7"/>
  <c r="B25" i="7"/>
  <c r="H25" i="7" s="1"/>
  <c r="O24" i="7"/>
  <c r="H24" i="7"/>
  <c r="B24" i="7"/>
  <c r="O23" i="7"/>
  <c r="D23" i="7"/>
  <c r="H23" i="7" s="1"/>
  <c r="B23" i="7"/>
  <c r="O22" i="7"/>
  <c r="B22" i="7"/>
  <c r="H22" i="7" s="1"/>
  <c r="O21" i="7"/>
  <c r="H21" i="7"/>
  <c r="B21" i="7"/>
  <c r="O20" i="7"/>
  <c r="B20" i="7"/>
  <c r="H20" i="7" s="1"/>
  <c r="O19" i="7"/>
  <c r="H19" i="7"/>
  <c r="B19" i="7"/>
  <c r="O18" i="7"/>
  <c r="B18" i="7"/>
  <c r="H18" i="7" s="1"/>
  <c r="O17" i="7"/>
  <c r="H17" i="7"/>
  <c r="B17" i="7"/>
  <c r="O16" i="7"/>
  <c r="B16" i="7"/>
  <c r="H16" i="7" s="1"/>
  <c r="O15" i="7"/>
  <c r="H15" i="7"/>
  <c r="B15" i="7"/>
  <c r="O14" i="7"/>
  <c r="B14" i="7"/>
  <c r="H14" i="7" s="1"/>
  <c r="O13" i="7"/>
  <c r="H13" i="7"/>
  <c r="B13" i="7"/>
  <c r="O12" i="7"/>
  <c r="B12" i="7"/>
  <c r="H12" i="7" s="1"/>
  <c r="O11" i="7"/>
  <c r="H11" i="7"/>
  <c r="B11" i="7"/>
  <c r="O10" i="7"/>
  <c r="B10" i="7"/>
  <c r="H10" i="7" s="1"/>
  <c r="O9" i="7"/>
  <c r="H9" i="7"/>
  <c r="B9" i="7"/>
  <c r="O8" i="7"/>
  <c r="O37" i="7" s="1"/>
  <c r="B8" i="7"/>
  <c r="B37" i="7" s="1"/>
  <c r="B38" i="7" s="1"/>
  <c r="P7" i="7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O7" i="7"/>
  <c r="H7" i="7"/>
  <c r="B7" i="7"/>
  <c r="O6" i="7"/>
  <c r="H6" i="7"/>
  <c r="B6" i="7"/>
  <c r="O37" i="8" l="1"/>
  <c r="H37" i="8"/>
  <c r="H38" i="8" s="1"/>
  <c r="B37" i="8"/>
  <c r="B38" i="8" s="1"/>
  <c r="H37" i="7"/>
  <c r="H38" i="7" s="1"/>
  <c r="D37" i="7"/>
  <c r="D38" i="7" s="1"/>
  <c r="H8" i="7"/>
  <c r="N37" i="6" l="1"/>
  <c r="M37" i="6"/>
  <c r="L37" i="6"/>
  <c r="I37" i="6"/>
  <c r="G37" i="6"/>
  <c r="G38" i="6" s="1"/>
  <c r="F37" i="6"/>
  <c r="F38" i="6" s="1"/>
  <c r="E37" i="6"/>
  <c r="E38" i="6" s="1"/>
  <c r="D37" i="6"/>
  <c r="D38" i="6" s="1"/>
  <c r="C37" i="6"/>
  <c r="O36" i="6"/>
  <c r="H36" i="6"/>
  <c r="O35" i="6"/>
  <c r="B35" i="6"/>
  <c r="H35" i="6" s="1"/>
  <c r="O34" i="6"/>
  <c r="B34" i="6"/>
  <c r="H34" i="6" s="1"/>
  <c r="O33" i="6"/>
  <c r="B33" i="6"/>
  <c r="H33" i="6" s="1"/>
  <c r="O32" i="6"/>
  <c r="B32" i="6"/>
  <c r="H32" i="6" s="1"/>
  <c r="O31" i="6"/>
  <c r="B31" i="6"/>
  <c r="H31" i="6" s="1"/>
  <c r="O30" i="6"/>
  <c r="B30" i="6"/>
  <c r="H30" i="6" s="1"/>
  <c r="O29" i="6"/>
  <c r="B29" i="6"/>
  <c r="H29" i="6" s="1"/>
  <c r="O28" i="6"/>
  <c r="B28" i="6"/>
  <c r="H28" i="6" s="1"/>
  <c r="O27" i="6"/>
  <c r="B27" i="6"/>
  <c r="H27" i="6" s="1"/>
  <c r="O26" i="6"/>
  <c r="B26" i="6"/>
  <c r="H26" i="6" s="1"/>
  <c r="O25" i="6"/>
  <c r="B25" i="6"/>
  <c r="H25" i="6" s="1"/>
  <c r="O24" i="6"/>
  <c r="B24" i="6"/>
  <c r="H24" i="6" s="1"/>
  <c r="O23" i="6"/>
  <c r="B23" i="6"/>
  <c r="H23" i="6" s="1"/>
  <c r="O22" i="6"/>
  <c r="B22" i="6"/>
  <c r="H22" i="6" s="1"/>
  <c r="O21" i="6"/>
  <c r="B21" i="6"/>
  <c r="H21" i="6" s="1"/>
  <c r="O20" i="6"/>
  <c r="B20" i="6"/>
  <c r="H20" i="6" s="1"/>
  <c r="O19" i="6"/>
  <c r="B19" i="6"/>
  <c r="H19" i="6" s="1"/>
  <c r="O18" i="6"/>
  <c r="H18" i="6"/>
  <c r="B18" i="6"/>
  <c r="O17" i="6"/>
  <c r="B17" i="6"/>
  <c r="H17" i="6" s="1"/>
  <c r="O16" i="6"/>
  <c r="H16" i="6"/>
  <c r="B16" i="6"/>
  <c r="O15" i="6"/>
  <c r="B15" i="6"/>
  <c r="H15" i="6" s="1"/>
  <c r="O14" i="6"/>
  <c r="B14" i="6"/>
  <c r="H14" i="6" s="1"/>
  <c r="O13" i="6"/>
  <c r="B13" i="6"/>
  <c r="H13" i="6" s="1"/>
  <c r="O12" i="6"/>
  <c r="B12" i="6"/>
  <c r="H12" i="6" s="1"/>
  <c r="O11" i="6"/>
  <c r="B11" i="6"/>
  <c r="H11" i="6" s="1"/>
  <c r="O10" i="6"/>
  <c r="H10" i="6"/>
  <c r="B10" i="6"/>
  <c r="O9" i="6"/>
  <c r="B9" i="6"/>
  <c r="H9" i="6" s="1"/>
  <c r="O8" i="6"/>
  <c r="H8" i="6"/>
  <c r="B8" i="6"/>
  <c r="O7" i="6"/>
  <c r="H7" i="6"/>
  <c r="B7" i="6"/>
  <c r="O6" i="6"/>
  <c r="B6" i="6"/>
  <c r="O37" i="6" l="1"/>
  <c r="B37" i="6"/>
  <c r="B38" i="6" s="1"/>
  <c r="H6" i="6"/>
  <c r="H37" i="6" s="1"/>
  <c r="H38" i="6" s="1"/>
  <c r="N37" i="5" l="1"/>
  <c r="M37" i="5"/>
  <c r="L37" i="5"/>
  <c r="I37" i="5"/>
  <c r="G37" i="5"/>
  <c r="G38" i="5" s="1"/>
  <c r="F37" i="5"/>
  <c r="F38" i="5" s="1"/>
  <c r="E37" i="5"/>
  <c r="E38" i="5" s="1"/>
  <c r="D37" i="5"/>
  <c r="D38" i="5" s="1"/>
  <c r="C37" i="5"/>
  <c r="O36" i="5"/>
  <c r="B36" i="5"/>
  <c r="H36" i="5" s="1"/>
  <c r="O35" i="5"/>
  <c r="B35" i="5"/>
  <c r="H35" i="5" s="1"/>
  <c r="O34" i="5"/>
  <c r="B34" i="5"/>
  <c r="H34" i="5" s="1"/>
  <c r="O33" i="5"/>
  <c r="B33" i="5"/>
  <c r="H33" i="5" s="1"/>
  <c r="O32" i="5"/>
  <c r="B32" i="5"/>
  <c r="H32" i="5" s="1"/>
  <c r="O31" i="5"/>
  <c r="B31" i="5"/>
  <c r="H31" i="5" s="1"/>
  <c r="O30" i="5"/>
  <c r="B30" i="5"/>
  <c r="H30" i="5" s="1"/>
  <c r="O29" i="5"/>
  <c r="B29" i="5"/>
  <c r="H29" i="5" s="1"/>
  <c r="O28" i="5"/>
  <c r="H28" i="5"/>
  <c r="B28" i="5"/>
  <c r="O27" i="5"/>
  <c r="B27" i="5"/>
  <c r="H27" i="5" s="1"/>
  <c r="O26" i="5"/>
  <c r="B26" i="5"/>
  <c r="H26" i="5" s="1"/>
  <c r="O25" i="5"/>
  <c r="B25" i="5"/>
  <c r="H25" i="5" s="1"/>
  <c r="O24" i="5"/>
  <c r="B24" i="5"/>
  <c r="H24" i="5" s="1"/>
  <c r="O23" i="5"/>
  <c r="B23" i="5"/>
  <c r="H23" i="5" s="1"/>
  <c r="O22" i="5"/>
  <c r="B22" i="5"/>
  <c r="H22" i="5" s="1"/>
  <c r="O21" i="5"/>
  <c r="B21" i="5"/>
  <c r="H21" i="5" s="1"/>
  <c r="O20" i="5"/>
  <c r="B20" i="5"/>
  <c r="H20" i="5" s="1"/>
  <c r="O19" i="5"/>
  <c r="B19" i="5"/>
  <c r="H19" i="5" s="1"/>
  <c r="O18" i="5"/>
  <c r="B18" i="5"/>
  <c r="H18" i="5" s="1"/>
  <c r="O17" i="5"/>
  <c r="B17" i="5"/>
  <c r="H17" i="5" s="1"/>
  <c r="O16" i="5"/>
  <c r="B16" i="5"/>
  <c r="H16" i="5" s="1"/>
  <c r="O15" i="5"/>
  <c r="B15" i="5"/>
  <c r="H15" i="5" s="1"/>
  <c r="O14" i="5"/>
  <c r="B14" i="5"/>
  <c r="H14" i="5" s="1"/>
  <c r="O13" i="5"/>
  <c r="B13" i="5"/>
  <c r="H13" i="5" s="1"/>
  <c r="O12" i="5"/>
  <c r="B12" i="5"/>
  <c r="H12" i="5" s="1"/>
  <c r="O11" i="5"/>
  <c r="B11" i="5"/>
  <c r="H11" i="5" s="1"/>
  <c r="O10" i="5"/>
  <c r="B10" i="5"/>
  <c r="H10" i="5" s="1"/>
  <c r="O9" i="5"/>
  <c r="H9" i="5"/>
  <c r="B9" i="5"/>
  <c r="O8" i="5"/>
  <c r="B8" i="5"/>
  <c r="H8" i="5" s="1"/>
  <c r="O7" i="5"/>
  <c r="H7" i="5"/>
  <c r="B7" i="5"/>
  <c r="O6" i="5"/>
  <c r="B6" i="5"/>
  <c r="B37" i="5" l="1"/>
  <c r="B38" i="5" s="1"/>
  <c r="O37" i="5"/>
  <c r="H6" i="5"/>
  <c r="H37" i="5" s="1"/>
  <c r="H38" i="5" s="1"/>
  <c r="N37" i="4" l="1"/>
  <c r="M37" i="4"/>
  <c r="L37" i="4"/>
  <c r="K37" i="4"/>
  <c r="I37" i="4"/>
  <c r="G37" i="4"/>
  <c r="G38" i="4" s="1"/>
  <c r="F37" i="4"/>
  <c r="F38" i="4" s="1"/>
  <c r="E37" i="4"/>
  <c r="E38" i="4" s="1"/>
  <c r="D37" i="4"/>
  <c r="D38" i="4" s="1"/>
  <c r="C37" i="4"/>
  <c r="O36" i="4"/>
  <c r="H36" i="4"/>
  <c r="O35" i="4"/>
  <c r="B35" i="4"/>
  <c r="H35" i="4" s="1"/>
  <c r="O34" i="4"/>
  <c r="H34" i="4"/>
  <c r="B34" i="4"/>
  <c r="O33" i="4"/>
  <c r="B33" i="4"/>
  <c r="H33" i="4" s="1"/>
  <c r="O32" i="4"/>
  <c r="B32" i="4"/>
  <c r="H32" i="4" s="1"/>
  <c r="O31" i="4"/>
  <c r="B31" i="4"/>
  <c r="H31" i="4" s="1"/>
  <c r="O30" i="4"/>
  <c r="B30" i="4"/>
  <c r="H30" i="4" s="1"/>
  <c r="O29" i="4"/>
  <c r="B29" i="4"/>
  <c r="H29" i="4" s="1"/>
  <c r="O28" i="4"/>
  <c r="H28" i="4"/>
  <c r="B28" i="4"/>
  <c r="O27" i="4"/>
  <c r="B27" i="4"/>
  <c r="H27" i="4" s="1"/>
  <c r="O26" i="4"/>
  <c r="B26" i="4"/>
  <c r="H26" i="4" s="1"/>
  <c r="O25" i="4"/>
  <c r="B25" i="4"/>
  <c r="H25" i="4" s="1"/>
  <c r="O24" i="4"/>
  <c r="B24" i="4"/>
  <c r="H24" i="4" s="1"/>
  <c r="O23" i="4"/>
  <c r="B23" i="4"/>
  <c r="H23" i="4" s="1"/>
  <c r="O22" i="4"/>
  <c r="B22" i="4"/>
  <c r="H22" i="4" s="1"/>
  <c r="O21" i="4"/>
  <c r="B21" i="4"/>
  <c r="H21" i="4" s="1"/>
  <c r="O20" i="4"/>
  <c r="B20" i="4"/>
  <c r="H20" i="4" s="1"/>
  <c r="O19" i="4"/>
  <c r="B19" i="4"/>
  <c r="H19" i="4" s="1"/>
  <c r="O18" i="4"/>
  <c r="B18" i="4"/>
  <c r="H18" i="4" s="1"/>
  <c r="O17" i="4"/>
  <c r="B17" i="4"/>
  <c r="H17" i="4" s="1"/>
  <c r="O16" i="4"/>
  <c r="B16" i="4"/>
  <c r="H16" i="4" s="1"/>
  <c r="O15" i="4"/>
  <c r="B15" i="4"/>
  <c r="H15" i="4" s="1"/>
  <c r="O14" i="4"/>
  <c r="B14" i="4"/>
  <c r="H14" i="4" s="1"/>
  <c r="O13" i="4"/>
  <c r="B13" i="4"/>
  <c r="H13" i="4" s="1"/>
  <c r="O12" i="4"/>
  <c r="H12" i="4"/>
  <c r="B12" i="4"/>
  <c r="O11" i="4"/>
  <c r="B11" i="4"/>
  <c r="H11" i="4" s="1"/>
  <c r="O10" i="4"/>
  <c r="B10" i="4"/>
  <c r="H10" i="4" s="1"/>
  <c r="O9" i="4"/>
  <c r="B9" i="4"/>
  <c r="H9" i="4" s="1"/>
  <c r="O8" i="4"/>
  <c r="B8" i="4"/>
  <c r="H8" i="4" s="1"/>
  <c r="O7" i="4"/>
  <c r="B7" i="4"/>
  <c r="H7" i="4" s="1"/>
  <c r="O6" i="4"/>
  <c r="B6" i="4"/>
  <c r="B37" i="4" l="1"/>
  <c r="B38" i="4" s="1"/>
  <c r="O37" i="4"/>
  <c r="H6" i="4"/>
  <c r="H37" i="4" s="1"/>
  <c r="H38" i="4" s="1"/>
  <c r="N37" i="3" l="1"/>
  <c r="M37" i="3"/>
  <c r="L37" i="3"/>
  <c r="K37" i="3"/>
  <c r="I37" i="3"/>
  <c r="G37" i="3"/>
  <c r="G38" i="3" s="1"/>
  <c r="F37" i="3"/>
  <c r="F38" i="3" s="1"/>
  <c r="E37" i="3"/>
  <c r="E38" i="3" s="1"/>
  <c r="C37" i="3"/>
  <c r="O36" i="3"/>
  <c r="B36" i="3"/>
  <c r="H36" i="3" s="1"/>
  <c r="O35" i="3"/>
  <c r="B35" i="3"/>
  <c r="H35" i="3" s="1"/>
  <c r="O34" i="3"/>
  <c r="B34" i="3"/>
  <c r="H34" i="3" s="1"/>
  <c r="O33" i="3"/>
  <c r="B33" i="3"/>
  <c r="H33" i="3" s="1"/>
  <c r="O32" i="3"/>
  <c r="B32" i="3"/>
  <c r="H32" i="3" s="1"/>
  <c r="O31" i="3"/>
  <c r="D31" i="3"/>
  <c r="B31" i="3"/>
  <c r="H31" i="3" s="1"/>
  <c r="O30" i="3"/>
  <c r="D30" i="3"/>
  <c r="B30" i="3"/>
  <c r="H30" i="3" s="1"/>
  <c r="O29" i="3"/>
  <c r="B29" i="3"/>
  <c r="H29" i="3" s="1"/>
  <c r="O28" i="3"/>
  <c r="B28" i="3"/>
  <c r="H28" i="3" s="1"/>
  <c r="O27" i="3"/>
  <c r="B27" i="3"/>
  <c r="H27" i="3" s="1"/>
  <c r="O26" i="3"/>
  <c r="D26" i="3"/>
  <c r="B26" i="3"/>
  <c r="H26" i="3" s="1"/>
  <c r="O25" i="3"/>
  <c r="B25" i="3"/>
  <c r="H25" i="3" s="1"/>
  <c r="O24" i="3"/>
  <c r="B24" i="3"/>
  <c r="H24" i="3" s="1"/>
  <c r="O23" i="3"/>
  <c r="B23" i="3"/>
  <c r="H23" i="3" s="1"/>
  <c r="O22" i="3"/>
  <c r="H22" i="3"/>
  <c r="B22" i="3"/>
  <c r="O21" i="3"/>
  <c r="B21" i="3"/>
  <c r="H21" i="3" s="1"/>
  <c r="O20" i="3"/>
  <c r="D20" i="3"/>
  <c r="B20" i="3"/>
  <c r="H20" i="3" s="1"/>
  <c r="O19" i="3"/>
  <c r="B19" i="3"/>
  <c r="H19" i="3" s="1"/>
  <c r="O18" i="3"/>
  <c r="B18" i="3"/>
  <c r="H18" i="3" s="1"/>
  <c r="O17" i="3"/>
  <c r="B17" i="3"/>
  <c r="H17" i="3" s="1"/>
  <c r="O16" i="3"/>
  <c r="H16" i="3"/>
  <c r="B16" i="3"/>
  <c r="O15" i="3"/>
  <c r="B15" i="3"/>
  <c r="H15" i="3" s="1"/>
  <c r="O14" i="3"/>
  <c r="B14" i="3"/>
  <c r="H14" i="3" s="1"/>
  <c r="O13" i="3"/>
  <c r="D13" i="3"/>
  <c r="D37" i="3" s="1"/>
  <c r="D38" i="3" s="1"/>
  <c r="B13" i="3"/>
  <c r="O12" i="3"/>
  <c r="B12" i="3"/>
  <c r="H12" i="3" s="1"/>
  <c r="O11" i="3"/>
  <c r="B11" i="3"/>
  <c r="H11" i="3" s="1"/>
  <c r="O10" i="3"/>
  <c r="B10" i="3"/>
  <c r="H10" i="3" s="1"/>
  <c r="O9" i="3"/>
  <c r="B9" i="3"/>
  <c r="H9" i="3" s="1"/>
  <c r="O8" i="3"/>
  <c r="B8" i="3"/>
  <c r="H8" i="3" s="1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7" i="3"/>
  <c r="B7" i="3"/>
  <c r="H7" i="3" s="1"/>
  <c r="O6" i="3"/>
  <c r="B6" i="3"/>
  <c r="B37" i="3" l="1"/>
  <c r="B38" i="3" s="1"/>
  <c r="H6" i="3"/>
  <c r="O37" i="3"/>
  <c r="H13" i="3"/>
  <c r="H37" i="3" s="1"/>
  <c r="H38" i="3" s="1"/>
  <c r="N37" i="2" l="1"/>
  <c r="M37" i="2"/>
  <c r="L37" i="2"/>
  <c r="K37" i="2"/>
  <c r="I37" i="2"/>
  <c r="G37" i="2"/>
  <c r="G38" i="2" s="1"/>
  <c r="F37" i="2"/>
  <c r="F38" i="2" s="1"/>
  <c r="E37" i="2"/>
  <c r="E38" i="2" s="1"/>
  <c r="C37" i="2"/>
  <c r="O36" i="2"/>
  <c r="H36" i="2"/>
  <c r="O35" i="2"/>
  <c r="H35" i="2"/>
  <c r="O34" i="2"/>
  <c r="H34" i="2"/>
  <c r="O33" i="2"/>
  <c r="D33" i="2"/>
  <c r="B33" i="2"/>
  <c r="H33" i="2" s="1"/>
  <c r="O32" i="2"/>
  <c r="D32" i="2"/>
  <c r="B32" i="2"/>
  <c r="H32" i="2" s="1"/>
  <c r="O31" i="2"/>
  <c r="D31" i="2"/>
  <c r="B31" i="2"/>
  <c r="H31" i="2" s="1"/>
  <c r="O30" i="2"/>
  <c r="D30" i="2"/>
  <c r="B30" i="2"/>
  <c r="H30" i="2" s="1"/>
  <c r="O29" i="2"/>
  <c r="D29" i="2"/>
  <c r="B29" i="2"/>
  <c r="H29" i="2" s="1"/>
  <c r="O28" i="2"/>
  <c r="H28" i="2"/>
  <c r="B28" i="2"/>
  <c r="O27" i="2"/>
  <c r="B27" i="2"/>
  <c r="H27" i="2" s="1"/>
  <c r="O26" i="2"/>
  <c r="H26" i="2"/>
  <c r="B26" i="2"/>
  <c r="O25" i="2"/>
  <c r="B25" i="2"/>
  <c r="H25" i="2" s="1"/>
  <c r="O24" i="2"/>
  <c r="H24" i="2"/>
  <c r="B24" i="2"/>
  <c r="O23" i="2"/>
  <c r="B23" i="2"/>
  <c r="H23" i="2" s="1"/>
  <c r="O22" i="2"/>
  <c r="H22" i="2"/>
  <c r="D22" i="2"/>
  <c r="B22" i="2"/>
  <c r="O21" i="2"/>
  <c r="B21" i="2"/>
  <c r="H21" i="2" s="1"/>
  <c r="O20" i="2"/>
  <c r="H20" i="2"/>
  <c r="B20" i="2"/>
  <c r="O19" i="2"/>
  <c r="H19" i="2"/>
  <c r="D19" i="2"/>
  <c r="B19" i="2"/>
  <c r="O18" i="2"/>
  <c r="D18" i="2"/>
  <c r="B18" i="2"/>
  <c r="H18" i="2" s="1"/>
  <c r="O17" i="2"/>
  <c r="B17" i="2"/>
  <c r="H17" i="2" s="1"/>
  <c r="O16" i="2"/>
  <c r="D16" i="2"/>
  <c r="B16" i="2"/>
  <c r="H16" i="2" s="1"/>
  <c r="O15" i="2"/>
  <c r="H15" i="2"/>
  <c r="B15" i="2"/>
  <c r="O14" i="2"/>
  <c r="B14" i="2"/>
  <c r="H14" i="2" s="1"/>
  <c r="O13" i="2"/>
  <c r="H13" i="2"/>
  <c r="B13" i="2"/>
  <c r="O12" i="2"/>
  <c r="B12" i="2"/>
  <c r="H12" i="2" s="1"/>
  <c r="O11" i="2"/>
  <c r="H11" i="2"/>
  <c r="B11" i="2"/>
  <c r="O10" i="2"/>
  <c r="B10" i="2"/>
  <c r="H10" i="2" s="1"/>
  <c r="O9" i="2"/>
  <c r="H9" i="2"/>
  <c r="B9" i="2"/>
  <c r="O8" i="2"/>
  <c r="B8" i="2"/>
  <c r="H8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7" i="2"/>
  <c r="H7" i="2"/>
  <c r="B7" i="2"/>
  <c r="O6" i="2"/>
  <c r="O37" i="2" s="1"/>
  <c r="D6" i="2"/>
  <c r="D37" i="2" s="1"/>
  <c r="D38" i="2" s="1"/>
  <c r="B6" i="2"/>
  <c r="B37" i="2" s="1"/>
  <c r="B38" i="2" s="1"/>
  <c r="H6" i="2" l="1"/>
  <c r="H37" i="2" s="1"/>
  <c r="H38" i="2" s="1"/>
  <c r="O36" i="1" l="1"/>
  <c r="H36" i="1"/>
  <c r="B36" i="1"/>
  <c r="O35" i="1"/>
  <c r="B35" i="1"/>
  <c r="H35" i="1" s="1"/>
  <c r="O34" i="1"/>
  <c r="B34" i="1"/>
  <c r="H34" i="1" s="1"/>
  <c r="O33" i="1"/>
  <c r="B33" i="1"/>
  <c r="H33" i="1" s="1"/>
  <c r="O32" i="1"/>
  <c r="B32" i="1"/>
  <c r="H32" i="1" s="1"/>
  <c r="O31" i="1"/>
  <c r="B31" i="1"/>
  <c r="H31" i="1" s="1"/>
  <c r="O30" i="1"/>
  <c r="B30" i="1"/>
  <c r="H30" i="1" s="1"/>
  <c r="O29" i="1"/>
  <c r="B29" i="1"/>
  <c r="H29" i="1" s="1"/>
  <c r="O28" i="1"/>
  <c r="B28" i="1"/>
  <c r="H28" i="1" s="1"/>
  <c r="O27" i="1"/>
  <c r="B27" i="1"/>
  <c r="H27" i="1" s="1"/>
  <c r="O26" i="1"/>
  <c r="B26" i="1"/>
  <c r="H26" i="1" s="1"/>
  <c r="O25" i="1"/>
  <c r="B25" i="1"/>
  <c r="H25" i="1" s="1"/>
  <c r="O24" i="1"/>
  <c r="H24" i="1"/>
  <c r="B24" i="1"/>
  <c r="O23" i="1"/>
  <c r="D23" i="1"/>
  <c r="B23" i="1"/>
  <c r="O22" i="1"/>
  <c r="B22" i="1"/>
  <c r="H22" i="1" s="1"/>
  <c r="O21" i="1"/>
  <c r="B21" i="1"/>
  <c r="N37" i="1"/>
  <c r="M37" i="1"/>
  <c r="L37" i="1"/>
  <c r="J37" i="1"/>
  <c r="I37" i="1"/>
  <c r="G37" i="1"/>
  <c r="G38" i="1" s="1"/>
  <c r="F37" i="1"/>
  <c r="F38" i="1" s="1"/>
  <c r="O20" i="1"/>
  <c r="B20" i="1"/>
  <c r="H20" i="1" s="1"/>
  <c r="O19" i="1"/>
  <c r="B19" i="1"/>
  <c r="H19" i="1" s="1"/>
  <c r="O18" i="1"/>
  <c r="B18" i="1"/>
  <c r="H18" i="1" s="1"/>
  <c r="O17" i="1"/>
  <c r="B17" i="1"/>
  <c r="H17" i="1" s="1"/>
  <c r="O16" i="1"/>
  <c r="B16" i="1"/>
  <c r="H16" i="1" s="1"/>
  <c r="O15" i="1"/>
  <c r="B15" i="1"/>
  <c r="H15" i="1" s="1"/>
  <c r="O14" i="1"/>
  <c r="B14" i="1"/>
  <c r="H14" i="1" s="1"/>
  <c r="O13" i="1"/>
  <c r="B13" i="1"/>
  <c r="H13" i="1" s="1"/>
  <c r="O12" i="1"/>
  <c r="B12" i="1"/>
  <c r="H12" i="1" s="1"/>
  <c r="O11" i="1"/>
  <c r="B11" i="1"/>
  <c r="H11" i="1" s="1"/>
  <c r="O10" i="1"/>
  <c r="B10" i="1"/>
  <c r="H10" i="1" s="1"/>
  <c r="O9" i="1"/>
  <c r="B9" i="1"/>
  <c r="H9" i="1" s="1"/>
  <c r="O8" i="1"/>
  <c r="B8" i="1"/>
  <c r="H8" i="1" s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7" i="1"/>
  <c r="B7" i="1"/>
  <c r="H7" i="1" s="1"/>
  <c r="O6" i="1"/>
  <c r="B6" i="1"/>
  <c r="O37" i="1" l="1"/>
  <c r="H23" i="1"/>
  <c r="D37" i="1"/>
  <c r="D38" i="1" s="1"/>
  <c r="C37" i="1"/>
  <c r="E37" i="1"/>
  <c r="E38" i="1" s="1"/>
  <c r="H6" i="1"/>
  <c r="H21" i="1"/>
  <c r="B37" i="1" l="1"/>
  <c r="B38" i="1" s="1"/>
  <c r="H37" i="1"/>
  <c r="H38" i="1" s="1"/>
</calcChain>
</file>

<file path=xl/sharedStrings.xml><?xml version="1.0" encoding="utf-8"?>
<sst xmlns="http://schemas.openxmlformats.org/spreadsheetml/2006/main" count="344" uniqueCount="38">
  <si>
    <t>ENERO 2014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</si>
  <si>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</si>
  <si>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</si>
  <si>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</si>
  <si>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</si>
  <si>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</si>
  <si>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</si>
  <si>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</si>
  <si>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</si>
  <si>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</si>
  <si>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</si>
  <si>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</si>
  <si>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</si>
  <si>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</si>
  <si>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</si>
  <si>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</si>
  <si>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</si>
  <si>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</si>
  <si>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</si>
  <si>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</si>
  <si>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>(1)</t>
  </si>
  <si>
    <t xml:space="preserve">  </t>
  </si>
  <si>
    <t xml:space="preserve"> </t>
  </si>
  <si>
    <t>NOTA (1):  EL TRAFICO ASOCIADO A ESTOS EJES , SE ENCUENTRA INCLUIDO DENTRO DEL TRAFICO DEL PEAJE DE CAIQUERO</t>
  </si>
  <si>
    <t xml:space="preserve"> TRÁFICO POR CATEGORÍAS ESTACIÓN DE PEAJE CAIQUERO</t>
  </si>
  <si>
    <t>CONCESIÓN SABANA DE OCCIDENTE S.A.S</t>
  </si>
  <si>
    <t>FEBRERO 2014</t>
  </si>
  <si>
    <t>MARZO 2014</t>
  </si>
  <si>
    <t>ABRIL 2014</t>
  </si>
  <si>
    <t>MAYO 2014</t>
  </si>
  <si>
    <t>JUNIO  2014</t>
  </si>
  <si>
    <t>JULIO  2014</t>
  </si>
  <si>
    <t>TRÁFICO POR CATEGORÍAS ESTACIÓN DE PEAJE CAIQUERO</t>
  </si>
  <si>
    <t>AGOSTO  2014</t>
  </si>
  <si>
    <t>SEPTIEMBRE  2014</t>
  </si>
  <si>
    <t>OCTUBRE  2014</t>
  </si>
  <si>
    <t>NOVIEMBRE  2014</t>
  </si>
  <si>
    <t>DICIEMBRE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</si>
</sst>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([$$-240A]\ * #,##0_);_([$$-240A]\ * \(#,##0\);_([$$-240A]\ 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37" fontId="3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4" fillId="0" borderId="4" xfId="1" applyNumberFormat="1" applyFont="1" applyFill="1" applyBorder="1" applyAlignment="1" applyProtection="1"/>
    <xf numFmtId="3" fontId="0" fillId="0" borderId="0" xfId="0" applyNumberFormat="1"/>
    <xf numFmtId="37" fontId="5" fillId="0" borderId="0" xfId="1" applyNumberFormat="1" applyFont="1" applyFill="1" applyBorder="1" applyAlignment="1" applyProtection="1">
      <alignment horizontal="center" vertical="center"/>
    </xf>
    <xf numFmtId="164" fontId="4" fillId="2" borderId="4" xfId="1" applyNumberFormat="1" applyFont="1" applyFill="1" applyBorder="1" applyAlignment="1" applyProtection="1"/>
    <xf numFmtId="0" fontId="0" fillId="2" borderId="0" xfId="0" applyFill="1"/>
    <xf numFmtId="0" fontId="4" fillId="0" borderId="0" xfId="0" applyFont="1"/>
    <xf numFmtId="165" fontId="4" fillId="0" borderId="0" xfId="3" applyNumberFormat="1" applyFill="1" applyProtection="1"/>
    <xf numFmtId="3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10" fontId="7" fillId="0" borderId="0" xfId="2" applyNumberFormat="1" applyFont="1" applyAlignment="1" applyProtection="1">
      <alignment horizontal="right"/>
    </xf>
    <xf numFmtId="0" fontId="10" fillId="0" borderId="0" xfId="0" applyFont="1"/>
    <xf numFmtId="17" fontId="0" fillId="0" borderId="0" xfId="0" applyNumberFormat="1"/>
    <xf numFmtId="17" fontId="4" fillId="0" borderId="0" xfId="0" applyNumberFormat="1" applyFont="1"/>
    <xf numFmtId="0" fontId="11" fillId="0" borderId="0" xfId="0" applyFont="1"/>
    <xf numFmtId="0" fontId="5" fillId="0" borderId="0" xfId="0" applyFont="1"/>
    <xf numFmtId="164" fontId="5" fillId="0" borderId="4" xfId="1" applyNumberFormat="1" applyFont="1" applyFill="1" applyBorder="1" applyAlignment="1" applyProtection="1"/>
    <xf numFmtId="3" fontId="5" fillId="0" borderId="0" xfId="0" applyNumberFormat="1" applyFont="1"/>
    <xf numFmtId="164" fontId="5" fillId="2" borderId="4" xfId="1" applyNumberFormat="1" applyFont="1" applyFill="1" applyBorder="1" applyAlignment="1" applyProtection="1"/>
    <xf numFmtId="0" fontId="5" fillId="2" borderId="0" xfId="0" applyFont="1" applyFill="1"/>
    <xf numFmtId="165" fontId="5" fillId="0" borderId="0" xfId="3" applyNumberFormat="1" applyFont="1" applyFill="1" applyProtection="1"/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5" fillId="0" borderId="0" xfId="2" applyNumberFormat="1" applyFont="1" applyAlignment="1" applyProtection="1">
      <alignment horizontal="right"/>
    </xf>
    <xf numFmtId="3" fontId="11" fillId="0" borderId="0" xfId="0" applyNumberFormat="1" applyFont="1"/>
    <xf numFmtId="10" fontId="11" fillId="0" borderId="0" xfId="2" applyNumberFormat="1" applyFont="1" applyAlignment="1" applyProtection="1">
      <alignment horizontal="right"/>
    </xf>
    <xf numFmtId="17" fontId="11" fillId="0" borderId="0" xfId="0" applyNumberFormat="1" applyFont="1"/>
    <xf numFmtId="17" fontId="5" fillId="0" borderId="0" xfId="0" applyNumberFormat="1" applyFont="1"/>
    <xf numFmtId="0" fontId="3" fillId="0" borderId="0" xfId="0" applyFont="1"/>
    <xf numFmtId="10" fontId="3" fillId="0" borderId="0" xfId="2" applyNumberFormat="1" applyFont="1" applyAlignment="1" applyProtection="1">
      <alignment horizontal="right"/>
    </xf>
    <xf numFmtId="3" fontId="3" fillId="0" borderId="0" xfId="0" applyNumberFormat="1" applyFont="1"/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">
    <cellStyle name="Millares" xfId="1" builtinId="3"/>
    <cellStyle name="Millares_TRAFICO CAIQUERO_1" xfId="3" xr:uid="{FB566098-7685-4A0E-869F-FE4CA0565BCE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1F95-2EEE-4271-9C63-F3C886A41825}">
  <dimension ref="A1:Z45"/>
  <sheetViews>
    <sheetView topLeftCell="A22" workbookViewId="0">
      <selection activeCell="E42" sqref="E42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9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9" ht="15.6" x14ac:dyDescent="0.3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9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9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9" ht="18" customHeight="1" thickBot="1" x14ac:dyDescent="0.35">
      <c r="A6" s="4">
        <v>1</v>
      </c>
      <c r="B6" s="5">
        <f>9426+9</f>
        <v>9435</v>
      </c>
      <c r="C6" s="5">
        <v>1</v>
      </c>
      <c r="D6" s="5">
        <v>535</v>
      </c>
      <c r="E6" s="5">
        <v>24</v>
      </c>
      <c r="F6" s="5">
        <v>26</v>
      </c>
      <c r="G6" s="5">
        <v>36</v>
      </c>
      <c r="H6" s="5">
        <f>SUM(B6:G6)</f>
        <v>10057</v>
      </c>
      <c r="I6" s="5">
        <v>0</v>
      </c>
      <c r="J6" s="6"/>
      <c r="K6" s="5">
        <v>1</v>
      </c>
      <c r="L6" s="5">
        <v>0</v>
      </c>
      <c r="M6" s="5">
        <v>0</v>
      </c>
      <c r="N6" s="5">
        <v>0</v>
      </c>
      <c r="O6" s="5">
        <f>SUM(L6:N6)</f>
        <v>0</v>
      </c>
      <c r="P6" s="7">
        <v>6135</v>
      </c>
    </row>
    <row r="7" spans="1:19" ht="18" customHeight="1" thickTop="1" thickBot="1" x14ac:dyDescent="0.35">
      <c r="A7" s="4">
        <v>2</v>
      </c>
      <c r="B7" s="5">
        <f>9932+22</f>
        <v>9954</v>
      </c>
      <c r="C7" s="5">
        <v>1</v>
      </c>
      <c r="D7" s="5">
        <v>1052</v>
      </c>
      <c r="E7" s="5">
        <v>73</v>
      </c>
      <c r="F7" s="5">
        <v>121</v>
      </c>
      <c r="G7" s="5">
        <v>173</v>
      </c>
      <c r="H7" s="5">
        <f>SUM(B7:G7)</f>
        <v>11374</v>
      </c>
      <c r="I7" s="5">
        <v>0</v>
      </c>
      <c r="J7" s="6"/>
      <c r="K7" s="5">
        <v>2</v>
      </c>
      <c r="L7" s="5">
        <v>0</v>
      </c>
      <c r="M7" s="5">
        <v>2</v>
      </c>
      <c r="N7" s="5">
        <v>3</v>
      </c>
      <c r="O7" s="5">
        <f t="shared" ref="O7:O33" si="0">SUM(L7:N7)</f>
        <v>5</v>
      </c>
      <c r="P7" s="7">
        <f>+P6</f>
        <v>6135</v>
      </c>
    </row>
    <row r="8" spans="1:19" ht="18" customHeight="1" thickTop="1" thickBot="1" x14ac:dyDescent="0.35">
      <c r="A8" s="4">
        <v>3</v>
      </c>
      <c r="B8" s="5">
        <f>10513+17</f>
        <v>10530</v>
      </c>
      <c r="C8" s="5">
        <v>2</v>
      </c>
      <c r="D8" s="5">
        <v>1049</v>
      </c>
      <c r="E8" s="5">
        <v>80</v>
      </c>
      <c r="F8" s="5">
        <v>116</v>
      </c>
      <c r="G8" s="5">
        <v>153</v>
      </c>
      <c r="H8" s="5">
        <f t="shared" ref="H8:H36" si="1">SUM(B8:G8)</f>
        <v>11930</v>
      </c>
      <c r="I8" s="5">
        <v>0</v>
      </c>
      <c r="J8" s="6"/>
      <c r="K8" s="5">
        <v>3</v>
      </c>
      <c r="L8" s="5">
        <v>0</v>
      </c>
      <c r="M8" s="5">
        <v>0</v>
      </c>
      <c r="N8" s="5">
        <v>4</v>
      </c>
      <c r="O8" s="5">
        <f t="shared" si="0"/>
        <v>4</v>
      </c>
      <c r="P8" s="7">
        <f t="shared" ref="P8:P36" si="2">+P7</f>
        <v>6135</v>
      </c>
      <c r="S8" s="8"/>
    </row>
    <row r="9" spans="1:19" ht="18" customHeight="1" thickTop="1" thickBot="1" x14ac:dyDescent="0.35">
      <c r="A9" s="4">
        <v>4</v>
      </c>
      <c r="B9" s="5">
        <f>11218+24</f>
        <v>11242</v>
      </c>
      <c r="C9" s="5">
        <v>3</v>
      </c>
      <c r="D9" s="5">
        <v>900</v>
      </c>
      <c r="E9" s="5">
        <v>45</v>
      </c>
      <c r="F9" s="5">
        <v>80</v>
      </c>
      <c r="G9" s="5">
        <v>97</v>
      </c>
      <c r="H9" s="5">
        <f t="shared" si="1"/>
        <v>12367</v>
      </c>
      <c r="I9" s="5">
        <v>0</v>
      </c>
      <c r="J9" s="6"/>
      <c r="K9" s="5">
        <v>4</v>
      </c>
      <c r="L9" s="5">
        <v>0</v>
      </c>
      <c r="M9" s="5">
        <v>2</v>
      </c>
      <c r="N9" s="5">
        <v>0</v>
      </c>
      <c r="O9" s="5">
        <f t="shared" si="0"/>
        <v>2</v>
      </c>
      <c r="P9" s="7">
        <f t="shared" si="2"/>
        <v>6135</v>
      </c>
    </row>
    <row r="10" spans="1:19" ht="18" customHeight="1" thickTop="1" thickBot="1" x14ac:dyDescent="0.35">
      <c r="A10" s="4">
        <v>5</v>
      </c>
      <c r="B10" s="5">
        <f>13819+28</f>
        <v>13847</v>
      </c>
      <c r="C10" s="5">
        <v>3</v>
      </c>
      <c r="D10" s="5">
        <v>933</v>
      </c>
      <c r="E10" s="5">
        <v>43</v>
      </c>
      <c r="F10" s="5">
        <v>60</v>
      </c>
      <c r="G10" s="5">
        <v>108</v>
      </c>
      <c r="H10" s="5">
        <f t="shared" si="1"/>
        <v>14994</v>
      </c>
      <c r="I10" s="5">
        <v>0</v>
      </c>
      <c r="J10" s="6"/>
      <c r="K10" s="5">
        <v>5</v>
      </c>
      <c r="L10" s="5">
        <v>0</v>
      </c>
      <c r="M10" s="5">
        <v>2</v>
      </c>
      <c r="N10" s="5">
        <v>2</v>
      </c>
      <c r="O10" s="5">
        <f t="shared" si="0"/>
        <v>4</v>
      </c>
      <c r="P10" s="7">
        <f t="shared" si="2"/>
        <v>6135</v>
      </c>
    </row>
    <row r="11" spans="1:19" ht="18" customHeight="1" thickTop="1" thickBot="1" x14ac:dyDescent="0.35">
      <c r="A11" s="4">
        <v>6</v>
      </c>
      <c r="B11" s="5">
        <f>13942+23</f>
        <v>13965</v>
      </c>
      <c r="C11" s="5">
        <v>0</v>
      </c>
      <c r="D11" s="5">
        <v>936</v>
      </c>
      <c r="E11" s="5">
        <v>46</v>
      </c>
      <c r="F11" s="5">
        <v>57</v>
      </c>
      <c r="G11" s="5">
        <v>60</v>
      </c>
      <c r="H11" s="5">
        <f t="shared" si="1"/>
        <v>15064</v>
      </c>
      <c r="I11" s="5">
        <v>0</v>
      </c>
      <c r="J11" s="6"/>
      <c r="K11" s="5">
        <v>6</v>
      </c>
      <c r="L11" s="5">
        <v>0</v>
      </c>
      <c r="M11" s="5">
        <v>2</v>
      </c>
      <c r="N11" s="5">
        <v>0</v>
      </c>
      <c r="O11" s="5">
        <f t="shared" si="0"/>
        <v>2</v>
      </c>
      <c r="P11" s="7">
        <f t="shared" si="2"/>
        <v>6135</v>
      </c>
    </row>
    <row r="12" spans="1:19" ht="18" customHeight="1" thickTop="1" thickBot="1" x14ac:dyDescent="0.35">
      <c r="A12" s="4">
        <v>7</v>
      </c>
      <c r="B12" s="5">
        <f>6999+20</f>
        <v>7019</v>
      </c>
      <c r="C12" s="5">
        <v>0</v>
      </c>
      <c r="D12" s="5">
        <v>1202</v>
      </c>
      <c r="E12" s="5">
        <v>142</v>
      </c>
      <c r="F12" s="5">
        <v>159</v>
      </c>
      <c r="G12" s="5">
        <v>251</v>
      </c>
      <c r="H12" s="5">
        <f t="shared" si="1"/>
        <v>8773</v>
      </c>
      <c r="I12" s="5">
        <v>0</v>
      </c>
      <c r="J12" s="9"/>
      <c r="K12" s="5">
        <v>7</v>
      </c>
      <c r="L12" s="5">
        <v>1</v>
      </c>
      <c r="M12" s="5">
        <v>6</v>
      </c>
      <c r="N12" s="5">
        <v>7</v>
      </c>
      <c r="O12" s="5">
        <f t="shared" si="0"/>
        <v>14</v>
      </c>
      <c r="P12" s="7">
        <f t="shared" si="2"/>
        <v>6135</v>
      </c>
    </row>
    <row r="13" spans="1:19" ht="18" customHeight="1" thickTop="1" thickBot="1" x14ac:dyDescent="0.35">
      <c r="A13" s="4">
        <v>8</v>
      </c>
      <c r="B13" s="5">
        <f>5679+19</f>
        <v>5698</v>
      </c>
      <c r="C13" s="5">
        <v>6</v>
      </c>
      <c r="D13" s="5">
        <v>1211</v>
      </c>
      <c r="E13" s="5">
        <v>166</v>
      </c>
      <c r="F13" s="5">
        <v>180</v>
      </c>
      <c r="G13" s="5">
        <v>248</v>
      </c>
      <c r="H13" s="5">
        <f t="shared" si="1"/>
        <v>7509</v>
      </c>
      <c r="I13" s="5">
        <v>0</v>
      </c>
      <c r="J13" s="9"/>
      <c r="K13" s="5">
        <v>8</v>
      </c>
      <c r="L13" s="5">
        <v>2</v>
      </c>
      <c r="M13" s="5">
        <v>5</v>
      </c>
      <c r="N13" s="5">
        <v>5</v>
      </c>
      <c r="O13" s="5">
        <f t="shared" si="0"/>
        <v>12</v>
      </c>
      <c r="P13" s="7">
        <f t="shared" si="2"/>
        <v>6135</v>
      </c>
    </row>
    <row r="14" spans="1:19" s="11" customFormat="1" ht="18" customHeight="1" thickTop="1" thickBot="1" x14ac:dyDescent="0.35">
      <c r="A14" s="4">
        <v>9</v>
      </c>
      <c r="B14" s="5">
        <f>5244+21</f>
        <v>5265</v>
      </c>
      <c r="C14" s="5">
        <v>1</v>
      </c>
      <c r="D14" s="5">
        <v>1271</v>
      </c>
      <c r="E14" s="5">
        <v>169</v>
      </c>
      <c r="F14" s="5">
        <v>170</v>
      </c>
      <c r="G14" s="5">
        <v>257</v>
      </c>
      <c r="H14" s="5">
        <f t="shared" si="1"/>
        <v>7133</v>
      </c>
      <c r="I14" s="5">
        <v>0</v>
      </c>
      <c r="J14" s="9"/>
      <c r="K14" s="5">
        <v>9</v>
      </c>
      <c r="L14" s="5">
        <v>0</v>
      </c>
      <c r="M14" s="5">
        <v>6</v>
      </c>
      <c r="N14" s="5">
        <v>2</v>
      </c>
      <c r="O14" s="5">
        <f t="shared" si="0"/>
        <v>8</v>
      </c>
      <c r="P14" s="10">
        <f t="shared" si="2"/>
        <v>6135</v>
      </c>
    </row>
    <row r="15" spans="1:19" ht="18" customHeight="1" thickTop="1" thickBot="1" x14ac:dyDescent="0.35">
      <c r="A15" s="4">
        <v>10</v>
      </c>
      <c r="B15" s="5">
        <f>6230+8</f>
        <v>6238</v>
      </c>
      <c r="C15" s="5">
        <v>1</v>
      </c>
      <c r="D15" s="5">
        <v>1347</v>
      </c>
      <c r="E15" s="5">
        <v>203</v>
      </c>
      <c r="F15" s="5">
        <v>154</v>
      </c>
      <c r="G15" s="5">
        <v>276</v>
      </c>
      <c r="H15" s="5">
        <f t="shared" si="1"/>
        <v>8219</v>
      </c>
      <c r="I15" s="5">
        <v>0</v>
      </c>
      <c r="J15" s="9"/>
      <c r="K15" s="5">
        <v>10</v>
      </c>
      <c r="L15" s="5">
        <v>1</v>
      </c>
      <c r="M15" s="5">
        <v>7</v>
      </c>
      <c r="N15" s="5">
        <v>4</v>
      </c>
      <c r="O15" s="5">
        <f t="shared" si="0"/>
        <v>12</v>
      </c>
      <c r="P15" s="7">
        <f t="shared" si="2"/>
        <v>6135</v>
      </c>
    </row>
    <row r="16" spans="1:19" ht="18" customHeight="1" thickTop="1" thickBot="1" x14ac:dyDescent="0.35">
      <c r="A16" s="4">
        <v>11</v>
      </c>
      <c r="B16" s="5">
        <f>7042+20</f>
        <v>7062</v>
      </c>
      <c r="C16" s="5">
        <v>0</v>
      </c>
      <c r="D16" s="5">
        <v>1077</v>
      </c>
      <c r="E16" s="5">
        <v>138</v>
      </c>
      <c r="F16" s="5">
        <v>162</v>
      </c>
      <c r="G16" s="5">
        <v>204</v>
      </c>
      <c r="H16" s="5">
        <f t="shared" si="1"/>
        <v>8643</v>
      </c>
      <c r="I16" s="5">
        <v>0</v>
      </c>
      <c r="J16" s="9"/>
      <c r="K16" s="5">
        <v>11</v>
      </c>
      <c r="L16" s="5">
        <v>0</v>
      </c>
      <c r="M16" s="5">
        <v>7</v>
      </c>
      <c r="N16" s="5">
        <v>1</v>
      </c>
      <c r="O16" s="5">
        <f t="shared" si="0"/>
        <v>8</v>
      </c>
      <c r="P16" s="7">
        <f t="shared" si="2"/>
        <v>6135</v>
      </c>
      <c r="Q16" s="12"/>
    </row>
    <row r="17" spans="1:26" ht="18" customHeight="1" thickTop="1" thickBot="1" x14ac:dyDescent="0.35">
      <c r="A17" s="4">
        <v>12</v>
      </c>
      <c r="B17" s="5">
        <f>8229+14</f>
        <v>8243</v>
      </c>
      <c r="C17" s="5">
        <v>2</v>
      </c>
      <c r="D17" s="5">
        <v>952</v>
      </c>
      <c r="E17" s="5">
        <v>79</v>
      </c>
      <c r="F17" s="5">
        <v>73</v>
      </c>
      <c r="G17" s="5">
        <v>155</v>
      </c>
      <c r="H17" s="5">
        <f t="shared" si="1"/>
        <v>9504</v>
      </c>
      <c r="I17" s="5">
        <v>0</v>
      </c>
      <c r="J17" s="9"/>
      <c r="K17" s="5">
        <v>12</v>
      </c>
      <c r="L17" s="5">
        <v>0</v>
      </c>
      <c r="M17" s="5">
        <v>2</v>
      </c>
      <c r="N17" s="5">
        <v>2</v>
      </c>
      <c r="O17" s="5">
        <f t="shared" si="0"/>
        <v>4</v>
      </c>
      <c r="P17" s="7">
        <f t="shared" si="2"/>
        <v>6135</v>
      </c>
    </row>
    <row r="18" spans="1:26" ht="18" customHeight="1" thickTop="1" thickBot="1" x14ac:dyDescent="0.35">
      <c r="A18" s="4">
        <v>13</v>
      </c>
      <c r="B18" s="5">
        <f>3909+20</f>
        <v>3929</v>
      </c>
      <c r="C18" s="5">
        <v>0</v>
      </c>
      <c r="D18" s="5">
        <v>1050</v>
      </c>
      <c r="E18" s="5">
        <v>235</v>
      </c>
      <c r="F18" s="5">
        <v>158</v>
      </c>
      <c r="G18" s="5">
        <v>247</v>
      </c>
      <c r="H18" s="5">
        <f t="shared" si="1"/>
        <v>5619</v>
      </c>
      <c r="I18" s="5">
        <v>0</v>
      </c>
      <c r="J18" s="9"/>
      <c r="K18" s="5">
        <v>13</v>
      </c>
      <c r="L18" s="5">
        <v>1</v>
      </c>
      <c r="M18" s="5">
        <v>13</v>
      </c>
      <c r="N18" s="5">
        <v>6</v>
      </c>
      <c r="O18" s="5">
        <f t="shared" si="0"/>
        <v>20</v>
      </c>
      <c r="P18" s="7">
        <f t="shared" si="2"/>
        <v>6135</v>
      </c>
    </row>
    <row r="19" spans="1:26" ht="18" customHeight="1" thickTop="1" thickBot="1" x14ac:dyDescent="0.35">
      <c r="A19" s="4">
        <v>14</v>
      </c>
      <c r="B19" s="5">
        <f>3383+22</f>
        <v>3405</v>
      </c>
      <c r="C19" s="5">
        <v>4</v>
      </c>
      <c r="D19" s="5">
        <v>1239</v>
      </c>
      <c r="E19" s="5">
        <v>218</v>
      </c>
      <c r="F19" s="5">
        <v>200</v>
      </c>
      <c r="G19" s="5">
        <v>229</v>
      </c>
      <c r="H19" s="5">
        <f t="shared" si="1"/>
        <v>5295</v>
      </c>
      <c r="I19" s="5">
        <v>0</v>
      </c>
      <c r="J19" s="9"/>
      <c r="K19" s="5">
        <v>14</v>
      </c>
      <c r="L19" s="5">
        <v>0</v>
      </c>
      <c r="M19" s="5">
        <v>7</v>
      </c>
      <c r="N19" s="5">
        <v>3</v>
      </c>
      <c r="O19" s="5">
        <f t="shared" si="0"/>
        <v>10</v>
      </c>
      <c r="P19" s="7">
        <f t="shared" si="2"/>
        <v>6135</v>
      </c>
    </row>
    <row r="20" spans="1:26" ht="18" customHeight="1" thickTop="1" thickBot="1" x14ac:dyDescent="0.35">
      <c r="A20" s="4">
        <v>15</v>
      </c>
      <c r="B20" s="5">
        <f>3225+14</f>
        <v>3239</v>
      </c>
      <c r="C20" s="5">
        <v>2</v>
      </c>
      <c r="D20" s="5">
        <v>1184</v>
      </c>
      <c r="E20" s="5">
        <v>192</v>
      </c>
      <c r="F20" s="5">
        <v>200</v>
      </c>
      <c r="G20" s="5">
        <v>271</v>
      </c>
      <c r="H20" s="5">
        <f t="shared" si="1"/>
        <v>5088</v>
      </c>
      <c r="I20" s="5">
        <v>0</v>
      </c>
      <c r="J20" s="9"/>
      <c r="K20" s="5">
        <v>15</v>
      </c>
      <c r="L20" s="5">
        <v>1</v>
      </c>
      <c r="M20" s="5">
        <v>3</v>
      </c>
      <c r="N20" s="5">
        <v>0</v>
      </c>
      <c r="O20" s="5">
        <f t="shared" si="0"/>
        <v>4</v>
      </c>
      <c r="P20" s="7">
        <f t="shared" si="2"/>
        <v>6135</v>
      </c>
    </row>
    <row r="21" spans="1:26" ht="18" customHeight="1" thickTop="1" thickBot="1" x14ac:dyDescent="0.35">
      <c r="A21" s="4">
        <v>16</v>
      </c>
      <c r="B21" s="5">
        <f>3093+13</f>
        <v>3106</v>
      </c>
      <c r="C21" s="5">
        <v>0</v>
      </c>
      <c r="D21" s="5">
        <v>1202</v>
      </c>
      <c r="E21" s="5">
        <v>243</v>
      </c>
      <c r="F21" s="5">
        <v>184</v>
      </c>
      <c r="G21" s="5">
        <v>249</v>
      </c>
      <c r="H21" s="5">
        <f t="shared" si="1"/>
        <v>4984</v>
      </c>
      <c r="I21" s="5">
        <v>0</v>
      </c>
      <c r="J21" s="9"/>
      <c r="K21" s="5">
        <v>16</v>
      </c>
      <c r="L21" s="5">
        <v>1</v>
      </c>
      <c r="M21" s="5">
        <v>10</v>
      </c>
      <c r="N21" s="5">
        <v>3</v>
      </c>
      <c r="O21" s="5">
        <f t="shared" si="0"/>
        <v>14</v>
      </c>
      <c r="P21" s="7">
        <f>+P20</f>
        <v>6135</v>
      </c>
    </row>
    <row r="22" spans="1:26" ht="18" customHeight="1" thickTop="1" thickBot="1" x14ac:dyDescent="0.35">
      <c r="A22" s="4">
        <v>17</v>
      </c>
      <c r="B22" s="5">
        <f>4277+17</f>
        <v>4294</v>
      </c>
      <c r="C22" s="5">
        <v>0</v>
      </c>
      <c r="D22" s="5">
        <v>1211</v>
      </c>
      <c r="E22" s="5">
        <v>244</v>
      </c>
      <c r="F22" s="5">
        <v>175</v>
      </c>
      <c r="G22" s="5">
        <v>224</v>
      </c>
      <c r="H22" s="5">
        <f>SUM(B22:G22)</f>
        <v>6148</v>
      </c>
      <c r="I22" s="5">
        <v>0</v>
      </c>
      <c r="J22" s="9"/>
      <c r="K22" s="5">
        <v>17</v>
      </c>
      <c r="L22" s="5">
        <v>1</v>
      </c>
      <c r="M22" s="5">
        <v>7</v>
      </c>
      <c r="N22" s="5">
        <v>2</v>
      </c>
      <c r="O22" s="5">
        <f t="shared" si="0"/>
        <v>10</v>
      </c>
      <c r="P22" s="7">
        <f t="shared" si="2"/>
        <v>6135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 customHeight="1" thickTop="1" thickBot="1" x14ac:dyDescent="0.35">
      <c r="A23" s="4">
        <v>18</v>
      </c>
      <c r="B23" s="5">
        <f>5402+10</f>
        <v>5412</v>
      </c>
      <c r="C23" s="5">
        <v>2</v>
      </c>
      <c r="D23" s="5">
        <f>1075+34</f>
        <v>1109</v>
      </c>
      <c r="E23" s="5">
        <v>159</v>
      </c>
      <c r="F23" s="5">
        <v>175</v>
      </c>
      <c r="G23" s="5">
        <v>223</v>
      </c>
      <c r="H23" s="5">
        <f t="shared" si="1"/>
        <v>7080</v>
      </c>
      <c r="I23" s="5">
        <v>0</v>
      </c>
      <c r="J23" s="9"/>
      <c r="K23" s="5">
        <v>18</v>
      </c>
      <c r="L23" s="5">
        <v>0</v>
      </c>
      <c r="M23" s="5">
        <v>8</v>
      </c>
      <c r="N23" s="5">
        <v>1</v>
      </c>
      <c r="O23" s="5">
        <f t="shared" si="0"/>
        <v>9</v>
      </c>
      <c r="P23" s="7">
        <f t="shared" si="2"/>
        <v>6135</v>
      </c>
    </row>
    <row r="24" spans="1:26" s="12" customFormat="1" ht="18" customHeight="1" thickTop="1" thickBot="1" x14ac:dyDescent="0.3">
      <c r="A24" s="4">
        <v>19</v>
      </c>
      <c r="B24" s="5">
        <f>6681+12</f>
        <v>6693</v>
      </c>
      <c r="C24" s="5">
        <v>0</v>
      </c>
      <c r="D24" s="5">
        <v>862</v>
      </c>
      <c r="E24" s="5">
        <v>75</v>
      </c>
      <c r="F24" s="5">
        <v>86</v>
      </c>
      <c r="G24" s="5">
        <v>143</v>
      </c>
      <c r="H24" s="5">
        <f t="shared" si="1"/>
        <v>7859</v>
      </c>
      <c r="I24" s="5">
        <v>0</v>
      </c>
      <c r="J24" s="9"/>
      <c r="K24" s="5">
        <v>19</v>
      </c>
      <c r="L24" s="5">
        <v>0</v>
      </c>
      <c r="M24" s="5">
        <v>2</v>
      </c>
      <c r="N24" s="5">
        <v>1</v>
      </c>
      <c r="O24" s="5">
        <f t="shared" si="0"/>
        <v>3</v>
      </c>
      <c r="P24" s="7">
        <f t="shared" si="2"/>
        <v>6135</v>
      </c>
    </row>
    <row r="25" spans="1:26" ht="18" customHeight="1" thickTop="1" thickBot="1" x14ac:dyDescent="0.35">
      <c r="A25" s="4">
        <v>20</v>
      </c>
      <c r="B25" s="5">
        <f>2806+8</f>
        <v>2814</v>
      </c>
      <c r="C25" s="5">
        <v>0</v>
      </c>
      <c r="D25" s="5">
        <v>983</v>
      </c>
      <c r="E25" s="5">
        <v>230</v>
      </c>
      <c r="F25" s="5">
        <v>168</v>
      </c>
      <c r="G25" s="5">
        <v>269</v>
      </c>
      <c r="H25" s="5">
        <f t="shared" si="1"/>
        <v>4464</v>
      </c>
      <c r="I25" s="5">
        <v>0</v>
      </c>
      <c r="J25" s="9"/>
      <c r="K25" s="5">
        <v>20</v>
      </c>
      <c r="L25" s="5">
        <v>1</v>
      </c>
      <c r="M25" s="5">
        <v>10</v>
      </c>
      <c r="N25" s="5">
        <v>3</v>
      </c>
      <c r="O25" s="5">
        <f t="shared" si="0"/>
        <v>14</v>
      </c>
      <c r="P25" s="7">
        <f t="shared" si="2"/>
        <v>6135</v>
      </c>
    </row>
    <row r="26" spans="1:26" ht="18" customHeight="1" thickTop="1" thickBot="1" x14ac:dyDescent="0.35">
      <c r="A26" s="4">
        <v>21</v>
      </c>
      <c r="B26" s="5">
        <f>2488+15</f>
        <v>2503</v>
      </c>
      <c r="C26" s="5">
        <v>2</v>
      </c>
      <c r="D26" s="5">
        <v>1095</v>
      </c>
      <c r="E26" s="5">
        <v>217</v>
      </c>
      <c r="F26" s="5">
        <v>180</v>
      </c>
      <c r="G26" s="5">
        <v>213</v>
      </c>
      <c r="H26" s="5">
        <f t="shared" si="1"/>
        <v>4210</v>
      </c>
      <c r="I26" s="5">
        <v>0</v>
      </c>
      <c r="J26" s="9"/>
      <c r="K26" s="5">
        <v>21</v>
      </c>
      <c r="L26" s="5">
        <v>2</v>
      </c>
      <c r="M26" s="5">
        <v>9</v>
      </c>
      <c r="N26" s="5">
        <v>1</v>
      </c>
      <c r="O26" s="5">
        <f t="shared" si="0"/>
        <v>12</v>
      </c>
      <c r="P26" s="7">
        <f t="shared" si="2"/>
        <v>6135</v>
      </c>
    </row>
    <row r="27" spans="1:26" ht="18" customHeight="1" thickTop="1" thickBot="1" x14ac:dyDescent="0.35">
      <c r="A27" s="4">
        <v>22</v>
      </c>
      <c r="B27" s="5">
        <f>2371+13</f>
        <v>2384</v>
      </c>
      <c r="C27" s="5">
        <v>3</v>
      </c>
      <c r="D27" s="5">
        <v>1085</v>
      </c>
      <c r="E27" s="5">
        <v>182</v>
      </c>
      <c r="F27" s="5">
        <v>194</v>
      </c>
      <c r="G27" s="5">
        <v>299</v>
      </c>
      <c r="H27" s="5">
        <f t="shared" si="1"/>
        <v>4147</v>
      </c>
      <c r="I27" s="5">
        <v>0</v>
      </c>
      <c r="J27" s="9"/>
      <c r="K27" s="5">
        <v>22</v>
      </c>
      <c r="L27" s="5">
        <v>2</v>
      </c>
      <c r="M27" s="5">
        <v>6</v>
      </c>
      <c r="N27" s="5">
        <v>1</v>
      </c>
      <c r="O27" s="5">
        <f t="shared" si="0"/>
        <v>9</v>
      </c>
      <c r="P27" s="7">
        <f t="shared" si="2"/>
        <v>6135</v>
      </c>
    </row>
    <row r="28" spans="1:26" ht="18" customHeight="1" thickTop="1" thickBot="1" x14ac:dyDescent="0.35">
      <c r="A28" s="4">
        <v>23</v>
      </c>
      <c r="B28" s="5">
        <f>2495+23</f>
        <v>2518</v>
      </c>
      <c r="C28" s="5">
        <v>3</v>
      </c>
      <c r="D28" s="5">
        <v>1091</v>
      </c>
      <c r="E28" s="5">
        <v>187</v>
      </c>
      <c r="F28" s="5">
        <v>180</v>
      </c>
      <c r="G28" s="5">
        <v>268</v>
      </c>
      <c r="H28" s="5">
        <f t="shared" si="1"/>
        <v>4247</v>
      </c>
      <c r="I28" s="5">
        <v>0</v>
      </c>
      <c r="J28" s="9"/>
      <c r="K28" s="5">
        <v>23</v>
      </c>
      <c r="L28" s="5">
        <v>0</v>
      </c>
      <c r="M28" s="5">
        <v>4</v>
      </c>
      <c r="N28" s="5">
        <v>3</v>
      </c>
      <c r="O28" s="5">
        <f t="shared" si="0"/>
        <v>7</v>
      </c>
      <c r="P28" s="7">
        <f t="shared" si="2"/>
        <v>6135</v>
      </c>
    </row>
    <row r="29" spans="1:26" ht="18" customHeight="1" thickTop="1" thickBot="1" x14ac:dyDescent="0.35">
      <c r="A29" s="4">
        <v>24</v>
      </c>
      <c r="B29" s="5">
        <f>3515+17</f>
        <v>3532</v>
      </c>
      <c r="C29" s="5">
        <v>4</v>
      </c>
      <c r="D29" s="5">
        <v>1147</v>
      </c>
      <c r="E29" s="5">
        <v>175</v>
      </c>
      <c r="F29" s="5">
        <v>184</v>
      </c>
      <c r="G29" s="5">
        <v>243</v>
      </c>
      <c r="H29" s="5">
        <f t="shared" si="1"/>
        <v>5285</v>
      </c>
      <c r="I29" s="5">
        <v>0</v>
      </c>
      <c r="J29" s="9"/>
      <c r="K29" s="5">
        <v>24</v>
      </c>
      <c r="L29" s="5">
        <v>2</v>
      </c>
      <c r="M29" s="5">
        <v>6</v>
      </c>
      <c r="N29" s="5">
        <v>2</v>
      </c>
      <c r="O29" s="5">
        <f t="shared" si="0"/>
        <v>10</v>
      </c>
      <c r="P29" s="7">
        <f t="shared" si="2"/>
        <v>6135</v>
      </c>
    </row>
    <row r="30" spans="1:26" s="12" customFormat="1" ht="18" customHeight="1" thickTop="1" thickBot="1" x14ac:dyDescent="0.3">
      <c r="A30" s="4">
        <v>25</v>
      </c>
      <c r="B30" s="5">
        <f>4209+15</f>
        <v>4224</v>
      </c>
      <c r="C30" s="5">
        <v>2</v>
      </c>
      <c r="D30" s="5">
        <v>1044</v>
      </c>
      <c r="E30" s="5">
        <v>181</v>
      </c>
      <c r="F30" s="5">
        <v>160</v>
      </c>
      <c r="G30" s="5">
        <v>210</v>
      </c>
      <c r="H30" s="5">
        <f t="shared" si="1"/>
        <v>5821</v>
      </c>
      <c r="I30" s="5">
        <v>0</v>
      </c>
      <c r="J30" s="9"/>
      <c r="K30" s="5">
        <v>25</v>
      </c>
      <c r="L30" s="5">
        <v>0</v>
      </c>
      <c r="M30" s="5">
        <v>8</v>
      </c>
      <c r="N30" s="5">
        <v>0</v>
      </c>
      <c r="O30" s="5">
        <f t="shared" si="0"/>
        <v>8</v>
      </c>
      <c r="P30" s="7">
        <f t="shared" si="2"/>
        <v>6135</v>
      </c>
    </row>
    <row r="31" spans="1:26" ht="18" customHeight="1" thickTop="1" thickBot="1" x14ac:dyDescent="0.35">
      <c r="A31" s="4">
        <v>26</v>
      </c>
      <c r="B31" s="5">
        <f>5561+5</f>
        <v>5566</v>
      </c>
      <c r="C31" s="5">
        <v>4</v>
      </c>
      <c r="D31" s="5">
        <v>769</v>
      </c>
      <c r="E31" s="5">
        <v>61</v>
      </c>
      <c r="F31" s="5">
        <v>80</v>
      </c>
      <c r="G31" s="5">
        <v>125</v>
      </c>
      <c r="H31" s="5">
        <f t="shared" si="1"/>
        <v>6605</v>
      </c>
      <c r="I31" s="5">
        <v>0</v>
      </c>
      <c r="J31" s="9"/>
      <c r="K31" s="5">
        <v>26</v>
      </c>
      <c r="L31" s="5">
        <v>0</v>
      </c>
      <c r="M31" s="5">
        <v>2</v>
      </c>
      <c r="N31" s="5">
        <v>0</v>
      </c>
      <c r="O31" s="5">
        <f t="shared" si="0"/>
        <v>2</v>
      </c>
      <c r="P31" s="7">
        <f t="shared" si="2"/>
        <v>6135</v>
      </c>
    </row>
    <row r="32" spans="1:26" ht="18" customHeight="1" thickTop="1" thickBot="1" x14ac:dyDescent="0.35">
      <c r="A32" s="4">
        <v>27</v>
      </c>
      <c r="B32" s="5">
        <f>2450+15</f>
        <v>2465</v>
      </c>
      <c r="C32" s="5">
        <v>2</v>
      </c>
      <c r="D32" s="5">
        <v>979</v>
      </c>
      <c r="E32" s="5">
        <v>184</v>
      </c>
      <c r="F32" s="5">
        <v>134</v>
      </c>
      <c r="G32" s="5">
        <v>211</v>
      </c>
      <c r="H32" s="5">
        <f t="shared" si="1"/>
        <v>3975</v>
      </c>
      <c r="I32" s="5">
        <v>0</v>
      </c>
      <c r="J32" s="9"/>
      <c r="K32" s="5">
        <v>27</v>
      </c>
      <c r="L32" s="5">
        <v>1</v>
      </c>
      <c r="M32" s="5">
        <v>11</v>
      </c>
      <c r="N32" s="5">
        <v>0</v>
      </c>
      <c r="O32" s="5">
        <f t="shared" si="0"/>
        <v>12</v>
      </c>
      <c r="P32" s="7">
        <f t="shared" si="2"/>
        <v>6135</v>
      </c>
    </row>
    <row r="33" spans="1:17" ht="15.75" customHeight="1" thickTop="1" thickBot="1" x14ac:dyDescent="0.35">
      <c r="A33" s="4">
        <v>28</v>
      </c>
      <c r="B33" s="5">
        <f>2099+22</f>
        <v>2121</v>
      </c>
      <c r="C33" s="5">
        <v>2</v>
      </c>
      <c r="D33" s="5">
        <v>1081</v>
      </c>
      <c r="E33" s="5">
        <v>181</v>
      </c>
      <c r="F33" s="5">
        <v>151</v>
      </c>
      <c r="G33" s="5">
        <v>239</v>
      </c>
      <c r="H33" s="5">
        <f t="shared" si="1"/>
        <v>3775</v>
      </c>
      <c r="I33" s="5">
        <v>0</v>
      </c>
      <c r="J33" s="9"/>
      <c r="K33" s="5">
        <v>28</v>
      </c>
      <c r="L33" s="5">
        <v>0</v>
      </c>
      <c r="M33" s="5">
        <v>8</v>
      </c>
      <c r="N33" s="5">
        <v>2</v>
      </c>
      <c r="O33" s="5">
        <f t="shared" si="0"/>
        <v>10</v>
      </c>
      <c r="P33" s="7">
        <f t="shared" si="2"/>
        <v>6135</v>
      </c>
    </row>
    <row r="34" spans="1:17" s="12" customFormat="1" ht="17.25" customHeight="1" thickTop="1" thickBot="1" x14ac:dyDescent="0.3">
      <c r="A34" s="4">
        <v>29</v>
      </c>
      <c r="B34" s="5">
        <f>2219+28</f>
        <v>2247</v>
      </c>
      <c r="C34" s="5">
        <v>4</v>
      </c>
      <c r="D34" s="5">
        <v>1072</v>
      </c>
      <c r="E34" s="5">
        <v>198</v>
      </c>
      <c r="F34" s="5">
        <v>203</v>
      </c>
      <c r="G34" s="5">
        <v>253</v>
      </c>
      <c r="H34" s="5">
        <f t="shared" si="1"/>
        <v>3977</v>
      </c>
      <c r="I34" s="5">
        <v>0</v>
      </c>
      <c r="J34" s="9"/>
      <c r="K34" s="5">
        <v>29</v>
      </c>
      <c r="L34" s="5">
        <v>0</v>
      </c>
      <c r="M34" s="5">
        <v>6</v>
      </c>
      <c r="N34" s="5">
        <v>4</v>
      </c>
      <c r="O34" s="5">
        <f>SUM(L34:N34)</f>
        <v>10</v>
      </c>
      <c r="P34" s="7">
        <f t="shared" si="2"/>
        <v>6135</v>
      </c>
    </row>
    <row r="35" spans="1:17" s="12" customFormat="1" ht="17.25" customHeight="1" thickTop="1" thickBot="1" x14ac:dyDescent="0.3">
      <c r="A35" s="4">
        <v>30</v>
      </c>
      <c r="B35" s="5">
        <f>2229+20</f>
        <v>2249</v>
      </c>
      <c r="C35" s="5">
        <v>0</v>
      </c>
      <c r="D35" s="5">
        <v>1198</v>
      </c>
      <c r="E35" s="5">
        <v>296</v>
      </c>
      <c r="F35" s="5">
        <v>157</v>
      </c>
      <c r="G35" s="5">
        <v>273</v>
      </c>
      <c r="H35" s="5">
        <f t="shared" si="1"/>
        <v>4173</v>
      </c>
      <c r="I35" s="5">
        <v>0</v>
      </c>
      <c r="J35" s="9"/>
      <c r="K35" s="5">
        <v>30</v>
      </c>
      <c r="L35" s="5">
        <v>0</v>
      </c>
      <c r="M35" s="5">
        <v>22</v>
      </c>
      <c r="N35" s="5">
        <v>6</v>
      </c>
      <c r="O35" s="5">
        <f>SUM(L35:N35)</f>
        <v>28</v>
      </c>
      <c r="P35" s="7">
        <f t="shared" si="2"/>
        <v>6135</v>
      </c>
    </row>
    <row r="36" spans="1:17" s="12" customFormat="1" ht="17.25" customHeight="1" thickTop="1" thickBot="1" x14ac:dyDescent="0.3">
      <c r="A36" s="4">
        <v>31</v>
      </c>
      <c r="B36" s="5">
        <f>3277+10</f>
        <v>3287</v>
      </c>
      <c r="C36" s="5">
        <v>0</v>
      </c>
      <c r="D36" s="5">
        <v>1161</v>
      </c>
      <c r="E36" s="5">
        <v>226</v>
      </c>
      <c r="F36" s="5">
        <v>140</v>
      </c>
      <c r="G36" s="5">
        <v>219</v>
      </c>
      <c r="H36" s="5">
        <f t="shared" si="1"/>
        <v>5033</v>
      </c>
      <c r="I36" s="5">
        <v>0</v>
      </c>
      <c r="J36" s="9"/>
      <c r="K36" s="5">
        <v>31</v>
      </c>
      <c r="L36" s="5">
        <v>0</v>
      </c>
      <c r="M36" s="5">
        <v>10</v>
      </c>
      <c r="N36" s="5">
        <v>3</v>
      </c>
      <c r="O36" s="5">
        <f>SUM(L36:N36)</f>
        <v>13</v>
      </c>
      <c r="P36" s="7">
        <f t="shared" si="2"/>
        <v>6135</v>
      </c>
    </row>
    <row r="37" spans="1:17" ht="18" customHeight="1" thickTop="1" x14ac:dyDescent="0.3">
      <c r="A37" s="3" t="s">
        <v>19</v>
      </c>
      <c r="B37" s="14" t="e">
        <f>+#REF!+#REF!</f>
        <v>#REF!</v>
      </c>
      <c r="C37" s="14" t="e">
        <f>+#REF!+#REF!</f>
        <v>#REF!</v>
      </c>
      <c r="D37" s="14" t="e">
        <f>+#REF!+#REF!</f>
        <v>#REF!</v>
      </c>
      <c r="E37" s="14" t="e">
        <f>+#REF!+#REF!</f>
        <v>#REF!</v>
      </c>
      <c r="F37" s="14" t="e">
        <f>+#REF!+#REF!</f>
        <v>#REF!</v>
      </c>
      <c r="G37" s="14" t="e">
        <f>+#REF!+#REF!</f>
        <v>#REF!</v>
      </c>
      <c r="H37" s="14" t="e">
        <f>+#REF!+#REF!</f>
        <v>#REF!</v>
      </c>
      <c r="I37" s="14" t="e">
        <f>+#REF!+#REF!</f>
        <v>#REF!</v>
      </c>
      <c r="J37" s="14" t="e">
        <f>+#REF!+#REF!</f>
        <v>#REF!</v>
      </c>
      <c r="K37" s="14" t="s">
        <v>19</v>
      </c>
      <c r="L37" s="14" t="e">
        <f>+#REF!+#REF!</f>
        <v>#REF!</v>
      </c>
      <c r="M37" s="14" t="e">
        <f>+#REF!+#REF!</f>
        <v>#REF!</v>
      </c>
      <c r="N37" s="14" t="e">
        <f>+#REF!+#REF!</f>
        <v>#REF!</v>
      </c>
      <c r="O37" s="14" t="e">
        <f>+#REF!+#REF!</f>
        <v>#REF!</v>
      </c>
      <c r="P37" s="12"/>
      <c r="Q37" s="12"/>
    </row>
    <row r="38" spans="1:17" ht="18" customHeight="1" x14ac:dyDescent="0.3">
      <c r="A38" s="3" t="s">
        <v>19</v>
      </c>
      <c r="B38" s="47" t="e">
        <f>+B37+C37</f>
        <v>#REF!</v>
      </c>
      <c r="C38" s="47"/>
      <c r="D38" s="14" t="e">
        <f t="shared" ref="D38:H38" si="3">+D37</f>
        <v>#REF!</v>
      </c>
      <c r="E38" s="14" t="e">
        <f t="shared" si="3"/>
        <v>#REF!</v>
      </c>
      <c r="F38" s="14" t="e">
        <f t="shared" si="3"/>
        <v>#REF!</v>
      </c>
      <c r="G38" s="14" t="e">
        <f t="shared" si="3"/>
        <v>#REF!</v>
      </c>
      <c r="H38" s="14" t="e">
        <f t="shared" si="3"/>
        <v>#REF!</v>
      </c>
      <c r="I38" s="14">
        <v>0</v>
      </c>
      <c r="J38" s="15"/>
      <c r="K38" s="3" t="s">
        <v>20</v>
      </c>
      <c r="L38" s="16" t="s">
        <v>21</v>
      </c>
      <c r="M38" s="16" t="s">
        <v>22</v>
      </c>
      <c r="N38" s="16" t="s">
        <v>21</v>
      </c>
      <c r="O38" s="16" t="s">
        <v>22</v>
      </c>
      <c r="P38" s="12"/>
      <c r="Q38" s="12"/>
    </row>
    <row r="39" spans="1:17" ht="17.399999999999999" x14ac:dyDescent="0.3">
      <c r="A39" s="20"/>
      <c r="B39" s="21"/>
      <c r="C39" s="21"/>
      <c r="D39" s="21"/>
      <c r="E39" s="21"/>
      <c r="F39" s="21"/>
      <c r="G39" s="21"/>
      <c r="H39" s="21"/>
      <c r="I39" s="21"/>
      <c r="J39" s="22"/>
      <c r="K39" s="23"/>
      <c r="L39" s="23"/>
    </row>
    <row r="40" spans="1:17" ht="17.399999999999999" x14ac:dyDescent="0.3">
      <c r="A40" s="8"/>
      <c r="H40" s="8"/>
      <c r="K40" s="23"/>
      <c r="L40" s="23"/>
    </row>
    <row r="41" spans="1:17" ht="17.399999999999999" x14ac:dyDescent="0.3">
      <c r="A41" s="24"/>
      <c r="K41" s="23"/>
      <c r="L41" s="23"/>
    </row>
    <row r="42" spans="1:17" ht="15.6" x14ac:dyDescent="0.3">
      <c r="A42" s="24"/>
      <c r="I42" s="8"/>
      <c r="J42" s="8"/>
    </row>
    <row r="44" spans="1:17" x14ac:dyDescent="0.3">
      <c r="A44" s="25"/>
    </row>
    <row r="45" spans="1:17" x14ac:dyDescent="0.3">
      <c r="A45" s="2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B5D1-2139-4E59-9A64-93B1002A72DC}">
  <dimension ref="A1:Z46"/>
  <sheetViews>
    <sheetView topLeftCell="A17" workbookViewId="0">
      <selection activeCell="D15" sqref="D15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9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9" ht="15.6" x14ac:dyDescent="0.3">
      <c r="A3" s="49" t="s">
        <v>26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9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9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9" ht="18" customHeight="1" thickBot="1" x14ac:dyDescent="0.35">
      <c r="A6" s="4">
        <v>1</v>
      </c>
      <c r="B6" s="5">
        <f>3932+14</f>
        <v>3946</v>
      </c>
      <c r="C6" s="5">
        <v>0</v>
      </c>
      <c r="D6" s="5">
        <f>968+23</f>
        <v>991</v>
      </c>
      <c r="E6" s="5">
        <v>125</v>
      </c>
      <c r="F6" s="5">
        <v>139</v>
      </c>
      <c r="G6" s="5">
        <v>197</v>
      </c>
      <c r="H6" s="5">
        <f>SUM(B6:G6)</f>
        <v>5398</v>
      </c>
      <c r="I6" s="5">
        <v>0</v>
      </c>
      <c r="J6" s="6"/>
      <c r="K6" s="5">
        <v>1</v>
      </c>
      <c r="L6" s="5">
        <v>0</v>
      </c>
      <c r="M6" s="5">
        <v>5</v>
      </c>
      <c r="N6" s="5">
        <v>2</v>
      </c>
      <c r="O6" s="5">
        <f>SUM(L6:N6)</f>
        <v>7</v>
      </c>
      <c r="P6" s="7">
        <v>6135</v>
      </c>
    </row>
    <row r="7" spans="1:19" ht="18" customHeight="1" thickTop="1" thickBot="1" x14ac:dyDescent="0.35">
      <c r="A7" s="4">
        <v>2</v>
      </c>
      <c r="B7" s="5">
        <f>5350+10</f>
        <v>5360</v>
      </c>
      <c r="C7" s="5">
        <v>0</v>
      </c>
      <c r="D7" s="5">
        <v>721</v>
      </c>
      <c r="E7" s="5">
        <v>76</v>
      </c>
      <c r="F7" s="5">
        <v>63</v>
      </c>
      <c r="G7" s="5">
        <v>139</v>
      </c>
      <c r="H7" s="5">
        <f>SUM(B7:G7)</f>
        <v>6359</v>
      </c>
      <c r="I7" s="5">
        <v>0</v>
      </c>
      <c r="J7" s="6"/>
      <c r="K7" s="5">
        <v>2</v>
      </c>
      <c r="L7" s="5">
        <v>0</v>
      </c>
      <c r="M7" s="5">
        <v>4</v>
      </c>
      <c r="N7" s="5">
        <v>0</v>
      </c>
      <c r="O7" s="5">
        <f t="shared" ref="O7:O33" si="0">SUM(L7:N7)</f>
        <v>4</v>
      </c>
      <c r="P7" s="7">
        <f>+P6</f>
        <v>6135</v>
      </c>
    </row>
    <row r="8" spans="1:19" ht="18" customHeight="1" thickTop="1" thickBot="1" x14ac:dyDescent="0.35">
      <c r="A8" s="4">
        <v>3</v>
      </c>
      <c r="B8" s="5">
        <f>2148+27</f>
        <v>2175</v>
      </c>
      <c r="C8" s="5">
        <v>4</v>
      </c>
      <c r="D8" s="5">
        <v>1077</v>
      </c>
      <c r="E8" s="5">
        <v>213</v>
      </c>
      <c r="F8" s="5">
        <v>134</v>
      </c>
      <c r="G8" s="5">
        <v>226</v>
      </c>
      <c r="H8" s="5">
        <f t="shared" ref="H8:H36" si="1">SUM(B8:G8)</f>
        <v>3829</v>
      </c>
      <c r="I8" s="5">
        <v>0</v>
      </c>
      <c r="J8" s="6"/>
      <c r="K8" s="5">
        <v>3</v>
      </c>
      <c r="L8" s="5">
        <v>0</v>
      </c>
      <c r="M8" s="5">
        <v>4</v>
      </c>
      <c r="N8" s="5">
        <v>2</v>
      </c>
      <c r="O8" s="5">
        <f t="shared" si="0"/>
        <v>6</v>
      </c>
      <c r="P8" s="7">
        <f t="shared" ref="P8:P36" si="2">+P7</f>
        <v>6135</v>
      </c>
      <c r="S8" s="8"/>
    </row>
    <row r="9" spans="1:19" ht="18" customHeight="1" thickTop="1" thickBot="1" x14ac:dyDescent="0.35">
      <c r="A9" s="4">
        <v>4</v>
      </c>
      <c r="B9" s="5">
        <f>1943+24</f>
        <v>1967</v>
      </c>
      <c r="C9" s="5">
        <v>4</v>
      </c>
      <c r="D9" s="5">
        <v>1144</v>
      </c>
      <c r="E9" s="5">
        <v>191</v>
      </c>
      <c r="F9" s="5">
        <v>134</v>
      </c>
      <c r="G9" s="5">
        <v>193</v>
      </c>
      <c r="H9" s="5">
        <f t="shared" si="1"/>
        <v>3633</v>
      </c>
      <c r="I9" s="5">
        <v>0</v>
      </c>
      <c r="J9" s="6"/>
      <c r="K9" s="5">
        <v>4</v>
      </c>
      <c r="L9" s="5">
        <v>1</v>
      </c>
      <c r="M9" s="5">
        <v>13</v>
      </c>
      <c r="N9" s="5">
        <v>0</v>
      </c>
      <c r="O9" s="5">
        <f t="shared" si="0"/>
        <v>14</v>
      </c>
      <c r="P9" s="7">
        <f t="shared" si="2"/>
        <v>6135</v>
      </c>
    </row>
    <row r="10" spans="1:19" ht="18" customHeight="1" thickTop="1" thickBot="1" x14ac:dyDescent="0.35">
      <c r="A10" s="4">
        <v>5</v>
      </c>
      <c r="B10" s="5">
        <f>1995+16</f>
        <v>2011</v>
      </c>
      <c r="C10" s="5">
        <v>8</v>
      </c>
      <c r="D10" s="5">
        <v>1161</v>
      </c>
      <c r="E10" s="5">
        <v>160</v>
      </c>
      <c r="F10" s="5">
        <v>144</v>
      </c>
      <c r="G10" s="5">
        <v>258</v>
      </c>
      <c r="H10" s="5">
        <f t="shared" si="1"/>
        <v>3742</v>
      </c>
      <c r="I10" s="5">
        <v>0</v>
      </c>
      <c r="J10" s="6"/>
      <c r="K10" s="5">
        <v>5</v>
      </c>
      <c r="L10" s="5">
        <v>0</v>
      </c>
      <c r="M10" s="5">
        <v>10</v>
      </c>
      <c r="N10" s="5">
        <v>1</v>
      </c>
      <c r="O10" s="5">
        <f t="shared" si="0"/>
        <v>11</v>
      </c>
      <c r="P10" s="7">
        <f t="shared" si="2"/>
        <v>6135</v>
      </c>
    </row>
    <row r="11" spans="1:19" ht="18" customHeight="1" thickTop="1" thickBot="1" x14ac:dyDescent="0.35">
      <c r="A11" s="4">
        <v>6</v>
      </c>
      <c r="B11" s="5">
        <f>1833+27</f>
        <v>1860</v>
      </c>
      <c r="C11" s="5">
        <v>0</v>
      </c>
      <c r="D11" s="5">
        <v>1165</v>
      </c>
      <c r="E11" s="5">
        <v>158</v>
      </c>
      <c r="F11" s="5">
        <v>168</v>
      </c>
      <c r="G11" s="5">
        <v>249</v>
      </c>
      <c r="H11" s="5">
        <f t="shared" si="1"/>
        <v>3600</v>
      </c>
      <c r="I11" s="5">
        <v>0</v>
      </c>
      <c r="J11" s="6"/>
      <c r="K11" s="5">
        <v>6</v>
      </c>
      <c r="L11" s="5">
        <v>0</v>
      </c>
      <c r="M11" s="5">
        <v>18</v>
      </c>
      <c r="N11" s="5">
        <v>1</v>
      </c>
      <c r="O11" s="5">
        <f t="shared" si="0"/>
        <v>19</v>
      </c>
      <c r="P11" s="7">
        <f t="shared" si="2"/>
        <v>6135</v>
      </c>
    </row>
    <row r="12" spans="1:19" ht="18" customHeight="1" thickTop="1" thickBot="1" x14ac:dyDescent="0.35">
      <c r="A12" s="4">
        <v>7</v>
      </c>
      <c r="B12" s="5">
        <f>3154+23</f>
        <v>3177</v>
      </c>
      <c r="C12" s="5">
        <v>6</v>
      </c>
      <c r="D12" s="5">
        <v>1068</v>
      </c>
      <c r="E12" s="5">
        <v>190</v>
      </c>
      <c r="F12" s="5">
        <v>133</v>
      </c>
      <c r="G12" s="5">
        <v>220</v>
      </c>
      <c r="H12" s="5">
        <f t="shared" si="1"/>
        <v>4794</v>
      </c>
      <c r="I12" s="5">
        <v>0</v>
      </c>
      <c r="J12" s="9"/>
      <c r="K12" s="5">
        <v>7</v>
      </c>
      <c r="L12" s="5">
        <v>1</v>
      </c>
      <c r="M12" s="5">
        <v>10</v>
      </c>
      <c r="N12" s="5">
        <v>0</v>
      </c>
      <c r="O12" s="5">
        <f t="shared" si="0"/>
        <v>11</v>
      </c>
      <c r="P12" s="7">
        <f t="shared" si="2"/>
        <v>6135</v>
      </c>
    </row>
    <row r="13" spans="1:19" ht="18" customHeight="1" thickTop="1" thickBot="1" x14ac:dyDescent="0.35">
      <c r="A13" s="4">
        <v>8</v>
      </c>
      <c r="B13" s="5">
        <f>3674+17</f>
        <v>3691</v>
      </c>
      <c r="C13" s="5">
        <v>2</v>
      </c>
      <c r="D13" s="5">
        <v>953</v>
      </c>
      <c r="E13" s="5">
        <v>117</v>
      </c>
      <c r="F13" s="5">
        <v>170</v>
      </c>
      <c r="G13" s="5">
        <v>195</v>
      </c>
      <c r="H13" s="5">
        <f t="shared" si="1"/>
        <v>5128</v>
      </c>
      <c r="I13" s="5">
        <v>0</v>
      </c>
      <c r="J13" s="9"/>
      <c r="K13" s="5">
        <v>8</v>
      </c>
      <c r="L13" s="5">
        <v>2</v>
      </c>
      <c r="M13" s="5">
        <v>7</v>
      </c>
      <c r="N13" s="5">
        <v>1</v>
      </c>
      <c r="O13" s="5">
        <f t="shared" si="0"/>
        <v>10</v>
      </c>
      <c r="P13" s="7">
        <f t="shared" si="2"/>
        <v>6135</v>
      </c>
    </row>
    <row r="14" spans="1:19" s="11" customFormat="1" ht="18" customHeight="1" thickTop="1" thickBot="1" x14ac:dyDescent="0.35">
      <c r="A14" s="4">
        <v>9</v>
      </c>
      <c r="B14" s="5">
        <f>5037+20</f>
        <v>5057</v>
      </c>
      <c r="C14" s="5">
        <v>0</v>
      </c>
      <c r="D14" s="5">
        <v>715</v>
      </c>
      <c r="E14" s="5">
        <v>76</v>
      </c>
      <c r="F14" s="5">
        <v>76</v>
      </c>
      <c r="G14" s="5">
        <v>148</v>
      </c>
      <c r="H14" s="5">
        <f t="shared" si="1"/>
        <v>6072</v>
      </c>
      <c r="I14" s="5">
        <v>0</v>
      </c>
      <c r="J14" s="9"/>
      <c r="K14" s="5">
        <v>9</v>
      </c>
      <c r="L14" s="5">
        <v>0</v>
      </c>
      <c r="M14" s="5">
        <v>4</v>
      </c>
      <c r="N14" s="5">
        <v>0</v>
      </c>
      <c r="O14" s="5">
        <f t="shared" si="0"/>
        <v>4</v>
      </c>
      <c r="P14" s="10">
        <f t="shared" si="2"/>
        <v>6135</v>
      </c>
    </row>
    <row r="15" spans="1:19" ht="18" customHeight="1" thickTop="1" thickBot="1" x14ac:dyDescent="0.35">
      <c r="A15" s="4">
        <v>10</v>
      </c>
      <c r="B15" s="5">
        <f>2011+18</f>
        <v>2029</v>
      </c>
      <c r="C15" s="5">
        <v>6</v>
      </c>
      <c r="D15" s="5">
        <v>971</v>
      </c>
      <c r="E15" s="5">
        <v>157</v>
      </c>
      <c r="F15" s="5">
        <v>140</v>
      </c>
      <c r="G15" s="5">
        <v>230</v>
      </c>
      <c r="H15" s="5">
        <f t="shared" si="1"/>
        <v>3533</v>
      </c>
      <c r="I15" s="5">
        <v>0</v>
      </c>
      <c r="J15" s="9"/>
      <c r="K15" s="5">
        <v>10</v>
      </c>
      <c r="L15" s="5">
        <v>0</v>
      </c>
      <c r="M15" s="5">
        <v>14</v>
      </c>
      <c r="N15" s="5">
        <v>1</v>
      </c>
      <c r="O15" s="5">
        <f t="shared" si="0"/>
        <v>15</v>
      </c>
      <c r="P15" s="7">
        <f t="shared" si="2"/>
        <v>6135</v>
      </c>
    </row>
    <row r="16" spans="1:19" ht="18" customHeight="1" thickTop="1" thickBot="1" x14ac:dyDescent="0.35">
      <c r="A16" s="4">
        <v>11</v>
      </c>
      <c r="B16" s="5">
        <f>1822+31</f>
        <v>1853</v>
      </c>
      <c r="C16" s="5">
        <v>6</v>
      </c>
      <c r="D16" s="5">
        <f>994+8</f>
        <v>1002</v>
      </c>
      <c r="E16" s="5">
        <v>166</v>
      </c>
      <c r="F16" s="5">
        <v>155</v>
      </c>
      <c r="G16" s="5">
        <v>229</v>
      </c>
      <c r="H16" s="5">
        <f t="shared" si="1"/>
        <v>3411</v>
      </c>
      <c r="I16" s="5">
        <v>0</v>
      </c>
      <c r="J16" s="9"/>
      <c r="K16" s="5">
        <v>11</v>
      </c>
      <c r="L16" s="5">
        <v>0</v>
      </c>
      <c r="M16" s="5">
        <v>15</v>
      </c>
      <c r="N16" s="5">
        <v>1</v>
      </c>
      <c r="O16" s="5">
        <f t="shared" si="0"/>
        <v>16</v>
      </c>
      <c r="P16" s="7">
        <f t="shared" si="2"/>
        <v>6135</v>
      </c>
      <c r="Q16" s="12"/>
    </row>
    <row r="17" spans="1:26" ht="18" customHeight="1" thickTop="1" thickBot="1" x14ac:dyDescent="0.35">
      <c r="A17" s="4">
        <v>12</v>
      </c>
      <c r="B17" s="5">
        <f>1846+28</f>
        <v>1874</v>
      </c>
      <c r="C17" s="5">
        <v>4</v>
      </c>
      <c r="D17" s="5">
        <v>1103</v>
      </c>
      <c r="E17" s="5">
        <v>153</v>
      </c>
      <c r="F17" s="5">
        <v>162</v>
      </c>
      <c r="G17" s="5">
        <v>248</v>
      </c>
      <c r="H17" s="5">
        <f t="shared" si="1"/>
        <v>3544</v>
      </c>
      <c r="I17" s="5">
        <v>0</v>
      </c>
      <c r="J17" s="9"/>
      <c r="K17" s="5">
        <v>12</v>
      </c>
      <c r="L17" s="5">
        <v>1</v>
      </c>
      <c r="M17" s="5">
        <v>24</v>
      </c>
      <c r="N17" s="5">
        <v>0</v>
      </c>
      <c r="O17" s="5">
        <f t="shared" si="0"/>
        <v>25</v>
      </c>
      <c r="P17" s="7">
        <f t="shared" si="2"/>
        <v>6135</v>
      </c>
    </row>
    <row r="18" spans="1:26" ht="18" customHeight="1" thickTop="1" thickBot="1" x14ac:dyDescent="0.35">
      <c r="A18" s="4">
        <v>13</v>
      </c>
      <c r="B18" s="5">
        <f>2077+26</f>
        <v>2103</v>
      </c>
      <c r="C18" s="5">
        <v>4</v>
      </c>
      <c r="D18" s="5">
        <f>1139+8</f>
        <v>1147</v>
      </c>
      <c r="E18" s="5">
        <v>187</v>
      </c>
      <c r="F18" s="5">
        <v>153</v>
      </c>
      <c r="G18" s="5">
        <v>248</v>
      </c>
      <c r="H18" s="5">
        <f t="shared" si="1"/>
        <v>3842</v>
      </c>
      <c r="I18" s="5">
        <v>0</v>
      </c>
      <c r="J18" s="9"/>
      <c r="K18" s="5">
        <v>13</v>
      </c>
      <c r="L18" s="5">
        <v>0</v>
      </c>
      <c r="M18" s="5">
        <v>23</v>
      </c>
      <c r="N18" s="5">
        <v>1</v>
      </c>
      <c r="O18" s="5">
        <f t="shared" si="0"/>
        <v>24</v>
      </c>
      <c r="P18" s="7">
        <f t="shared" si="2"/>
        <v>6135</v>
      </c>
    </row>
    <row r="19" spans="1:26" ht="18" customHeight="1" thickTop="1" thickBot="1" x14ac:dyDescent="0.35">
      <c r="A19" s="4">
        <v>14</v>
      </c>
      <c r="B19" s="5">
        <f>3080+20</f>
        <v>3100</v>
      </c>
      <c r="C19" s="5">
        <v>7</v>
      </c>
      <c r="D19" s="5">
        <f>1097+7</f>
        <v>1104</v>
      </c>
      <c r="E19" s="5">
        <v>168</v>
      </c>
      <c r="F19" s="5">
        <v>144</v>
      </c>
      <c r="G19" s="5">
        <v>260</v>
      </c>
      <c r="H19" s="5">
        <f t="shared" si="1"/>
        <v>4783</v>
      </c>
      <c r="I19" s="5">
        <v>0</v>
      </c>
      <c r="J19" s="9"/>
      <c r="K19" s="5">
        <v>14</v>
      </c>
      <c r="L19" s="5">
        <v>0</v>
      </c>
      <c r="M19" s="5">
        <v>10</v>
      </c>
      <c r="N19" s="5">
        <v>1</v>
      </c>
      <c r="O19" s="5">
        <f t="shared" si="0"/>
        <v>11</v>
      </c>
      <c r="P19" s="7">
        <f t="shared" si="2"/>
        <v>6135</v>
      </c>
    </row>
    <row r="20" spans="1:26" ht="18" customHeight="1" thickTop="1" thickBot="1" x14ac:dyDescent="0.35">
      <c r="A20" s="4">
        <v>15</v>
      </c>
      <c r="B20" s="5">
        <f>3415+13</f>
        <v>3428</v>
      </c>
      <c r="C20" s="5">
        <v>3</v>
      </c>
      <c r="D20" s="5">
        <v>909</v>
      </c>
      <c r="E20" s="5">
        <v>106</v>
      </c>
      <c r="F20" s="5">
        <v>159</v>
      </c>
      <c r="G20" s="5">
        <v>213</v>
      </c>
      <c r="H20" s="5">
        <f t="shared" si="1"/>
        <v>4818</v>
      </c>
      <c r="I20" s="5">
        <v>0</v>
      </c>
      <c r="J20" s="9"/>
      <c r="K20" s="5">
        <v>15</v>
      </c>
      <c r="L20" s="5">
        <v>1</v>
      </c>
      <c r="M20" s="5">
        <v>8</v>
      </c>
      <c r="N20" s="5">
        <v>3</v>
      </c>
      <c r="O20" s="5">
        <f t="shared" si="0"/>
        <v>12</v>
      </c>
      <c r="P20" s="7">
        <f t="shared" si="2"/>
        <v>6135</v>
      </c>
    </row>
    <row r="21" spans="1:26" ht="18" customHeight="1" thickTop="1" thickBot="1" x14ac:dyDescent="0.35">
      <c r="A21" s="4">
        <v>16</v>
      </c>
      <c r="B21" s="5">
        <f>4929+16</f>
        <v>4945</v>
      </c>
      <c r="C21" s="5">
        <v>5</v>
      </c>
      <c r="D21" s="5">
        <v>706</v>
      </c>
      <c r="E21" s="5">
        <v>81</v>
      </c>
      <c r="F21" s="5">
        <v>57</v>
      </c>
      <c r="G21" s="5">
        <v>139</v>
      </c>
      <c r="H21" s="5">
        <f t="shared" si="1"/>
        <v>5933</v>
      </c>
      <c r="I21" s="5">
        <v>0</v>
      </c>
      <c r="J21" s="9"/>
      <c r="K21" s="5">
        <v>16</v>
      </c>
      <c r="L21" s="5">
        <v>0</v>
      </c>
      <c r="M21" s="5">
        <v>2</v>
      </c>
      <c r="N21" s="5">
        <v>0</v>
      </c>
      <c r="O21" s="5">
        <f t="shared" si="0"/>
        <v>2</v>
      </c>
      <c r="P21" s="7">
        <f>+P20</f>
        <v>6135</v>
      </c>
    </row>
    <row r="22" spans="1:26" ht="18" customHeight="1" thickTop="1" thickBot="1" x14ac:dyDescent="0.35">
      <c r="A22" s="4">
        <v>17</v>
      </c>
      <c r="B22" s="5">
        <f>1979+32</f>
        <v>2011</v>
      </c>
      <c r="C22" s="5">
        <v>2</v>
      </c>
      <c r="D22" s="5">
        <f>948+25</f>
        <v>973</v>
      </c>
      <c r="E22" s="5">
        <v>133</v>
      </c>
      <c r="F22" s="5">
        <v>131</v>
      </c>
      <c r="G22" s="5">
        <v>234</v>
      </c>
      <c r="H22" s="5">
        <f>SUM(B22:G22)</f>
        <v>3484</v>
      </c>
      <c r="I22" s="5">
        <v>0</v>
      </c>
      <c r="J22" s="9"/>
      <c r="K22" s="5">
        <v>17</v>
      </c>
      <c r="L22" s="5">
        <v>1</v>
      </c>
      <c r="M22" s="5">
        <v>2</v>
      </c>
      <c r="N22" s="5">
        <v>1</v>
      </c>
      <c r="O22" s="5">
        <f t="shared" si="0"/>
        <v>4</v>
      </c>
      <c r="P22" s="7">
        <f t="shared" si="2"/>
        <v>6135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 customHeight="1" thickTop="1" thickBot="1" x14ac:dyDescent="0.35">
      <c r="A23" s="4">
        <v>18</v>
      </c>
      <c r="B23" s="5">
        <f>1772+23</f>
        <v>1795</v>
      </c>
      <c r="C23" s="5">
        <v>9</v>
      </c>
      <c r="D23" s="5">
        <v>912</v>
      </c>
      <c r="E23" s="5">
        <v>145</v>
      </c>
      <c r="F23" s="5">
        <v>109</v>
      </c>
      <c r="G23" s="5">
        <v>193</v>
      </c>
      <c r="H23" s="5">
        <f t="shared" si="1"/>
        <v>3163</v>
      </c>
      <c r="I23" s="5">
        <v>0</v>
      </c>
      <c r="J23" s="9"/>
      <c r="K23" s="5">
        <v>18</v>
      </c>
      <c r="L23" s="5">
        <v>0</v>
      </c>
      <c r="M23" s="5">
        <v>8</v>
      </c>
      <c r="N23" s="5">
        <v>2</v>
      </c>
      <c r="O23" s="5">
        <f t="shared" si="0"/>
        <v>10</v>
      </c>
      <c r="P23" s="7">
        <f t="shared" si="2"/>
        <v>6135</v>
      </c>
    </row>
    <row r="24" spans="1:26" s="12" customFormat="1" ht="18" customHeight="1" thickTop="1" thickBot="1" x14ac:dyDescent="0.3">
      <c r="A24" s="4">
        <v>19</v>
      </c>
      <c r="B24" s="5">
        <f>1515+10</f>
        <v>1525</v>
      </c>
      <c r="C24" s="5">
        <v>7</v>
      </c>
      <c r="D24" s="5">
        <v>659</v>
      </c>
      <c r="E24" s="5">
        <v>73</v>
      </c>
      <c r="F24" s="5">
        <v>27</v>
      </c>
      <c r="G24" s="5">
        <v>48</v>
      </c>
      <c r="H24" s="5">
        <f t="shared" si="1"/>
        <v>2339</v>
      </c>
      <c r="I24" s="5">
        <v>0</v>
      </c>
      <c r="J24" s="9"/>
      <c r="K24" s="5">
        <v>19</v>
      </c>
      <c r="L24" s="5">
        <v>0</v>
      </c>
      <c r="M24" s="5">
        <v>5</v>
      </c>
      <c r="N24" s="5">
        <v>1</v>
      </c>
      <c r="O24" s="5">
        <f t="shared" si="0"/>
        <v>6</v>
      </c>
      <c r="P24" s="7">
        <f t="shared" si="2"/>
        <v>6135</v>
      </c>
    </row>
    <row r="25" spans="1:26" ht="18" customHeight="1" thickTop="1" thickBot="1" x14ac:dyDescent="0.35">
      <c r="A25" s="4">
        <v>20</v>
      </c>
      <c r="B25" s="5">
        <f>1681+22</f>
        <v>1703</v>
      </c>
      <c r="C25" s="5">
        <v>6</v>
      </c>
      <c r="D25" s="5">
        <v>884</v>
      </c>
      <c r="E25" s="5">
        <v>113</v>
      </c>
      <c r="F25" s="5">
        <v>96</v>
      </c>
      <c r="G25" s="5">
        <v>161</v>
      </c>
      <c r="H25" s="5">
        <f t="shared" si="1"/>
        <v>2963</v>
      </c>
      <c r="I25" s="5">
        <v>0</v>
      </c>
      <c r="J25" s="9"/>
      <c r="K25" s="5">
        <v>20</v>
      </c>
      <c r="L25" s="5">
        <v>0</v>
      </c>
      <c r="M25" s="5">
        <v>5</v>
      </c>
      <c r="N25" s="5">
        <v>1</v>
      </c>
      <c r="O25" s="5">
        <f t="shared" si="0"/>
        <v>6</v>
      </c>
      <c r="P25" s="7">
        <f t="shared" si="2"/>
        <v>6135</v>
      </c>
    </row>
    <row r="26" spans="1:26" ht="18" customHeight="1" thickTop="1" thickBot="1" x14ac:dyDescent="0.35">
      <c r="A26" s="4">
        <v>21</v>
      </c>
      <c r="B26" s="5">
        <f>3033+20</f>
        <v>3053</v>
      </c>
      <c r="C26" s="5">
        <v>14</v>
      </c>
      <c r="D26" s="5">
        <v>1099</v>
      </c>
      <c r="E26" s="5">
        <v>199</v>
      </c>
      <c r="F26" s="5">
        <v>163</v>
      </c>
      <c r="G26" s="5">
        <v>243</v>
      </c>
      <c r="H26" s="5">
        <f t="shared" si="1"/>
        <v>4771</v>
      </c>
      <c r="I26" s="5">
        <v>0</v>
      </c>
      <c r="J26" s="9"/>
      <c r="K26" s="5">
        <v>21</v>
      </c>
      <c r="L26" s="5">
        <v>1</v>
      </c>
      <c r="M26" s="5">
        <v>8</v>
      </c>
      <c r="N26" s="5">
        <v>1</v>
      </c>
      <c r="O26" s="5">
        <f t="shared" si="0"/>
        <v>10</v>
      </c>
      <c r="P26" s="7">
        <f t="shared" si="2"/>
        <v>6135</v>
      </c>
    </row>
    <row r="27" spans="1:26" ht="18" customHeight="1" thickTop="1" thickBot="1" x14ac:dyDescent="0.35">
      <c r="A27" s="4">
        <v>22</v>
      </c>
      <c r="B27" s="5">
        <f>3390+18</f>
        <v>3408</v>
      </c>
      <c r="C27" s="5">
        <v>10</v>
      </c>
      <c r="D27" s="5">
        <v>932</v>
      </c>
      <c r="E27" s="5">
        <v>133</v>
      </c>
      <c r="F27" s="5">
        <v>165</v>
      </c>
      <c r="G27" s="5">
        <v>188</v>
      </c>
      <c r="H27" s="5">
        <f t="shared" si="1"/>
        <v>4836</v>
      </c>
      <c r="I27" s="5">
        <v>0</v>
      </c>
      <c r="J27" s="9"/>
      <c r="K27" s="5">
        <v>22</v>
      </c>
      <c r="L27" s="5">
        <v>0</v>
      </c>
      <c r="M27" s="5">
        <v>6</v>
      </c>
      <c r="N27" s="5">
        <v>0</v>
      </c>
      <c r="O27" s="5">
        <f t="shared" si="0"/>
        <v>6</v>
      </c>
      <c r="P27" s="7">
        <f t="shared" si="2"/>
        <v>6135</v>
      </c>
    </row>
    <row r="28" spans="1:26" ht="18" customHeight="1" thickTop="1" thickBot="1" x14ac:dyDescent="0.35">
      <c r="A28" s="4">
        <v>23</v>
      </c>
      <c r="B28" s="5">
        <f>4587+16</f>
        <v>4603</v>
      </c>
      <c r="C28" s="5">
        <v>6</v>
      </c>
      <c r="D28" s="5">
        <v>681</v>
      </c>
      <c r="E28" s="5">
        <v>76</v>
      </c>
      <c r="F28" s="5">
        <v>77</v>
      </c>
      <c r="G28" s="5">
        <v>145</v>
      </c>
      <c r="H28" s="5">
        <f t="shared" si="1"/>
        <v>5588</v>
      </c>
      <c r="I28" s="5">
        <v>0</v>
      </c>
      <c r="J28" s="9"/>
      <c r="K28" s="5">
        <v>23</v>
      </c>
      <c r="L28" s="5">
        <v>1</v>
      </c>
      <c r="M28" s="5">
        <v>2</v>
      </c>
      <c r="N28" s="5">
        <v>4</v>
      </c>
      <c r="O28" s="5">
        <f t="shared" si="0"/>
        <v>7</v>
      </c>
      <c r="P28" s="7">
        <f t="shared" si="2"/>
        <v>6135</v>
      </c>
    </row>
    <row r="29" spans="1:26" ht="18" customHeight="1" thickTop="1" thickBot="1" x14ac:dyDescent="0.35">
      <c r="A29" s="4">
        <v>24</v>
      </c>
      <c r="B29" s="5">
        <f>1975+24</f>
        <v>1999</v>
      </c>
      <c r="C29" s="5">
        <v>16</v>
      </c>
      <c r="D29" s="5">
        <f>916+23</f>
        <v>939</v>
      </c>
      <c r="E29" s="5">
        <v>202</v>
      </c>
      <c r="F29" s="5">
        <v>170</v>
      </c>
      <c r="G29" s="5">
        <v>206</v>
      </c>
      <c r="H29" s="5">
        <f t="shared" si="1"/>
        <v>3532</v>
      </c>
      <c r="I29" s="5">
        <v>0</v>
      </c>
      <c r="J29" s="9"/>
      <c r="K29" s="5">
        <v>24</v>
      </c>
      <c r="L29" s="5">
        <v>0</v>
      </c>
      <c r="M29" s="5">
        <v>11</v>
      </c>
      <c r="N29" s="5">
        <v>3</v>
      </c>
      <c r="O29" s="5">
        <f t="shared" si="0"/>
        <v>14</v>
      </c>
      <c r="P29" s="7">
        <f t="shared" si="2"/>
        <v>6135</v>
      </c>
    </row>
    <row r="30" spans="1:26" s="12" customFormat="1" ht="18" customHeight="1" thickTop="1" thickBot="1" x14ac:dyDescent="0.3">
      <c r="A30" s="4">
        <v>25</v>
      </c>
      <c r="B30" s="5">
        <f>1824+22</f>
        <v>1846</v>
      </c>
      <c r="C30" s="5">
        <v>12</v>
      </c>
      <c r="D30" s="5">
        <f>1059+37</f>
        <v>1096</v>
      </c>
      <c r="E30" s="5">
        <v>209</v>
      </c>
      <c r="F30" s="5">
        <v>192</v>
      </c>
      <c r="G30" s="5">
        <v>194</v>
      </c>
      <c r="H30" s="5">
        <f t="shared" si="1"/>
        <v>3549</v>
      </c>
      <c r="I30" s="5">
        <v>0</v>
      </c>
      <c r="J30" s="9"/>
      <c r="K30" s="5">
        <v>25</v>
      </c>
      <c r="L30" s="5">
        <v>1</v>
      </c>
      <c r="M30" s="5">
        <v>6</v>
      </c>
      <c r="N30" s="5">
        <v>0</v>
      </c>
      <c r="O30" s="5">
        <f t="shared" si="0"/>
        <v>7</v>
      </c>
      <c r="P30" s="7">
        <f t="shared" si="2"/>
        <v>6135</v>
      </c>
    </row>
    <row r="31" spans="1:26" ht="18" customHeight="1" thickTop="1" thickBot="1" x14ac:dyDescent="0.35">
      <c r="A31" s="4">
        <v>26</v>
      </c>
      <c r="B31" s="5">
        <f>1880+24</f>
        <v>1904</v>
      </c>
      <c r="C31" s="5">
        <v>19</v>
      </c>
      <c r="D31" s="5">
        <f>1121+21</f>
        <v>1142</v>
      </c>
      <c r="E31" s="5">
        <v>200</v>
      </c>
      <c r="F31" s="5">
        <v>199</v>
      </c>
      <c r="G31" s="5">
        <v>234</v>
      </c>
      <c r="H31" s="5">
        <f t="shared" si="1"/>
        <v>3698</v>
      </c>
      <c r="I31" s="5">
        <v>0</v>
      </c>
      <c r="J31" s="9"/>
      <c r="K31" s="5">
        <v>26</v>
      </c>
      <c r="L31" s="5">
        <v>1</v>
      </c>
      <c r="M31" s="5">
        <v>6</v>
      </c>
      <c r="N31" s="5">
        <v>3</v>
      </c>
      <c r="O31" s="5">
        <f t="shared" si="0"/>
        <v>10</v>
      </c>
      <c r="P31" s="7">
        <f t="shared" si="2"/>
        <v>6135</v>
      </c>
    </row>
    <row r="32" spans="1:26" ht="18" customHeight="1" thickTop="1" thickBot="1" x14ac:dyDescent="0.35">
      <c r="A32" s="4">
        <v>27</v>
      </c>
      <c r="B32" s="5">
        <f>2111+29</f>
        <v>2140</v>
      </c>
      <c r="C32" s="5">
        <v>35</v>
      </c>
      <c r="D32" s="5">
        <f>1037+18</f>
        <v>1055</v>
      </c>
      <c r="E32" s="5">
        <v>208</v>
      </c>
      <c r="F32" s="5">
        <v>177</v>
      </c>
      <c r="G32" s="5">
        <v>269</v>
      </c>
      <c r="H32" s="5">
        <f t="shared" si="1"/>
        <v>3884</v>
      </c>
      <c r="I32" s="5">
        <v>0</v>
      </c>
      <c r="J32" s="9"/>
      <c r="K32" s="5">
        <v>27</v>
      </c>
      <c r="L32" s="5">
        <v>0</v>
      </c>
      <c r="M32" s="5">
        <v>13</v>
      </c>
      <c r="N32" s="5">
        <v>1</v>
      </c>
      <c r="O32" s="5">
        <f t="shared" si="0"/>
        <v>14</v>
      </c>
      <c r="P32" s="7">
        <f t="shared" si="2"/>
        <v>6135</v>
      </c>
    </row>
    <row r="33" spans="1:17" ht="15.75" customHeight="1" thickTop="1" thickBot="1" x14ac:dyDescent="0.35">
      <c r="A33" s="4">
        <v>28</v>
      </c>
      <c r="B33" s="5">
        <f>3045+35</f>
        <v>3080</v>
      </c>
      <c r="C33" s="5">
        <v>54</v>
      </c>
      <c r="D33" s="5">
        <f>1110+30</f>
        <v>1140</v>
      </c>
      <c r="E33" s="5">
        <v>181</v>
      </c>
      <c r="F33" s="5">
        <v>205</v>
      </c>
      <c r="G33" s="5">
        <v>177</v>
      </c>
      <c r="H33" s="5">
        <f t="shared" si="1"/>
        <v>4837</v>
      </c>
      <c r="I33" s="5">
        <v>0</v>
      </c>
      <c r="J33" s="9"/>
      <c r="K33" s="5">
        <v>28</v>
      </c>
      <c r="L33" s="5">
        <v>0</v>
      </c>
      <c r="M33" s="5">
        <v>5</v>
      </c>
      <c r="N33" s="5">
        <v>1</v>
      </c>
      <c r="O33" s="5">
        <f t="shared" si="0"/>
        <v>6</v>
      </c>
      <c r="P33" s="7">
        <f t="shared" si="2"/>
        <v>6135</v>
      </c>
    </row>
    <row r="34" spans="1:17" s="12" customFormat="1" ht="17.25" hidden="1" customHeight="1" x14ac:dyDescent="0.25">
      <c r="A34" s="4">
        <v>29</v>
      </c>
      <c r="B34" s="5"/>
      <c r="C34" s="5"/>
      <c r="D34" s="5"/>
      <c r="E34" s="5"/>
      <c r="F34" s="5"/>
      <c r="G34" s="5"/>
      <c r="H34" s="5">
        <f t="shared" si="1"/>
        <v>0</v>
      </c>
      <c r="I34" s="5">
        <v>0</v>
      </c>
      <c r="J34" s="9"/>
      <c r="K34" s="5">
        <v>29</v>
      </c>
      <c r="L34" s="5"/>
      <c r="M34" s="5"/>
      <c r="N34" s="5"/>
      <c r="O34" s="5">
        <f>SUM(L34:N34)</f>
        <v>0</v>
      </c>
      <c r="P34" s="7">
        <f t="shared" si="2"/>
        <v>6135</v>
      </c>
    </row>
    <row r="35" spans="1:17" s="12" customFormat="1" ht="17.25" hidden="1" customHeight="1" x14ac:dyDescent="0.25">
      <c r="A35" s="4">
        <v>30</v>
      </c>
      <c r="B35" s="5"/>
      <c r="C35" s="5"/>
      <c r="D35" s="5"/>
      <c r="E35" s="5"/>
      <c r="F35" s="5"/>
      <c r="G35" s="5"/>
      <c r="H35" s="5">
        <f t="shared" si="1"/>
        <v>0</v>
      </c>
      <c r="I35" s="5">
        <v>0</v>
      </c>
      <c r="J35" s="9"/>
      <c r="K35" s="5">
        <v>30</v>
      </c>
      <c r="L35" s="5"/>
      <c r="M35" s="5"/>
      <c r="N35" s="5"/>
      <c r="O35" s="5">
        <f>SUM(L35:N35)</f>
        <v>0</v>
      </c>
      <c r="P35" s="7">
        <f t="shared" si="2"/>
        <v>6135</v>
      </c>
    </row>
    <row r="36" spans="1:17" s="12" customFormat="1" ht="17.25" hidden="1" customHeight="1" x14ac:dyDescent="0.25">
      <c r="A36" s="4">
        <v>31</v>
      </c>
      <c r="B36" s="5"/>
      <c r="C36" s="5"/>
      <c r="D36" s="5"/>
      <c r="E36" s="5"/>
      <c r="F36" s="5"/>
      <c r="G36" s="5"/>
      <c r="H36" s="5">
        <f t="shared" si="1"/>
        <v>0</v>
      </c>
      <c r="I36" s="5">
        <v>0</v>
      </c>
      <c r="J36" s="9"/>
      <c r="K36" s="5">
        <v>31</v>
      </c>
      <c r="L36" s="5"/>
      <c r="M36" s="5"/>
      <c r="N36" s="5"/>
      <c r="O36" s="5">
        <f>SUM(L36:N36)</f>
        <v>0</v>
      </c>
      <c r="P36" s="7">
        <f t="shared" si="2"/>
        <v>6135</v>
      </c>
    </row>
    <row r="37" spans="1:17" ht="18" customHeight="1" thickTop="1" x14ac:dyDescent="0.3">
      <c r="A37" s="3" t="s">
        <v>19</v>
      </c>
      <c r="B37" s="14">
        <f>SUM(B6:B36)</f>
        <v>77643</v>
      </c>
      <c r="C37" s="14">
        <f t="shared" ref="C37:O37" si="3">SUM(C6:C36)</f>
        <v>249</v>
      </c>
      <c r="D37" s="14">
        <f t="shared" si="3"/>
        <v>27449</v>
      </c>
      <c r="E37" s="14">
        <f t="shared" si="3"/>
        <v>4196</v>
      </c>
      <c r="F37" s="14">
        <f t="shared" si="3"/>
        <v>3842</v>
      </c>
      <c r="G37" s="14">
        <f t="shared" si="3"/>
        <v>5684</v>
      </c>
      <c r="H37" s="14">
        <f t="shared" si="3"/>
        <v>119063</v>
      </c>
      <c r="I37" s="14">
        <f t="shared" si="3"/>
        <v>0</v>
      </c>
      <c r="J37" s="14"/>
      <c r="K37" s="14">
        <f t="shared" si="3"/>
        <v>496</v>
      </c>
      <c r="L37" s="14">
        <f t="shared" si="3"/>
        <v>11</v>
      </c>
      <c r="M37" s="14">
        <f t="shared" si="3"/>
        <v>248</v>
      </c>
      <c r="N37" s="14">
        <f t="shared" si="3"/>
        <v>32</v>
      </c>
      <c r="O37" s="14">
        <f t="shared" si="3"/>
        <v>291</v>
      </c>
      <c r="P37" s="12"/>
      <c r="Q37" s="12"/>
    </row>
    <row r="38" spans="1:17" ht="18" customHeight="1" x14ac:dyDescent="0.3">
      <c r="A38" s="3" t="s">
        <v>19</v>
      </c>
      <c r="B38" s="47">
        <f>+B37+C37</f>
        <v>77892</v>
      </c>
      <c r="C38" s="47"/>
      <c r="D38" s="14">
        <f t="shared" ref="D38:H38" si="4">+D37</f>
        <v>27449</v>
      </c>
      <c r="E38" s="14">
        <f t="shared" si="4"/>
        <v>4196</v>
      </c>
      <c r="F38" s="14">
        <f t="shared" si="4"/>
        <v>3842</v>
      </c>
      <c r="G38" s="14">
        <f t="shared" si="4"/>
        <v>5684</v>
      </c>
      <c r="H38" s="14">
        <f t="shared" si="4"/>
        <v>119063</v>
      </c>
      <c r="I38" s="14">
        <v>0</v>
      </c>
      <c r="J38" s="15"/>
      <c r="K38" s="3" t="s">
        <v>20</v>
      </c>
      <c r="L38" s="16" t="s">
        <v>21</v>
      </c>
      <c r="M38" s="16" t="s">
        <v>22</v>
      </c>
      <c r="N38" s="16" t="s">
        <v>21</v>
      </c>
      <c r="O38" s="16" t="s">
        <v>22</v>
      </c>
      <c r="P38" s="12"/>
      <c r="Q38" s="12"/>
    </row>
    <row r="39" spans="1:17" ht="17.399999999999999" x14ac:dyDescent="0.3">
      <c r="A39" s="17" t="s">
        <v>23</v>
      </c>
      <c r="B39" s="18"/>
      <c r="C39" s="18"/>
      <c r="D39" s="18"/>
      <c r="E39" s="18"/>
      <c r="F39" s="18"/>
      <c r="G39" s="18"/>
      <c r="H39" s="18"/>
      <c r="I39" s="12"/>
      <c r="J39" s="12"/>
      <c r="K39" s="12"/>
      <c r="L39" s="19"/>
      <c r="M39" s="12"/>
      <c r="N39" s="12"/>
      <c r="O39" s="12"/>
    </row>
    <row r="40" spans="1:17" ht="17.399999999999999" x14ac:dyDescent="0.3">
      <c r="A40" s="20"/>
      <c r="B40" s="21"/>
      <c r="C40" s="21"/>
      <c r="D40" s="21"/>
      <c r="E40" s="21"/>
      <c r="F40" s="21"/>
      <c r="G40" s="21"/>
      <c r="H40" s="21"/>
      <c r="I40" s="21"/>
      <c r="J40" s="22"/>
      <c r="K40" s="23"/>
      <c r="L40" s="23"/>
    </row>
    <row r="41" spans="1:17" ht="17.399999999999999" x14ac:dyDescent="0.3">
      <c r="A41" s="8"/>
      <c r="H41" s="8"/>
      <c r="K41" s="23"/>
      <c r="L41" s="23"/>
    </row>
    <row r="42" spans="1:17" ht="17.399999999999999" x14ac:dyDescent="0.3">
      <c r="A42" s="24"/>
      <c r="K42" s="23"/>
      <c r="L42" s="23"/>
    </row>
    <row r="43" spans="1:17" ht="15.6" x14ac:dyDescent="0.3">
      <c r="A43" s="24"/>
      <c r="I43" s="8"/>
      <c r="J43" s="8"/>
    </row>
    <row r="45" spans="1:17" x14ac:dyDescent="0.3">
      <c r="A45" s="25"/>
    </row>
    <row r="46" spans="1:17" x14ac:dyDescent="0.3">
      <c r="A46" s="2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0B23-5FDC-4B88-9E1A-6F0576A92572}">
  <dimension ref="A1:Z45"/>
  <sheetViews>
    <sheetView topLeftCell="A19" workbookViewId="0">
      <selection activeCell="E7" sqref="E7"/>
    </sheetView>
  </sheetViews>
  <sheetFormatPr baseColWidth="10" defaultColWidth="11.44140625" defaultRowHeight="14.4" x14ac:dyDescent="0.3"/>
  <cols>
    <col min="1" max="1" width="13.5546875" customWidth="1"/>
    <col min="2" max="2" width="11.33203125" customWidth="1"/>
    <col min="3" max="3" width="8.5546875" customWidth="1"/>
    <col min="4" max="4" width="18.6640625" customWidth="1"/>
    <col min="5" max="5" width="13.6640625" customWidth="1"/>
    <col min="6" max="6" width="13.33203125" customWidth="1"/>
    <col min="7" max="7" width="13.109375" customWidth="1"/>
    <col min="8" max="8" width="17.109375" customWidth="1"/>
    <col min="9" max="9" width="14.44140625" bestFit="1" customWidth="1"/>
    <col min="10" max="10" width="3.88671875" customWidth="1"/>
    <col min="11" max="11" width="10.6640625" customWidth="1"/>
    <col min="12" max="12" width="14.88671875" customWidth="1"/>
    <col min="13" max="13" width="15.88671875" customWidth="1"/>
    <col min="14" max="14" width="10.109375" customWidth="1"/>
    <col min="15" max="15" width="9.88671875" customWidth="1"/>
  </cols>
  <sheetData>
    <row r="1" spans="1:19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9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9" ht="15.6" x14ac:dyDescent="0.3">
      <c r="A3" s="49" t="s">
        <v>27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9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9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9" ht="18" customHeight="1" thickBot="1" x14ac:dyDescent="0.35">
      <c r="A6" s="4">
        <v>1</v>
      </c>
      <c r="B6" s="5">
        <f>3424+21</f>
        <v>3445</v>
      </c>
      <c r="C6" s="5">
        <v>7</v>
      </c>
      <c r="D6" s="5">
        <v>1004</v>
      </c>
      <c r="E6" s="5">
        <v>180</v>
      </c>
      <c r="F6" s="5">
        <v>192</v>
      </c>
      <c r="G6" s="5">
        <v>196</v>
      </c>
      <c r="H6" s="5">
        <f>SUM(B6:G6)</f>
        <v>5024</v>
      </c>
      <c r="I6" s="5">
        <v>0</v>
      </c>
      <c r="J6" s="6"/>
      <c r="K6" s="5">
        <v>1</v>
      </c>
      <c r="L6" s="5">
        <v>0</v>
      </c>
      <c r="M6" s="5">
        <v>10</v>
      </c>
      <c r="N6" s="5">
        <v>0</v>
      </c>
      <c r="O6" s="5">
        <f>SUM(L6:N6)</f>
        <v>10</v>
      </c>
      <c r="P6" s="7">
        <v>6135</v>
      </c>
    </row>
    <row r="7" spans="1:19" ht="18" customHeight="1" thickTop="1" thickBot="1" x14ac:dyDescent="0.35">
      <c r="A7" s="4">
        <v>2</v>
      </c>
      <c r="B7" s="5">
        <f>4673+12</f>
        <v>4685</v>
      </c>
      <c r="C7" s="5">
        <v>16</v>
      </c>
      <c r="D7" s="5">
        <v>741</v>
      </c>
      <c r="E7" s="5">
        <v>86</v>
      </c>
      <c r="F7" s="5">
        <v>101</v>
      </c>
      <c r="G7" s="5">
        <v>145</v>
      </c>
      <c r="H7" s="5">
        <f>SUM(B7:G7)</f>
        <v>5774</v>
      </c>
      <c r="I7" s="5">
        <v>0</v>
      </c>
      <c r="J7" s="6"/>
      <c r="K7" s="5">
        <v>2</v>
      </c>
      <c r="L7" s="5">
        <v>0</v>
      </c>
      <c r="M7" s="5">
        <v>4</v>
      </c>
      <c r="N7" s="5">
        <v>0</v>
      </c>
      <c r="O7" s="5">
        <f t="shared" ref="O7:O33" si="0">SUM(L7:N7)</f>
        <v>4</v>
      </c>
      <c r="P7" s="7">
        <f>+P6</f>
        <v>6135</v>
      </c>
    </row>
    <row r="8" spans="1:19" ht="18" customHeight="1" thickTop="1" thickBot="1" x14ac:dyDescent="0.35">
      <c r="A8" s="4">
        <v>3</v>
      </c>
      <c r="B8" s="5">
        <f>1866+22</f>
        <v>1888</v>
      </c>
      <c r="C8" s="5">
        <v>9</v>
      </c>
      <c r="D8" s="5">
        <v>959</v>
      </c>
      <c r="E8" s="5">
        <v>216</v>
      </c>
      <c r="F8" s="5">
        <v>167</v>
      </c>
      <c r="G8" s="5">
        <v>233</v>
      </c>
      <c r="H8" s="5">
        <f t="shared" ref="H8:H36" si="1">SUM(B8:G8)</f>
        <v>3472</v>
      </c>
      <c r="I8" s="5">
        <v>0</v>
      </c>
      <c r="J8" s="6"/>
      <c r="K8" s="5">
        <v>3</v>
      </c>
      <c r="L8" s="5">
        <v>0</v>
      </c>
      <c r="M8" s="5">
        <v>3</v>
      </c>
      <c r="N8" s="5">
        <v>0</v>
      </c>
      <c r="O8" s="5">
        <f t="shared" si="0"/>
        <v>3</v>
      </c>
      <c r="P8" s="7">
        <f t="shared" ref="P8:P36" si="2">+P7</f>
        <v>6135</v>
      </c>
      <c r="S8" s="8"/>
    </row>
    <row r="9" spans="1:19" ht="18" customHeight="1" thickTop="1" thickBot="1" x14ac:dyDescent="0.35">
      <c r="A9" s="4">
        <v>4</v>
      </c>
      <c r="B9" s="5">
        <f>1784+22</f>
        <v>1806</v>
      </c>
      <c r="C9" s="5">
        <v>14</v>
      </c>
      <c r="D9" s="5">
        <v>1041</v>
      </c>
      <c r="E9" s="5">
        <v>191</v>
      </c>
      <c r="F9" s="5">
        <v>158</v>
      </c>
      <c r="G9" s="5">
        <v>270</v>
      </c>
      <c r="H9" s="5">
        <f t="shared" si="1"/>
        <v>3480</v>
      </c>
      <c r="I9" s="5">
        <v>0</v>
      </c>
      <c r="J9" s="6"/>
      <c r="K9" s="5">
        <v>4</v>
      </c>
      <c r="L9" s="5">
        <v>0</v>
      </c>
      <c r="M9" s="5">
        <v>23</v>
      </c>
      <c r="N9" s="5">
        <v>3</v>
      </c>
      <c r="O9" s="5">
        <f t="shared" si="0"/>
        <v>26</v>
      </c>
      <c r="P9" s="7">
        <f t="shared" si="2"/>
        <v>6135</v>
      </c>
    </row>
    <row r="10" spans="1:19" ht="18" customHeight="1" thickTop="1" thickBot="1" x14ac:dyDescent="0.35">
      <c r="A10" s="4">
        <v>5</v>
      </c>
      <c r="B10" s="5">
        <f>1708+37</f>
        <v>1745</v>
      </c>
      <c r="C10" s="5">
        <v>12</v>
      </c>
      <c r="D10" s="5">
        <v>1262</v>
      </c>
      <c r="E10" s="5">
        <v>198</v>
      </c>
      <c r="F10" s="5">
        <v>220</v>
      </c>
      <c r="G10" s="5">
        <v>304</v>
      </c>
      <c r="H10" s="5">
        <f t="shared" si="1"/>
        <v>3741</v>
      </c>
      <c r="I10" s="5">
        <v>0</v>
      </c>
      <c r="J10" s="6"/>
      <c r="K10" s="5">
        <v>5</v>
      </c>
      <c r="L10" s="5">
        <v>2</v>
      </c>
      <c r="M10" s="5">
        <v>4</v>
      </c>
      <c r="N10" s="5">
        <v>3</v>
      </c>
      <c r="O10" s="5">
        <f t="shared" si="0"/>
        <v>9</v>
      </c>
      <c r="P10" s="7">
        <f t="shared" si="2"/>
        <v>6135</v>
      </c>
    </row>
    <row r="11" spans="1:19" ht="18" customHeight="1" thickTop="1" thickBot="1" x14ac:dyDescent="0.35">
      <c r="A11" s="4">
        <v>6</v>
      </c>
      <c r="B11" s="5">
        <f>1954+33</f>
        <v>1987</v>
      </c>
      <c r="C11" s="5">
        <v>10</v>
      </c>
      <c r="D11" s="5">
        <v>1183</v>
      </c>
      <c r="E11" s="5">
        <v>199</v>
      </c>
      <c r="F11" s="5">
        <v>185</v>
      </c>
      <c r="G11" s="5">
        <v>244</v>
      </c>
      <c r="H11" s="5">
        <f t="shared" si="1"/>
        <v>3808</v>
      </c>
      <c r="I11" s="5">
        <v>0</v>
      </c>
      <c r="J11" s="6"/>
      <c r="K11" s="5">
        <v>6</v>
      </c>
      <c r="L11" s="5">
        <v>5</v>
      </c>
      <c r="M11" s="5">
        <v>19</v>
      </c>
      <c r="N11" s="5">
        <v>1</v>
      </c>
      <c r="O11" s="5">
        <f t="shared" si="0"/>
        <v>25</v>
      </c>
      <c r="P11" s="7">
        <f t="shared" si="2"/>
        <v>6135</v>
      </c>
    </row>
    <row r="12" spans="1:19" ht="18" customHeight="1" thickTop="1" thickBot="1" x14ac:dyDescent="0.35">
      <c r="A12" s="4">
        <v>7</v>
      </c>
      <c r="B12" s="5">
        <f>2710+38</f>
        <v>2748</v>
      </c>
      <c r="C12" s="5">
        <v>14</v>
      </c>
      <c r="D12" s="5">
        <v>1087</v>
      </c>
      <c r="E12" s="5">
        <v>173</v>
      </c>
      <c r="F12" s="5">
        <v>205</v>
      </c>
      <c r="G12" s="5">
        <v>233</v>
      </c>
      <c r="H12" s="5">
        <f t="shared" si="1"/>
        <v>4460</v>
      </c>
      <c r="I12" s="5">
        <v>0</v>
      </c>
      <c r="J12" s="9"/>
      <c r="K12" s="5">
        <v>7</v>
      </c>
      <c r="L12" s="5">
        <v>0</v>
      </c>
      <c r="M12" s="5">
        <v>10</v>
      </c>
      <c r="N12" s="5">
        <v>3</v>
      </c>
      <c r="O12" s="5">
        <f t="shared" si="0"/>
        <v>13</v>
      </c>
      <c r="P12" s="7">
        <f t="shared" si="2"/>
        <v>6135</v>
      </c>
    </row>
    <row r="13" spans="1:19" ht="18" customHeight="1" thickTop="1" thickBot="1" x14ac:dyDescent="0.35">
      <c r="A13" s="4">
        <v>8</v>
      </c>
      <c r="B13" s="5">
        <f>2910+19</f>
        <v>2929</v>
      </c>
      <c r="C13" s="5">
        <v>12</v>
      </c>
      <c r="D13" s="5">
        <f>873+41</f>
        <v>914</v>
      </c>
      <c r="E13" s="5">
        <v>143</v>
      </c>
      <c r="F13" s="5">
        <v>175</v>
      </c>
      <c r="G13" s="5">
        <v>202</v>
      </c>
      <c r="H13" s="5">
        <f t="shared" si="1"/>
        <v>4375</v>
      </c>
      <c r="I13" s="5">
        <v>0</v>
      </c>
      <c r="J13" s="9"/>
      <c r="K13" s="5">
        <v>8</v>
      </c>
      <c r="L13" s="5">
        <v>2</v>
      </c>
      <c r="M13" s="5">
        <v>6</v>
      </c>
      <c r="N13" s="5">
        <v>0</v>
      </c>
      <c r="O13" s="5">
        <f t="shared" si="0"/>
        <v>8</v>
      </c>
      <c r="P13" s="7">
        <f t="shared" si="2"/>
        <v>6135</v>
      </c>
    </row>
    <row r="14" spans="1:19" s="11" customFormat="1" ht="18" customHeight="1" thickTop="1" thickBot="1" x14ac:dyDescent="0.35">
      <c r="A14" s="4">
        <v>9</v>
      </c>
      <c r="B14" s="5">
        <f>3228+9</f>
        <v>3237</v>
      </c>
      <c r="C14" s="5">
        <v>8</v>
      </c>
      <c r="D14" s="5">
        <v>615</v>
      </c>
      <c r="E14" s="5">
        <v>78</v>
      </c>
      <c r="F14" s="5">
        <v>86</v>
      </c>
      <c r="G14" s="5">
        <v>121</v>
      </c>
      <c r="H14" s="5">
        <f t="shared" si="1"/>
        <v>4145</v>
      </c>
      <c r="I14" s="5">
        <v>0</v>
      </c>
      <c r="J14" s="9"/>
      <c r="K14" s="5">
        <v>9</v>
      </c>
      <c r="L14" s="5">
        <v>0</v>
      </c>
      <c r="M14" s="5">
        <v>4</v>
      </c>
      <c r="N14" s="5">
        <v>4</v>
      </c>
      <c r="O14" s="5">
        <f t="shared" si="0"/>
        <v>8</v>
      </c>
      <c r="P14" s="10">
        <f t="shared" si="2"/>
        <v>6135</v>
      </c>
    </row>
    <row r="15" spans="1:19" ht="18" customHeight="1" thickTop="1" thickBot="1" x14ac:dyDescent="0.35">
      <c r="A15" s="4">
        <v>10</v>
      </c>
      <c r="B15" s="5">
        <f>1888+14</f>
        <v>1902</v>
      </c>
      <c r="C15" s="5">
        <v>15</v>
      </c>
      <c r="D15" s="5">
        <v>940</v>
      </c>
      <c r="E15" s="5">
        <v>150</v>
      </c>
      <c r="F15" s="5">
        <v>200</v>
      </c>
      <c r="G15" s="5">
        <v>274</v>
      </c>
      <c r="H15" s="5">
        <f t="shared" si="1"/>
        <v>3481</v>
      </c>
      <c r="I15" s="5">
        <v>0</v>
      </c>
      <c r="J15" s="9"/>
      <c r="K15" s="5">
        <v>10</v>
      </c>
      <c r="L15" s="5">
        <v>2</v>
      </c>
      <c r="M15" s="5">
        <v>14</v>
      </c>
      <c r="N15" s="5">
        <v>4</v>
      </c>
      <c r="O15" s="5">
        <f t="shared" si="0"/>
        <v>20</v>
      </c>
      <c r="P15" s="7">
        <f t="shared" si="2"/>
        <v>6135</v>
      </c>
    </row>
    <row r="16" spans="1:19" ht="18" customHeight="1" thickTop="1" thickBot="1" x14ac:dyDescent="0.35">
      <c r="A16" s="4">
        <v>11</v>
      </c>
      <c r="B16" s="5">
        <f>1793+20</f>
        <v>1813</v>
      </c>
      <c r="C16" s="5">
        <v>13</v>
      </c>
      <c r="D16" s="5">
        <v>1055</v>
      </c>
      <c r="E16" s="5">
        <v>169</v>
      </c>
      <c r="F16" s="5">
        <v>185</v>
      </c>
      <c r="G16" s="5">
        <v>272</v>
      </c>
      <c r="H16" s="5">
        <f t="shared" si="1"/>
        <v>3507</v>
      </c>
      <c r="I16" s="5">
        <v>0</v>
      </c>
      <c r="J16" s="9"/>
      <c r="K16" s="5">
        <v>11</v>
      </c>
      <c r="L16" s="5">
        <v>0</v>
      </c>
      <c r="M16" s="5">
        <v>24</v>
      </c>
      <c r="N16" s="5">
        <v>3</v>
      </c>
      <c r="O16" s="5">
        <f t="shared" si="0"/>
        <v>27</v>
      </c>
      <c r="P16" s="7">
        <f t="shared" si="2"/>
        <v>6135</v>
      </c>
      <c r="Q16" s="12"/>
    </row>
    <row r="17" spans="1:26" ht="18" customHeight="1" thickTop="1" thickBot="1" x14ac:dyDescent="0.35">
      <c r="A17" s="4">
        <v>12</v>
      </c>
      <c r="B17" s="5">
        <f>1786+28</f>
        <v>1814</v>
      </c>
      <c r="C17" s="5">
        <v>9</v>
      </c>
      <c r="D17" s="5">
        <v>1159</v>
      </c>
      <c r="E17" s="5">
        <v>172</v>
      </c>
      <c r="F17" s="5">
        <v>200</v>
      </c>
      <c r="G17" s="5">
        <v>274</v>
      </c>
      <c r="H17" s="5">
        <f t="shared" si="1"/>
        <v>3628</v>
      </c>
      <c r="I17" s="5">
        <v>0</v>
      </c>
      <c r="J17" s="9"/>
      <c r="K17" s="5">
        <v>12</v>
      </c>
      <c r="L17" s="5">
        <v>0</v>
      </c>
      <c r="M17" s="5">
        <v>14</v>
      </c>
      <c r="N17" s="5">
        <v>1</v>
      </c>
      <c r="O17" s="5">
        <f t="shared" si="0"/>
        <v>15</v>
      </c>
      <c r="P17" s="7">
        <f t="shared" si="2"/>
        <v>6135</v>
      </c>
    </row>
    <row r="18" spans="1:26" ht="18" customHeight="1" thickTop="1" thickBot="1" x14ac:dyDescent="0.35">
      <c r="A18" s="4">
        <v>13</v>
      </c>
      <c r="B18" s="5">
        <f>1958+15</f>
        <v>1973</v>
      </c>
      <c r="C18" s="5">
        <v>9</v>
      </c>
      <c r="D18" s="5">
        <v>1187</v>
      </c>
      <c r="E18" s="5">
        <v>223</v>
      </c>
      <c r="F18" s="5">
        <v>199</v>
      </c>
      <c r="G18" s="5">
        <v>271</v>
      </c>
      <c r="H18" s="5">
        <f t="shared" si="1"/>
        <v>3862</v>
      </c>
      <c r="I18" s="5">
        <v>0</v>
      </c>
      <c r="J18" s="9"/>
      <c r="K18" s="5">
        <v>13</v>
      </c>
      <c r="L18" s="5">
        <v>0</v>
      </c>
      <c r="M18" s="5">
        <v>18</v>
      </c>
      <c r="N18" s="5">
        <v>4</v>
      </c>
      <c r="O18" s="5">
        <f t="shared" si="0"/>
        <v>22</v>
      </c>
      <c r="P18" s="7">
        <f t="shared" si="2"/>
        <v>6135</v>
      </c>
    </row>
    <row r="19" spans="1:26" ht="18" customHeight="1" thickTop="1" thickBot="1" x14ac:dyDescent="0.35">
      <c r="A19" s="4">
        <v>14</v>
      </c>
      <c r="B19" s="5">
        <f>2812+19</f>
        <v>2831</v>
      </c>
      <c r="C19" s="5">
        <v>10</v>
      </c>
      <c r="D19" s="5">
        <v>1180</v>
      </c>
      <c r="E19" s="5">
        <v>177</v>
      </c>
      <c r="F19" s="5">
        <v>221</v>
      </c>
      <c r="G19" s="5">
        <v>229</v>
      </c>
      <c r="H19" s="5">
        <f t="shared" si="1"/>
        <v>4648</v>
      </c>
      <c r="I19" s="5">
        <v>0</v>
      </c>
      <c r="J19" s="9"/>
      <c r="K19" s="5">
        <v>14</v>
      </c>
      <c r="L19" s="5">
        <v>1</v>
      </c>
      <c r="M19" s="5">
        <v>14</v>
      </c>
      <c r="N19" s="5">
        <v>1</v>
      </c>
      <c r="O19" s="5">
        <f t="shared" si="0"/>
        <v>16</v>
      </c>
      <c r="P19" s="7">
        <f t="shared" si="2"/>
        <v>6135</v>
      </c>
    </row>
    <row r="20" spans="1:26" ht="18" customHeight="1" thickTop="1" thickBot="1" x14ac:dyDescent="0.35">
      <c r="A20" s="4">
        <v>15</v>
      </c>
      <c r="B20" s="5">
        <f>2971+13</f>
        <v>2984</v>
      </c>
      <c r="C20" s="5">
        <v>10</v>
      </c>
      <c r="D20" s="5">
        <f>994+12</f>
        <v>1006</v>
      </c>
      <c r="E20" s="5">
        <v>163</v>
      </c>
      <c r="F20" s="5">
        <v>194</v>
      </c>
      <c r="G20" s="5">
        <v>241</v>
      </c>
      <c r="H20" s="5">
        <f t="shared" si="1"/>
        <v>4598</v>
      </c>
      <c r="I20" s="5">
        <v>0</v>
      </c>
      <c r="J20" s="9"/>
      <c r="K20" s="5">
        <v>15</v>
      </c>
      <c r="L20" s="5">
        <v>0</v>
      </c>
      <c r="M20" s="5">
        <v>16</v>
      </c>
      <c r="N20" s="5">
        <v>3</v>
      </c>
      <c r="O20" s="5">
        <f t="shared" si="0"/>
        <v>19</v>
      </c>
      <c r="P20" s="7">
        <f t="shared" si="2"/>
        <v>6135</v>
      </c>
    </row>
    <row r="21" spans="1:26" ht="18" customHeight="1" thickTop="1" thickBot="1" x14ac:dyDescent="0.35">
      <c r="A21" s="4">
        <v>16</v>
      </c>
      <c r="B21" s="5">
        <f>4043+21</f>
        <v>4064</v>
      </c>
      <c r="C21" s="5">
        <v>6</v>
      </c>
      <c r="D21" s="5">
        <v>826</v>
      </c>
      <c r="E21" s="5">
        <v>101</v>
      </c>
      <c r="F21" s="5">
        <v>119</v>
      </c>
      <c r="G21" s="5">
        <v>148</v>
      </c>
      <c r="H21" s="5">
        <f t="shared" si="1"/>
        <v>5264</v>
      </c>
      <c r="I21" s="5">
        <v>0</v>
      </c>
      <c r="J21" s="9"/>
      <c r="K21" s="5">
        <v>16</v>
      </c>
      <c r="L21" s="5">
        <v>0</v>
      </c>
      <c r="M21" s="5">
        <v>5</v>
      </c>
      <c r="N21" s="5">
        <v>0</v>
      </c>
      <c r="O21" s="5">
        <f t="shared" si="0"/>
        <v>5</v>
      </c>
      <c r="P21" s="7">
        <f>+P20</f>
        <v>6135</v>
      </c>
    </row>
    <row r="22" spans="1:26" ht="18" customHeight="1" thickTop="1" thickBot="1" x14ac:dyDescent="0.35">
      <c r="A22" s="4">
        <v>17</v>
      </c>
      <c r="B22" s="5">
        <f>1811+22</f>
        <v>1833</v>
      </c>
      <c r="C22" s="5">
        <v>7</v>
      </c>
      <c r="D22" s="5">
        <v>1107</v>
      </c>
      <c r="E22" s="5">
        <v>198</v>
      </c>
      <c r="F22" s="5">
        <v>197</v>
      </c>
      <c r="G22" s="5">
        <v>265</v>
      </c>
      <c r="H22" s="5">
        <f>SUM(B22:G22)</f>
        <v>3607</v>
      </c>
      <c r="I22" s="5">
        <v>0</v>
      </c>
      <c r="J22" s="9"/>
      <c r="K22" s="5">
        <v>17</v>
      </c>
      <c r="L22" s="5">
        <v>0</v>
      </c>
      <c r="M22" s="5">
        <v>15</v>
      </c>
      <c r="N22" s="5">
        <v>2</v>
      </c>
      <c r="O22" s="5">
        <f t="shared" si="0"/>
        <v>17</v>
      </c>
      <c r="P22" s="7">
        <f t="shared" si="2"/>
        <v>6135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 customHeight="1" thickTop="1" thickBot="1" x14ac:dyDescent="0.35">
      <c r="A23" s="4">
        <v>18</v>
      </c>
      <c r="B23" s="5">
        <f>1837+24</f>
        <v>1861</v>
      </c>
      <c r="C23" s="5">
        <v>9</v>
      </c>
      <c r="D23" s="5">
        <v>1162</v>
      </c>
      <c r="E23" s="5">
        <v>190</v>
      </c>
      <c r="F23" s="5">
        <v>215</v>
      </c>
      <c r="G23" s="5">
        <v>276</v>
      </c>
      <c r="H23" s="5">
        <f t="shared" si="1"/>
        <v>3713</v>
      </c>
      <c r="I23" s="5">
        <v>0</v>
      </c>
      <c r="J23" s="9"/>
      <c r="K23" s="5">
        <v>18</v>
      </c>
      <c r="L23" s="5">
        <v>0</v>
      </c>
      <c r="M23" s="5">
        <v>8</v>
      </c>
      <c r="N23" s="5">
        <v>3</v>
      </c>
      <c r="O23" s="5">
        <f t="shared" si="0"/>
        <v>11</v>
      </c>
      <c r="P23" s="7">
        <f t="shared" si="2"/>
        <v>6135</v>
      </c>
    </row>
    <row r="24" spans="1:26" s="12" customFormat="1" ht="18" customHeight="1" thickTop="1" thickBot="1" x14ac:dyDescent="0.3">
      <c r="A24" s="4">
        <v>19</v>
      </c>
      <c r="B24" s="5">
        <f>1924+21</f>
        <v>1945</v>
      </c>
      <c r="C24" s="5">
        <v>12</v>
      </c>
      <c r="D24" s="5">
        <v>1136</v>
      </c>
      <c r="E24" s="5">
        <v>210</v>
      </c>
      <c r="F24" s="5">
        <v>218</v>
      </c>
      <c r="G24" s="5">
        <v>255</v>
      </c>
      <c r="H24" s="5">
        <f t="shared" si="1"/>
        <v>3776</v>
      </c>
      <c r="I24" s="5">
        <v>0</v>
      </c>
      <c r="J24" s="9"/>
      <c r="K24" s="5">
        <v>19</v>
      </c>
      <c r="L24" s="5">
        <v>1</v>
      </c>
      <c r="M24" s="5">
        <v>13</v>
      </c>
      <c r="N24" s="5">
        <v>2</v>
      </c>
      <c r="O24" s="5">
        <f t="shared" si="0"/>
        <v>16</v>
      </c>
      <c r="P24" s="7">
        <f t="shared" si="2"/>
        <v>6135</v>
      </c>
    </row>
    <row r="25" spans="1:26" ht="18" customHeight="1" thickTop="1" thickBot="1" x14ac:dyDescent="0.35">
      <c r="A25" s="4">
        <v>20</v>
      </c>
      <c r="B25" s="5">
        <f>2276+28</f>
        <v>2304</v>
      </c>
      <c r="C25" s="5">
        <v>10</v>
      </c>
      <c r="D25" s="5">
        <v>1111</v>
      </c>
      <c r="E25" s="5">
        <v>207</v>
      </c>
      <c r="F25" s="5">
        <v>206</v>
      </c>
      <c r="G25" s="5">
        <v>301</v>
      </c>
      <c r="H25" s="5">
        <f t="shared" si="1"/>
        <v>4139</v>
      </c>
      <c r="I25" s="5">
        <v>0</v>
      </c>
      <c r="J25" s="9"/>
      <c r="K25" s="5">
        <v>20</v>
      </c>
      <c r="L25" s="5">
        <v>0</v>
      </c>
      <c r="M25" s="5">
        <v>13</v>
      </c>
      <c r="N25" s="5">
        <v>0</v>
      </c>
      <c r="O25" s="5">
        <f t="shared" si="0"/>
        <v>13</v>
      </c>
      <c r="P25" s="7">
        <f t="shared" si="2"/>
        <v>6135</v>
      </c>
    </row>
    <row r="26" spans="1:26" ht="18" customHeight="1" thickTop="1" thickBot="1" x14ac:dyDescent="0.35">
      <c r="A26" s="4">
        <v>21</v>
      </c>
      <c r="B26" s="5">
        <f>4990+31</f>
        <v>5021</v>
      </c>
      <c r="C26" s="5">
        <v>8</v>
      </c>
      <c r="D26" s="5">
        <f>1265+14</f>
        <v>1279</v>
      </c>
      <c r="E26" s="5">
        <v>223</v>
      </c>
      <c r="F26" s="5">
        <v>217</v>
      </c>
      <c r="G26" s="5">
        <v>235</v>
      </c>
      <c r="H26" s="5">
        <f t="shared" si="1"/>
        <v>6983</v>
      </c>
      <c r="I26" s="5">
        <v>0</v>
      </c>
      <c r="J26" s="9"/>
      <c r="K26" s="5">
        <v>21</v>
      </c>
      <c r="L26" s="5">
        <v>0</v>
      </c>
      <c r="M26" s="5">
        <v>6</v>
      </c>
      <c r="N26" s="5">
        <v>1</v>
      </c>
      <c r="O26" s="5">
        <f t="shared" si="0"/>
        <v>7</v>
      </c>
      <c r="P26" s="7">
        <f t="shared" si="2"/>
        <v>6135</v>
      </c>
    </row>
    <row r="27" spans="1:26" ht="18" customHeight="1" thickTop="1" thickBot="1" x14ac:dyDescent="0.35">
      <c r="A27" s="4">
        <v>22</v>
      </c>
      <c r="B27" s="5">
        <f>6685+15</f>
        <v>6700</v>
      </c>
      <c r="C27" s="5">
        <v>8</v>
      </c>
      <c r="D27" s="5">
        <v>826</v>
      </c>
      <c r="E27" s="5">
        <v>65</v>
      </c>
      <c r="F27" s="5">
        <v>114</v>
      </c>
      <c r="G27" s="5">
        <v>95</v>
      </c>
      <c r="H27" s="5">
        <f t="shared" si="1"/>
        <v>7808</v>
      </c>
      <c r="I27" s="5">
        <v>0</v>
      </c>
      <c r="J27" s="9"/>
      <c r="K27" s="5">
        <v>22</v>
      </c>
      <c r="L27" s="5">
        <v>0</v>
      </c>
      <c r="M27" s="5">
        <v>4</v>
      </c>
      <c r="N27" s="5">
        <v>2</v>
      </c>
      <c r="O27" s="5">
        <f t="shared" si="0"/>
        <v>6</v>
      </c>
      <c r="P27" s="7">
        <f t="shared" si="2"/>
        <v>6135</v>
      </c>
    </row>
    <row r="28" spans="1:26" ht="18" customHeight="1" thickTop="1" thickBot="1" x14ac:dyDescent="0.35">
      <c r="A28" s="4">
        <v>23</v>
      </c>
      <c r="B28" s="5">
        <f>5961+11</f>
        <v>5972</v>
      </c>
      <c r="C28" s="5">
        <v>4</v>
      </c>
      <c r="D28" s="5">
        <v>860</v>
      </c>
      <c r="E28" s="5">
        <v>129</v>
      </c>
      <c r="F28" s="5">
        <v>186</v>
      </c>
      <c r="G28" s="5">
        <v>178</v>
      </c>
      <c r="H28" s="5">
        <f t="shared" si="1"/>
        <v>7329</v>
      </c>
      <c r="I28" s="5">
        <v>0</v>
      </c>
      <c r="J28" s="9"/>
      <c r="K28" s="5">
        <v>23</v>
      </c>
      <c r="L28" s="5">
        <v>0</v>
      </c>
      <c r="M28" s="5">
        <v>4</v>
      </c>
      <c r="N28" s="5">
        <v>0</v>
      </c>
      <c r="O28" s="5">
        <f t="shared" si="0"/>
        <v>4</v>
      </c>
      <c r="P28" s="7">
        <f t="shared" si="2"/>
        <v>6135</v>
      </c>
    </row>
    <row r="29" spans="1:26" ht="18" customHeight="1" thickTop="1" thickBot="1" x14ac:dyDescent="0.35">
      <c r="A29" s="4">
        <v>24</v>
      </c>
      <c r="B29" s="5">
        <f>9727+11</f>
        <v>9738</v>
      </c>
      <c r="C29" s="5">
        <v>6</v>
      </c>
      <c r="D29" s="5">
        <v>693</v>
      </c>
      <c r="E29" s="5">
        <v>63</v>
      </c>
      <c r="F29" s="5">
        <v>84</v>
      </c>
      <c r="G29" s="5">
        <v>106</v>
      </c>
      <c r="H29" s="5">
        <f t="shared" si="1"/>
        <v>10690</v>
      </c>
      <c r="I29" s="5">
        <v>0</v>
      </c>
      <c r="J29" s="9"/>
      <c r="K29" s="5">
        <v>24</v>
      </c>
      <c r="L29" s="5">
        <v>0</v>
      </c>
      <c r="M29" s="5">
        <v>4</v>
      </c>
      <c r="N29" s="5">
        <v>1</v>
      </c>
      <c r="O29" s="5">
        <f t="shared" si="0"/>
        <v>5</v>
      </c>
      <c r="P29" s="7">
        <f t="shared" si="2"/>
        <v>6135</v>
      </c>
    </row>
    <row r="30" spans="1:26" s="12" customFormat="1" ht="18" customHeight="1" thickTop="1" thickBot="1" x14ac:dyDescent="0.3">
      <c r="A30" s="4">
        <v>25</v>
      </c>
      <c r="B30" s="5">
        <f>2054+21</f>
        <v>2075</v>
      </c>
      <c r="C30" s="5">
        <v>10</v>
      </c>
      <c r="D30" s="5">
        <f>998+10</f>
        <v>1008</v>
      </c>
      <c r="E30" s="5">
        <v>179</v>
      </c>
      <c r="F30" s="5">
        <v>191</v>
      </c>
      <c r="G30" s="5">
        <v>238</v>
      </c>
      <c r="H30" s="5">
        <f t="shared" si="1"/>
        <v>3701</v>
      </c>
      <c r="I30" s="5">
        <v>0</v>
      </c>
      <c r="J30" s="9"/>
      <c r="K30" s="5">
        <v>25</v>
      </c>
      <c r="L30" s="5">
        <v>0</v>
      </c>
      <c r="M30" s="5">
        <v>9</v>
      </c>
      <c r="N30" s="5"/>
      <c r="O30" s="5">
        <f t="shared" si="0"/>
        <v>9</v>
      </c>
      <c r="P30" s="7">
        <f t="shared" si="2"/>
        <v>6135</v>
      </c>
    </row>
    <row r="31" spans="1:26" ht="18" customHeight="1" thickTop="1" thickBot="1" x14ac:dyDescent="0.35">
      <c r="A31" s="4">
        <v>26</v>
      </c>
      <c r="B31" s="5">
        <f>1829+34</f>
        <v>1863</v>
      </c>
      <c r="C31" s="5">
        <v>10</v>
      </c>
      <c r="D31" s="5">
        <f>1151+12</f>
        <v>1163</v>
      </c>
      <c r="E31" s="5">
        <v>195</v>
      </c>
      <c r="F31" s="5">
        <v>195</v>
      </c>
      <c r="G31" s="5">
        <v>250</v>
      </c>
      <c r="H31" s="5">
        <f t="shared" si="1"/>
        <v>3676</v>
      </c>
      <c r="I31" s="5">
        <v>0</v>
      </c>
      <c r="J31" s="9"/>
      <c r="K31" s="5">
        <v>26</v>
      </c>
      <c r="L31" s="5">
        <v>2</v>
      </c>
      <c r="M31" s="5">
        <v>16</v>
      </c>
      <c r="N31" s="5">
        <v>4</v>
      </c>
      <c r="O31" s="5">
        <f t="shared" si="0"/>
        <v>22</v>
      </c>
      <c r="P31" s="7">
        <f t="shared" si="2"/>
        <v>6135</v>
      </c>
    </row>
    <row r="32" spans="1:26" ht="18" customHeight="1" thickTop="1" thickBot="1" x14ac:dyDescent="0.35">
      <c r="A32" s="4">
        <v>27</v>
      </c>
      <c r="B32" s="5">
        <f>1965+27</f>
        <v>1992</v>
      </c>
      <c r="C32" s="5">
        <v>8</v>
      </c>
      <c r="D32" s="5">
        <v>1165</v>
      </c>
      <c r="E32" s="5">
        <v>185</v>
      </c>
      <c r="F32" s="5">
        <v>203</v>
      </c>
      <c r="G32" s="5">
        <v>278</v>
      </c>
      <c r="H32" s="5">
        <f t="shared" si="1"/>
        <v>3831</v>
      </c>
      <c r="I32" s="5">
        <v>0</v>
      </c>
      <c r="J32" s="9"/>
      <c r="K32" s="5">
        <v>27</v>
      </c>
      <c r="L32" s="5">
        <v>0</v>
      </c>
      <c r="M32" s="5">
        <v>6</v>
      </c>
      <c r="N32" s="5">
        <v>0</v>
      </c>
      <c r="O32" s="5">
        <f t="shared" si="0"/>
        <v>6</v>
      </c>
      <c r="P32" s="7">
        <f t="shared" si="2"/>
        <v>6135</v>
      </c>
    </row>
    <row r="33" spans="1:17" ht="15.75" customHeight="1" thickTop="1" thickBot="1" x14ac:dyDescent="0.35">
      <c r="A33" s="4">
        <v>28</v>
      </c>
      <c r="B33" s="5">
        <f>2585+22</f>
        <v>2607</v>
      </c>
      <c r="C33" s="5">
        <v>16</v>
      </c>
      <c r="D33" s="5">
        <v>1161</v>
      </c>
      <c r="E33" s="5">
        <v>200</v>
      </c>
      <c r="F33" s="5">
        <v>200</v>
      </c>
      <c r="G33" s="5">
        <v>224</v>
      </c>
      <c r="H33" s="5">
        <f t="shared" si="1"/>
        <v>4408</v>
      </c>
      <c r="I33" s="5">
        <v>0</v>
      </c>
      <c r="J33" s="9"/>
      <c r="K33" s="5">
        <v>28</v>
      </c>
      <c r="L33" s="5">
        <v>1</v>
      </c>
      <c r="M33" s="5">
        <v>18</v>
      </c>
      <c r="N33" s="5">
        <v>3</v>
      </c>
      <c r="O33" s="5">
        <f t="shared" si="0"/>
        <v>22</v>
      </c>
      <c r="P33" s="7">
        <f t="shared" si="2"/>
        <v>6135</v>
      </c>
    </row>
    <row r="34" spans="1:17" s="12" customFormat="1" ht="17.25" customHeight="1" thickTop="1" thickBot="1" x14ac:dyDescent="0.3">
      <c r="A34" s="4">
        <v>29</v>
      </c>
      <c r="B34" s="5">
        <f>2874+15</f>
        <v>2889</v>
      </c>
      <c r="C34" s="5">
        <v>6</v>
      </c>
      <c r="D34" s="5">
        <v>1021</v>
      </c>
      <c r="E34" s="5">
        <v>175</v>
      </c>
      <c r="F34" s="5">
        <v>224</v>
      </c>
      <c r="G34" s="5">
        <v>206</v>
      </c>
      <c r="H34" s="5">
        <f t="shared" si="1"/>
        <v>4521</v>
      </c>
      <c r="I34" s="5">
        <v>0</v>
      </c>
      <c r="J34" s="9"/>
      <c r="K34" s="5">
        <v>29</v>
      </c>
      <c r="L34" s="5">
        <v>0</v>
      </c>
      <c r="M34" s="5">
        <v>11</v>
      </c>
      <c r="N34" s="5">
        <v>0</v>
      </c>
      <c r="O34" s="5">
        <f>SUM(L34:N34)</f>
        <v>11</v>
      </c>
      <c r="P34" s="7">
        <f t="shared" si="2"/>
        <v>6135</v>
      </c>
    </row>
    <row r="35" spans="1:17" s="12" customFormat="1" ht="17.25" customHeight="1" thickTop="1" thickBot="1" x14ac:dyDescent="0.3">
      <c r="A35" s="4">
        <v>30</v>
      </c>
      <c r="B35" s="5">
        <f>3685+9</f>
        <v>3694</v>
      </c>
      <c r="C35" s="5">
        <v>4</v>
      </c>
      <c r="D35" s="5">
        <v>770</v>
      </c>
      <c r="E35" s="5">
        <v>93</v>
      </c>
      <c r="F35" s="5">
        <v>143</v>
      </c>
      <c r="G35" s="5">
        <v>189</v>
      </c>
      <c r="H35" s="5">
        <f t="shared" si="1"/>
        <v>4893</v>
      </c>
      <c r="I35" s="5">
        <v>0</v>
      </c>
      <c r="J35" s="9"/>
      <c r="K35" s="5">
        <v>30</v>
      </c>
      <c r="L35" s="5">
        <v>0</v>
      </c>
      <c r="M35" s="5">
        <v>6</v>
      </c>
      <c r="N35" s="5">
        <v>1</v>
      </c>
      <c r="O35" s="5">
        <f>SUM(L35:N35)</f>
        <v>7</v>
      </c>
      <c r="P35" s="7">
        <f t="shared" si="2"/>
        <v>6135</v>
      </c>
    </row>
    <row r="36" spans="1:17" s="12" customFormat="1" ht="17.25" customHeight="1" thickTop="1" thickBot="1" x14ac:dyDescent="0.3">
      <c r="A36" s="4">
        <v>31</v>
      </c>
      <c r="B36" s="5">
        <f>1814+14</f>
        <v>1828</v>
      </c>
      <c r="C36" s="5">
        <v>11</v>
      </c>
      <c r="D36" s="5">
        <v>966</v>
      </c>
      <c r="E36" s="5">
        <v>206</v>
      </c>
      <c r="F36" s="5">
        <v>205</v>
      </c>
      <c r="G36" s="5">
        <v>237</v>
      </c>
      <c r="H36" s="5">
        <f t="shared" si="1"/>
        <v>3453</v>
      </c>
      <c r="I36" s="5">
        <v>0</v>
      </c>
      <c r="J36" s="9"/>
      <c r="K36" s="5">
        <v>31</v>
      </c>
      <c r="L36" s="5">
        <v>1</v>
      </c>
      <c r="M36" s="5">
        <v>10</v>
      </c>
      <c r="N36" s="5">
        <v>4</v>
      </c>
      <c r="O36" s="5">
        <f>SUM(L36:N36)</f>
        <v>15</v>
      </c>
      <c r="P36" s="7">
        <f t="shared" si="2"/>
        <v>6135</v>
      </c>
    </row>
    <row r="37" spans="1:17" ht="18" customHeight="1" thickTop="1" x14ac:dyDescent="0.3">
      <c r="A37" s="3" t="s">
        <v>19</v>
      </c>
      <c r="B37" s="14">
        <f>SUM(B6:B36)</f>
        <v>94173</v>
      </c>
      <c r="C37" s="14">
        <f t="shared" ref="C37:O37" si="3">SUM(C6:C36)</f>
        <v>303</v>
      </c>
      <c r="D37" s="14">
        <f t="shared" si="3"/>
        <v>31587</v>
      </c>
      <c r="E37" s="14">
        <f t="shared" si="3"/>
        <v>5137</v>
      </c>
      <c r="F37" s="14">
        <f t="shared" si="3"/>
        <v>5605</v>
      </c>
      <c r="G37" s="14">
        <f t="shared" si="3"/>
        <v>6990</v>
      </c>
      <c r="H37" s="14">
        <f t="shared" si="3"/>
        <v>143795</v>
      </c>
      <c r="I37" s="14">
        <f t="shared" si="3"/>
        <v>0</v>
      </c>
      <c r="J37" s="14"/>
      <c r="K37" s="14">
        <f t="shared" si="3"/>
        <v>496</v>
      </c>
      <c r="L37" s="14">
        <f t="shared" si="3"/>
        <v>17</v>
      </c>
      <c r="M37" s="14">
        <f t="shared" si="3"/>
        <v>331</v>
      </c>
      <c r="N37" s="14">
        <f t="shared" si="3"/>
        <v>53</v>
      </c>
      <c r="O37" s="14">
        <f t="shared" si="3"/>
        <v>401</v>
      </c>
      <c r="P37" s="12"/>
      <c r="Q37" s="12"/>
    </row>
    <row r="38" spans="1:17" ht="18" customHeight="1" x14ac:dyDescent="0.3">
      <c r="A38" s="3" t="s">
        <v>19</v>
      </c>
      <c r="B38" s="47">
        <f>+B37+C37</f>
        <v>94476</v>
      </c>
      <c r="C38" s="47"/>
      <c r="D38" s="14">
        <f t="shared" ref="D38:H38" si="4">+D37</f>
        <v>31587</v>
      </c>
      <c r="E38" s="14">
        <f t="shared" si="4"/>
        <v>5137</v>
      </c>
      <c r="F38" s="14">
        <f t="shared" si="4"/>
        <v>5605</v>
      </c>
      <c r="G38" s="14">
        <f t="shared" si="4"/>
        <v>6990</v>
      </c>
      <c r="H38" s="14">
        <f t="shared" si="4"/>
        <v>143795</v>
      </c>
      <c r="I38" s="14">
        <v>0</v>
      </c>
      <c r="J38" s="15"/>
      <c r="K38" s="3" t="s">
        <v>20</v>
      </c>
      <c r="L38" s="16" t="s">
        <v>21</v>
      </c>
      <c r="M38" s="16" t="s">
        <v>22</v>
      </c>
      <c r="N38" s="16" t="s">
        <v>21</v>
      </c>
      <c r="O38" s="16" t="s">
        <v>22</v>
      </c>
      <c r="P38" s="12"/>
      <c r="Q38" s="12"/>
    </row>
    <row r="39" spans="1:17" ht="17.399999999999999" x14ac:dyDescent="0.3">
      <c r="A39" s="20"/>
      <c r="B39" s="21"/>
      <c r="C39" s="21"/>
      <c r="D39" s="21"/>
      <c r="E39" s="21"/>
      <c r="F39" s="21"/>
      <c r="G39" s="21"/>
      <c r="H39" s="21"/>
      <c r="I39" s="21"/>
      <c r="J39" s="22"/>
      <c r="K39" s="23"/>
      <c r="L39" s="23"/>
    </row>
    <row r="40" spans="1:17" ht="17.399999999999999" x14ac:dyDescent="0.3">
      <c r="A40" s="8"/>
      <c r="H40" s="8"/>
      <c r="K40" s="23"/>
      <c r="L40" s="23"/>
    </row>
    <row r="41" spans="1:17" ht="17.399999999999999" x14ac:dyDescent="0.3">
      <c r="A41" s="24"/>
      <c r="K41" s="23"/>
      <c r="L41" s="23"/>
    </row>
    <row r="42" spans="1:17" ht="15.6" x14ac:dyDescent="0.3">
      <c r="A42" s="24"/>
      <c r="I42" s="8"/>
      <c r="J42" s="8"/>
    </row>
    <row r="44" spans="1:17" x14ac:dyDescent="0.3">
      <c r="A44" s="25"/>
    </row>
    <row r="45" spans="1:17" x14ac:dyDescent="0.3">
      <c r="A45" s="2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BC64-FCF5-4C71-A6D1-0791304B726E}">
  <dimension ref="A1:Y46"/>
  <sheetViews>
    <sheetView topLeftCell="A21" workbookViewId="0">
      <selection activeCell="E24" sqref="E24"/>
    </sheetView>
  </sheetViews>
  <sheetFormatPr baseColWidth="10" defaultColWidth="11.44140625" defaultRowHeight="15.6" x14ac:dyDescent="0.3"/>
  <cols>
    <col min="1" max="1" width="13.5546875" style="27" customWidth="1"/>
    <col min="2" max="2" width="11.33203125" style="27" customWidth="1"/>
    <col min="3" max="3" width="8.5546875" style="27" customWidth="1"/>
    <col min="4" max="4" width="18.6640625" style="27" customWidth="1"/>
    <col min="5" max="5" width="13.6640625" style="27" customWidth="1"/>
    <col min="6" max="6" width="13.33203125" style="27" customWidth="1"/>
    <col min="7" max="7" width="13.109375" style="27" customWidth="1"/>
    <col min="8" max="8" width="17.109375" style="27" customWidth="1"/>
    <col min="9" max="9" width="14.44140625" style="27" bestFit="1" customWidth="1"/>
    <col min="10" max="10" width="3.88671875" style="27" customWidth="1"/>
    <col min="11" max="11" width="10.6640625" style="27" customWidth="1"/>
    <col min="12" max="12" width="14.88671875" style="27" customWidth="1"/>
    <col min="13" max="13" width="15.88671875" style="27" customWidth="1"/>
    <col min="14" max="14" width="10.109375" style="27" customWidth="1"/>
    <col min="15" max="15" width="9.88671875" style="27" customWidth="1"/>
    <col min="16" max="16384" width="11.44140625" style="27"/>
  </cols>
  <sheetData>
    <row r="1" spans="1:18" customFormat="1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customFormat="1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customFormat="1" x14ac:dyDescent="0.3">
      <c r="A3" s="49" t="s">
        <v>28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s="28" customFormat="1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s="28" customFormat="1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s="28" customFormat="1" ht="18" customHeight="1" x14ac:dyDescent="0.3">
      <c r="A6" s="4">
        <v>1</v>
      </c>
      <c r="B6" s="5">
        <f>1742+18</f>
        <v>1760</v>
      </c>
      <c r="C6" s="5">
        <v>7</v>
      </c>
      <c r="D6" s="5">
        <v>1145</v>
      </c>
      <c r="E6" s="5">
        <v>179</v>
      </c>
      <c r="F6" s="5">
        <v>198</v>
      </c>
      <c r="G6" s="5">
        <v>261</v>
      </c>
      <c r="H6" s="5">
        <f>SUM(B6:G6)</f>
        <v>3550</v>
      </c>
      <c r="I6" s="5">
        <v>0</v>
      </c>
      <c r="J6" s="6"/>
      <c r="K6" s="5">
        <v>1</v>
      </c>
      <c r="L6" s="5">
        <v>0</v>
      </c>
      <c r="M6" s="5">
        <v>21</v>
      </c>
      <c r="N6" s="5">
        <v>0</v>
      </c>
      <c r="O6" s="5">
        <f>SUM(L6:N6)</f>
        <v>21</v>
      </c>
    </row>
    <row r="7" spans="1:18" s="28" customFormat="1" ht="18" customHeight="1" x14ac:dyDescent="0.3">
      <c r="A7" s="4">
        <v>2</v>
      </c>
      <c r="B7" s="5">
        <f>1903+18</f>
        <v>1921</v>
      </c>
      <c r="C7" s="5">
        <v>8</v>
      </c>
      <c r="D7" s="5">
        <v>1188</v>
      </c>
      <c r="E7" s="5">
        <v>205</v>
      </c>
      <c r="F7" s="5">
        <v>204</v>
      </c>
      <c r="G7" s="5">
        <v>267</v>
      </c>
      <c r="H7" s="5">
        <f>SUM(B7:G7)</f>
        <v>3793</v>
      </c>
      <c r="I7" s="5">
        <v>0</v>
      </c>
      <c r="J7" s="6"/>
      <c r="K7" s="5">
        <v>2</v>
      </c>
      <c r="L7" s="5">
        <v>2</v>
      </c>
      <c r="M7" s="5">
        <v>15</v>
      </c>
      <c r="N7" s="5">
        <v>4</v>
      </c>
      <c r="O7" s="5">
        <f t="shared" ref="O7:O33" si="0">SUM(L7:N7)</f>
        <v>21</v>
      </c>
    </row>
    <row r="8" spans="1:18" s="28" customFormat="1" ht="18" customHeight="1" x14ac:dyDescent="0.3">
      <c r="A8" s="4">
        <v>3</v>
      </c>
      <c r="B8" s="5">
        <f>2039+25</f>
        <v>2064</v>
      </c>
      <c r="C8" s="5">
        <v>6</v>
      </c>
      <c r="D8" s="5">
        <v>1136</v>
      </c>
      <c r="E8" s="5">
        <v>238</v>
      </c>
      <c r="F8" s="5">
        <v>214</v>
      </c>
      <c r="G8" s="5">
        <v>268</v>
      </c>
      <c r="H8" s="5">
        <f t="shared" ref="H8:H36" si="1">SUM(B8:G8)</f>
        <v>3926</v>
      </c>
      <c r="I8" s="5">
        <v>0</v>
      </c>
      <c r="J8" s="6"/>
      <c r="K8" s="5">
        <v>3</v>
      </c>
      <c r="L8" s="5">
        <v>1</v>
      </c>
      <c r="M8" s="5">
        <v>9</v>
      </c>
      <c r="N8" s="5">
        <v>1</v>
      </c>
      <c r="O8" s="5">
        <f t="shared" si="0"/>
        <v>11</v>
      </c>
      <c r="R8" s="30"/>
    </row>
    <row r="9" spans="1:18" s="28" customFormat="1" ht="18" customHeight="1" x14ac:dyDescent="0.3">
      <c r="A9" s="4">
        <v>4</v>
      </c>
      <c r="B9" s="5">
        <f>2837+34</f>
        <v>2871</v>
      </c>
      <c r="C9" s="5">
        <v>8</v>
      </c>
      <c r="D9" s="5">
        <v>1133</v>
      </c>
      <c r="E9" s="5">
        <v>141</v>
      </c>
      <c r="F9" s="5">
        <v>214</v>
      </c>
      <c r="G9" s="5">
        <v>296</v>
      </c>
      <c r="H9" s="5">
        <f t="shared" si="1"/>
        <v>4663</v>
      </c>
      <c r="I9" s="5">
        <v>0</v>
      </c>
      <c r="J9" s="6"/>
      <c r="K9" s="5">
        <v>4</v>
      </c>
      <c r="L9" s="5">
        <v>1</v>
      </c>
      <c r="M9" s="5">
        <v>13</v>
      </c>
      <c r="N9" s="5">
        <v>2</v>
      </c>
      <c r="O9" s="5">
        <f t="shared" si="0"/>
        <v>16</v>
      </c>
    </row>
    <row r="10" spans="1:18" s="28" customFormat="1" ht="18" customHeight="1" x14ac:dyDescent="0.3">
      <c r="A10" s="4">
        <v>5</v>
      </c>
      <c r="B10" s="5">
        <f>3078+12</f>
        <v>3090</v>
      </c>
      <c r="C10" s="5">
        <v>2</v>
      </c>
      <c r="D10" s="5">
        <v>978</v>
      </c>
      <c r="E10" s="5">
        <v>125</v>
      </c>
      <c r="F10" s="5">
        <v>210</v>
      </c>
      <c r="G10" s="5">
        <v>226</v>
      </c>
      <c r="H10" s="5">
        <f t="shared" si="1"/>
        <v>4631</v>
      </c>
      <c r="I10" s="5">
        <v>0</v>
      </c>
      <c r="J10" s="6"/>
      <c r="K10" s="5">
        <v>5</v>
      </c>
      <c r="L10" s="5">
        <v>1</v>
      </c>
      <c r="M10" s="5">
        <v>12</v>
      </c>
      <c r="N10" s="5">
        <v>0</v>
      </c>
      <c r="O10" s="5">
        <f t="shared" si="0"/>
        <v>13</v>
      </c>
    </row>
    <row r="11" spans="1:18" s="28" customFormat="1" ht="18" customHeight="1" x14ac:dyDescent="0.3">
      <c r="A11" s="4">
        <v>6</v>
      </c>
      <c r="B11" s="5">
        <f>4014+20</f>
        <v>4034</v>
      </c>
      <c r="C11" s="5">
        <v>0</v>
      </c>
      <c r="D11" s="5">
        <v>777</v>
      </c>
      <c r="E11" s="5">
        <v>83</v>
      </c>
      <c r="F11" s="5">
        <v>111</v>
      </c>
      <c r="G11" s="5">
        <v>166</v>
      </c>
      <c r="H11" s="5">
        <f t="shared" si="1"/>
        <v>5171</v>
      </c>
      <c r="I11" s="5">
        <v>0</v>
      </c>
      <c r="J11" s="6"/>
      <c r="K11" s="5">
        <v>6</v>
      </c>
      <c r="L11" s="5">
        <v>0</v>
      </c>
      <c r="M11" s="5">
        <v>0</v>
      </c>
      <c r="N11" s="5">
        <v>2</v>
      </c>
      <c r="O11" s="5">
        <f t="shared" si="0"/>
        <v>2</v>
      </c>
    </row>
    <row r="12" spans="1:18" s="28" customFormat="1" ht="18" customHeight="1" x14ac:dyDescent="0.3">
      <c r="A12" s="4">
        <v>7</v>
      </c>
      <c r="B12" s="5">
        <f>1830+21</f>
        <v>1851</v>
      </c>
      <c r="C12" s="5">
        <v>5</v>
      </c>
      <c r="D12" s="5">
        <v>949</v>
      </c>
      <c r="E12" s="5">
        <v>166</v>
      </c>
      <c r="F12" s="5">
        <v>223</v>
      </c>
      <c r="G12" s="5">
        <v>270</v>
      </c>
      <c r="H12" s="5">
        <f t="shared" si="1"/>
        <v>3464</v>
      </c>
      <c r="I12" s="5">
        <v>0</v>
      </c>
      <c r="J12" s="9"/>
      <c r="K12" s="5">
        <v>7</v>
      </c>
      <c r="L12" s="5">
        <v>0</v>
      </c>
      <c r="M12" s="5">
        <v>19</v>
      </c>
      <c r="N12" s="5">
        <v>4</v>
      </c>
      <c r="O12" s="5">
        <f t="shared" si="0"/>
        <v>23</v>
      </c>
    </row>
    <row r="13" spans="1:18" s="28" customFormat="1" ht="18" customHeight="1" x14ac:dyDescent="0.3">
      <c r="A13" s="4">
        <v>8</v>
      </c>
      <c r="B13" s="5">
        <f>1857+25</f>
        <v>1882</v>
      </c>
      <c r="C13" s="5">
        <v>11</v>
      </c>
      <c r="D13" s="5">
        <v>1076</v>
      </c>
      <c r="E13" s="5">
        <v>193</v>
      </c>
      <c r="F13" s="5">
        <v>200</v>
      </c>
      <c r="G13" s="5">
        <v>277</v>
      </c>
      <c r="H13" s="5">
        <f t="shared" si="1"/>
        <v>3639</v>
      </c>
      <c r="I13" s="5">
        <v>0</v>
      </c>
      <c r="J13" s="9"/>
      <c r="K13" s="5">
        <v>8</v>
      </c>
      <c r="L13" s="5">
        <v>0</v>
      </c>
      <c r="M13" s="5">
        <v>17</v>
      </c>
      <c r="N13" s="5">
        <v>3</v>
      </c>
      <c r="O13" s="5">
        <f t="shared" si="0"/>
        <v>20</v>
      </c>
    </row>
    <row r="14" spans="1:18" s="32" customFormat="1" ht="18" customHeight="1" x14ac:dyDescent="0.3">
      <c r="A14" s="4">
        <v>9</v>
      </c>
      <c r="B14" s="5">
        <f>2069+24</f>
        <v>2093</v>
      </c>
      <c r="C14" s="5">
        <v>7</v>
      </c>
      <c r="D14" s="5">
        <v>1142</v>
      </c>
      <c r="E14" s="5">
        <v>178</v>
      </c>
      <c r="F14" s="5">
        <v>223</v>
      </c>
      <c r="G14" s="5">
        <v>307</v>
      </c>
      <c r="H14" s="5">
        <f t="shared" si="1"/>
        <v>3950</v>
      </c>
      <c r="I14" s="5">
        <v>0</v>
      </c>
      <c r="J14" s="9"/>
      <c r="K14" s="5">
        <v>9</v>
      </c>
      <c r="L14" s="5">
        <v>1</v>
      </c>
      <c r="M14" s="5">
        <v>16</v>
      </c>
      <c r="N14" s="5">
        <v>1</v>
      </c>
      <c r="O14" s="5">
        <f t="shared" si="0"/>
        <v>18</v>
      </c>
    </row>
    <row r="15" spans="1:18" s="28" customFormat="1" ht="18" customHeight="1" x14ac:dyDescent="0.3">
      <c r="A15" s="4">
        <v>10</v>
      </c>
      <c r="B15" s="5">
        <f>2461+25</f>
        <v>2486</v>
      </c>
      <c r="C15" s="5">
        <v>6</v>
      </c>
      <c r="D15" s="5">
        <v>1249</v>
      </c>
      <c r="E15" s="5">
        <v>209</v>
      </c>
      <c r="F15" s="5">
        <v>230</v>
      </c>
      <c r="G15" s="5">
        <v>315</v>
      </c>
      <c r="H15" s="5">
        <f t="shared" si="1"/>
        <v>4495</v>
      </c>
      <c r="I15" s="5">
        <v>0</v>
      </c>
      <c r="J15" s="9"/>
      <c r="K15" s="5">
        <v>10</v>
      </c>
      <c r="L15" s="5">
        <v>0</v>
      </c>
      <c r="M15" s="5">
        <v>28</v>
      </c>
      <c r="N15" s="5">
        <v>1</v>
      </c>
      <c r="O15" s="5">
        <f t="shared" si="0"/>
        <v>29</v>
      </c>
    </row>
    <row r="16" spans="1:18" s="28" customFormat="1" ht="18" customHeight="1" x14ac:dyDescent="0.3">
      <c r="A16" s="4">
        <v>11</v>
      </c>
      <c r="B16" s="5">
        <f>5306+26</f>
        <v>5332</v>
      </c>
      <c r="C16" s="5">
        <v>11</v>
      </c>
      <c r="D16" s="5">
        <v>1249</v>
      </c>
      <c r="E16" s="5">
        <v>185</v>
      </c>
      <c r="F16" s="5">
        <v>229</v>
      </c>
      <c r="G16" s="5">
        <v>241</v>
      </c>
      <c r="H16" s="5">
        <f t="shared" si="1"/>
        <v>7247</v>
      </c>
      <c r="I16" s="5">
        <v>0</v>
      </c>
      <c r="J16" s="9"/>
      <c r="K16" s="5">
        <v>11</v>
      </c>
      <c r="L16" s="5">
        <v>1</v>
      </c>
      <c r="M16" s="5">
        <v>11</v>
      </c>
      <c r="N16" s="5">
        <v>1</v>
      </c>
      <c r="O16" s="5">
        <f t="shared" si="0"/>
        <v>13</v>
      </c>
    </row>
    <row r="17" spans="1:25" s="28" customFormat="1" ht="18" customHeight="1" x14ac:dyDescent="0.3">
      <c r="A17" s="4">
        <v>12</v>
      </c>
      <c r="B17" s="5">
        <f>6529+18</f>
        <v>6547</v>
      </c>
      <c r="C17" s="5">
        <v>8</v>
      </c>
      <c r="D17" s="5">
        <v>983</v>
      </c>
      <c r="E17" s="5">
        <v>83</v>
      </c>
      <c r="F17" s="5">
        <v>183</v>
      </c>
      <c r="G17" s="5">
        <v>181</v>
      </c>
      <c r="H17" s="5">
        <f t="shared" si="1"/>
        <v>7985</v>
      </c>
      <c r="I17" s="5">
        <v>0</v>
      </c>
      <c r="J17" s="9"/>
      <c r="K17" s="5">
        <v>12</v>
      </c>
      <c r="L17" s="5">
        <v>0</v>
      </c>
      <c r="M17" s="5">
        <v>10</v>
      </c>
      <c r="N17" s="5">
        <v>2</v>
      </c>
      <c r="O17" s="5">
        <f t="shared" si="0"/>
        <v>12</v>
      </c>
    </row>
    <row r="18" spans="1:25" s="28" customFormat="1" ht="18" customHeight="1" x14ac:dyDescent="0.3">
      <c r="A18" s="4">
        <v>13</v>
      </c>
      <c r="B18" s="5">
        <f>5858+15</f>
        <v>5873</v>
      </c>
      <c r="C18" s="5">
        <v>7</v>
      </c>
      <c r="D18" s="5">
        <v>854</v>
      </c>
      <c r="E18" s="5">
        <v>112</v>
      </c>
      <c r="F18" s="5">
        <v>147</v>
      </c>
      <c r="G18" s="5">
        <v>174</v>
      </c>
      <c r="H18" s="5">
        <f t="shared" si="1"/>
        <v>7167</v>
      </c>
      <c r="I18" s="5">
        <v>0</v>
      </c>
      <c r="J18" s="9"/>
      <c r="K18" s="5">
        <v>13</v>
      </c>
      <c r="L18" s="5">
        <v>0</v>
      </c>
      <c r="M18" s="5">
        <v>0</v>
      </c>
      <c r="N18" s="5">
        <v>3</v>
      </c>
      <c r="O18" s="5">
        <f t="shared" si="0"/>
        <v>3</v>
      </c>
    </row>
    <row r="19" spans="1:25" s="28" customFormat="1" ht="18" customHeight="1" x14ac:dyDescent="0.3">
      <c r="A19" s="4">
        <v>14</v>
      </c>
      <c r="B19" s="5">
        <f>3989+21</f>
        <v>4010</v>
      </c>
      <c r="C19" s="5">
        <v>13</v>
      </c>
      <c r="D19" s="5">
        <v>1124</v>
      </c>
      <c r="E19" s="5">
        <v>181</v>
      </c>
      <c r="F19" s="5">
        <v>222</v>
      </c>
      <c r="G19" s="5">
        <v>263</v>
      </c>
      <c r="H19" s="5">
        <f t="shared" si="1"/>
        <v>5813</v>
      </c>
      <c r="I19" s="5">
        <v>0</v>
      </c>
      <c r="J19" s="9"/>
      <c r="K19" s="5">
        <v>14</v>
      </c>
      <c r="L19" s="5">
        <v>1</v>
      </c>
      <c r="M19" s="5">
        <v>15</v>
      </c>
      <c r="N19" s="5">
        <v>2</v>
      </c>
      <c r="O19" s="5">
        <f t="shared" si="0"/>
        <v>18</v>
      </c>
    </row>
    <row r="20" spans="1:25" s="28" customFormat="1" ht="18" customHeight="1" x14ac:dyDescent="0.3">
      <c r="A20" s="4">
        <v>15</v>
      </c>
      <c r="B20" s="5">
        <f>5205+15</f>
        <v>5220</v>
      </c>
      <c r="C20" s="5">
        <v>11</v>
      </c>
      <c r="D20" s="5">
        <v>1324</v>
      </c>
      <c r="E20" s="5">
        <v>181</v>
      </c>
      <c r="F20" s="5">
        <v>258</v>
      </c>
      <c r="G20" s="5">
        <v>313</v>
      </c>
      <c r="H20" s="5">
        <f t="shared" si="1"/>
        <v>7307</v>
      </c>
      <c r="I20" s="5">
        <v>0</v>
      </c>
      <c r="J20" s="9"/>
      <c r="K20" s="5">
        <v>15</v>
      </c>
      <c r="L20" s="5">
        <v>2</v>
      </c>
      <c r="M20" s="5">
        <v>11</v>
      </c>
      <c r="N20" s="5">
        <v>4</v>
      </c>
      <c r="O20" s="5">
        <f t="shared" si="0"/>
        <v>17</v>
      </c>
    </row>
    <row r="21" spans="1:25" s="28" customFormat="1" ht="18" customHeight="1" x14ac:dyDescent="0.3">
      <c r="A21" s="4">
        <v>16</v>
      </c>
      <c r="B21" s="5">
        <f>10712+36</f>
        <v>10748</v>
      </c>
      <c r="C21" s="5">
        <v>10</v>
      </c>
      <c r="D21" s="5">
        <v>915</v>
      </c>
      <c r="E21" s="5">
        <v>47</v>
      </c>
      <c r="F21" s="5">
        <v>142</v>
      </c>
      <c r="G21" s="5">
        <v>105</v>
      </c>
      <c r="H21" s="5">
        <f t="shared" si="1"/>
        <v>11967</v>
      </c>
      <c r="I21" s="5">
        <v>0</v>
      </c>
      <c r="J21" s="9"/>
      <c r="K21" s="5">
        <v>16</v>
      </c>
      <c r="L21" s="5">
        <v>0</v>
      </c>
      <c r="M21" s="5">
        <v>2</v>
      </c>
      <c r="N21" s="5">
        <v>1</v>
      </c>
      <c r="O21" s="5">
        <f t="shared" si="0"/>
        <v>3</v>
      </c>
    </row>
    <row r="22" spans="1:25" s="28" customFormat="1" ht="18" customHeight="1" x14ac:dyDescent="0.3">
      <c r="A22" s="4">
        <v>17</v>
      </c>
      <c r="B22" s="5">
        <f>7764+2</f>
        <v>7766</v>
      </c>
      <c r="C22" s="5">
        <v>6</v>
      </c>
      <c r="D22" s="5">
        <v>830</v>
      </c>
      <c r="E22" s="5">
        <v>54</v>
      </c>
      <c r="F22" s="5">
        <v>138</v>
      </c>
      <c r="G22" s="5">
        <v>90</v>
      </c>
      <c r="H22" s="5">
        <f>SUM(B22:G22)</f>
        <v>8884</v>
      </c>
      <c r="I22" s="5">
        <v>0</v>
      </c>
      <c r="J22" s="9"/>
      <c r="K22" s="5">
        <v>17</v>
      </c>
      <c r="L22" s="5">
        <v>0</v>
      </c>
      <c r="M22" s="5">
        <v>0</v>
      </c>
      <c r="N22" s="5">
        <v>2</v>
      </c>
      <c r="O22" s="5">
        <f t="shared" si="0"/>
        <v>2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28" customFormat="1" ht="18" customHeight="1" x14ac:dyDescent="0.3">
      <c r="A23" s="4">
        <v>18</v>
      </c>
      <c r="B23" s="5">
        <f>5232+6</f>
        <v>5238</v>
      </c>
      <c r="C23" s="5">
        <v>2</v>
      </c>
      <c r="D23" s="5">
        <v>433</v>
      </c>
      <c r="E23" s="5">
        <v>57</v>
      </c>
      <c r="F23" s="5">
        <v>130</v>
      </c>
      <c r="G23" s="5">
        <v>108</v>
      </c>
      <c r="H23" s="5">
        <f t="shared" si="1"/>
        <v>5968</v>
      </c>
      <c r="I23" s="5">
        <v>0</v>
      </c>
      <c r="J23" s="9"/>
      <c r="K23" s="5">
        <v>18</v>
      </c>
      <c r="L23" s="5">
        <v>0</v>
      </c>
      <c r="M23" s="5">
        <v>2</v>
      </c>
      <c r="N23" s="5">
        <v>1</v>
      </c>
      <c r="O23" s="5">
        <f t="shared" si="0"/>
        <v>3</v>
      </c>
    </row>
    <row r="24" spans="1:25" s="28" customFormat="1" ht="18" customHeight="1" x14ac:dyDescent="0.3">
      <c r="A24" s="4">
        <v>19</v>
      </c>
      <c r="B24" s="5">
        <f>10926+18</f>
        <v>10944</v>
      </c>
      <c r="C24" s="5">
        <v>18</v>
      </c>
      <c r="D24" s="5">
        <v>726</v>
      </c>
      <c r="E24" s="5">
        <v>65</v>
      </c>
      <c r="F24" s="5">
        <v>133</v>
      </c>
      <c r="G24" s="5">
        <v>73</v>
      </c>
      <c r="H24" s="5">
        <f t="shared" si="1"/>
        <v>11959</v>
      </c>
      <c r="I24" s="5">
        <v>0</v>
      </c>
      <c r="J24" s="9"/>
      <c r="K24" s="5">
        <v>19</v>
      </c>
      <c r="L24" s="5">
        <v>0</v>
      </c>
      <c r="M24" s="5">
        <v>2</v>
      </c>
      <c r="N24" s="5">
        <v>0</v>
      </c>
      <c r="O24" s="5">
        <f t="shared" si="0"/>
        <v>2</v>
      </c>
    </row>
    <row r="25" spans="1:25" s="28" customFormat="1" ht="18" customHeight="1" x14ac:dyDescent="0.3">
      <c r="A25" s="4">
        <v>20</v>
      </c>
      <c r="B25" s="5">
        <f>15576+15</f>
        <v>15591</v>
      </c>
      <c r="C25" s="5">
        <v>7</v>
      </c>
      <c r="D25" s="5">
        <v>757</v>
      </c>
      <c r="E25" s="5">
        <v>48</v>
      </c>
      <c r="F25" s="5">
        <v>80</v>
      </c>
      <c r="G25" s="5">
        <v>75</v>
      </c>
      <c r="H25" s="5">
        <f t="shared" si="1"/>
        <v>16558</v>
      </c>
      <c r="I25" s="5">
        <v>0</v>
      </c>
      <c r="J25" s="9"/>
      <c r="K25" s="5">
        <v>20</v>
      </c>
      <c r="L25" s="5">
        <v>0</v>
      </c>
      <c r="M25" s="5">
        <v>0</v>
      </c>
      <c r="N25" s="5">
        <v>3</v>
      </c>
      <c r="O25" s="5">
        <f t="shared" si="0"/>
        <v>3</v>
      </c>
    </row>
    <row r="26" spans="1:25" s="28" customFormat="1" ht="18" customHeight="1" x14ac:dyDescent="0.3">
      <c r="A26" s="4">
        <v>21</v>
      </c>
      <c r="B26" s="5">
        <f>3307+18</f>
        <v>3325</v>
      </c>
      <c r="C26" s="5">
        <v>7</v>
      </c>
      <c r="D26" s="5">
        <v>1095</v>
      </c>
      <c r="E26" s="5">
        <v>125</v>
      </c>
      <c r="F26" s="5">
        <v>233</v>
      </c>
      <c r="G26" s="5">
        <v>299</v>
      </c>
      <c r="H26" s="5">
        <f t="shared" si="1"/>
        <v>5084</v>
      </c>
      <c r="I26" s="5">
        <v>0</v>
      </c>
      <c r="J26" s="9"/>
      <c r="K26" s="5">
        <v>21</v>
      </c>
      <c r="L26" s="5">
        <v>0</v>
      </c>
      <c r="M26" s="5">
        <v>8</v>
      </c>
      <c r="N26" s="5">
        <v>4</v>
      </c>
      <c r="O26" s="5">
        <f t="shared" si="0"/>
        <v>12</v>
      </c>
    </row>
    <row r="27" spans="1:25" s="28" customFormat="1" ht="18" customHeight="1" x14ac:dyDescent="0.3">
      <c r="A27" s="4">
        <v>22</v>
      </c>
      <c r="B27" s="5">
        <f>2233+18</f>
        <v>2251</v>
      </c>
      <c r="C27" s="5">
        <v>4</v>
      </c>
      <c r="D27" s="5">
        <v>1153</v>
      </c>
      <c r="E27" s="5">
        <v>152</v>
      </c>
      <c r="F27" s="5">
        <v>221</v>
      </c>
      <c r="G27" s="5">
        <v>292</v>
      </c>
      <c r="H27" s="5">
        <f t="shared" si="1"/>
        <v>4073</v>
      </c>
      <c r="I27" s="5">
        <v>0</v>
      </c>
      <c r="J27" s="9"/>
      <c r="K27" s="5">
        <v>22</v>
      </c>
      <c r="L27" s="5">
        <v>0</v>
      </c>
      <c r="M27" s="5">
        <v>12</v>
      </c>
      <c r="N27" s="5">
        <v>4</v>
      </c>
      <c r="O27" s="5">
        <f t="shared" si="0"/>
        <v>16</v>
      </c>
    </row>
    <row r="28" spans="1:25" s="28" customFormat="1" ht="18" customHeight="1" x14ac:dyDescent="0.3">
      <c r="A28" s="4">
        <v>23</v>
      </c>
      <c r="B28" s="5">
        <f>1951+18</f>
        <v>1969</v>
      </c>
      <c r="C28" s="5">
        <v>6</v>
      </c>
      <c r="D28" s="5">
        <v>1190</v>
      </c>
      <c r="E28" s="5">
        <v>187</v>
      </c>
      <c r="F28" s="5">
        <v>233</v>
      </c>
      <c r="G28" s="5">
        <v>264</v>
      </c>
      <c r="H28" s="5">
        <f t="shared" si="1"/>
        <v>3849</v>
      </c>
      <c r="I28" s="5">
        <v>0</v>
      </c>
      <c r="J28" s="9"/>
      <c r="K28" s="5">
        <v>23</v>
      </c>
      <c r="L28" s="5">
        <v>0</v>
      </c>
      <c r="M28" s="5">
        <v>12</v>
      </c>
      <c r="N28" s="5">
        <v>2</v>
      </c>
      <c r="O28" s="5">
        <f t="shared" si="0"/>
        <v>14</v>
      </c>
    </row>
    <row r="29" spans="1:25" s="28" customFormat="1" ht="18" customHeight="1" x14ac:dyDescent="0.3">
      <c r="A29" s="4">
        <v>24</v>
      </c>
      <c r="B29" s="5">
        <f>2049+26</f>
        <v>2075</v>
      </c>
      <c r="C29" s="5">
        <v>4</v>
      </c>
      <c r="D29" s="5">
        <v>1235</v>
      </c>
      <c r="E29" s="5">
        <v>181</v>
      </c>
      <c r="F29" s="5">
        <v>230</v>
      </c>
      <c r="G29" s="5">
        <v>278</v>
      </c>
      <c r="H29" s="5">
        <f t="shared" si="1"/>
        <v>4003</v>
      </c>
      <c r="I29" s="5">
        <v>0</v>
      </c>
      <c r="J29" s="9"/>
      <c r="K29" s="5">
        <v>24</v>
      </c>
      <c r="L29" s="5">
        <v>1</v>
      </c>
      <c r="M29" s="5">
        <v>18</v>
      </c>
      <c r="N29" s="5">
        <v>2</v>
      </c>
      <c r="O29" s="5">
        <f t="shared" si="0"/>
        <v>21</v>
      </c>
    </row>
    <row r="30" spans="1:25" s="28" customFormat="1" ht="18" customHeight="1" x14ac:dyDescent="0.3">
      <c r="A30" s="4">
        <v>25</v>
      </c>
      <c r="B30" s="5">
        <f>2610+22</f>
        <v>2632</v>
      </c>
      <c r="C30" s="5">
        <v>14</v>
      </c>
      <c r="D30" s="5">
        <v>1232</v>
      </c>
      <c r="E30" s="5">
        <v>174</v>
      </c>
      <c r="F30" s="5">
        <v>238</v>
      </c>
      <c r="G30" s="5">
        <v>265</v>
      </c>
      <c r="H30" s="5">
        <f t="shared" si="1"/>
        <v>4555</v>
      </c>
      <c r="I30" s="5">
        <v>0</v>
      </c>
      <c r="J30" s="9"/>
      <c r="K30" s="5">
        <v>25</v>
      </c>
      <c r="L30" s="5">
        <v>0</v>
      </c>
      <c r="M30" s="5">
        <v>10</v>
      </c>
      <c r="N30" s="5">
        <v>0</v>
      </c>
      <c r="O30" s="5">
        <f t="shared" si="0"/>
        <v>10</v>
      </c>
    </row>
    <row r="31" spans="1:25" s="28" customFormat="1" ht="18" customHeight="1" x14ac:dyDescent="0.3">
      <c r="A31" s="4">
        <v>26</v>
      </c>
      <c r="B31" s="5">
        <f>2873+18</f>
        <v>2891</v>
      </c>
      <c r="C31" s="5">
        <v>8</v>
      </c>
      <c r="D31" s="5">
        <v>1029</v>
      </c>
      <c r="E31" s="5">
        <v>145</v>
      </c>
      <c r="F31" s="5">
        <v>182</v>
      </c>
      <c r="G31" s="5">
        <v>236</v>
      </c>
      <c r="H31" s="5">
        <f t="shared" si="1"/>
        <v>4491</v>
      </c>
      <c r="I31" s="5">
        <v>0</v>
      </c>
      <c r="J31" s="9"/>
      <c r="K31" s="5">
        <v>26</v>
      </c>
      <c r="L31" s="5">
        <v>0</v>
      </c>
      <c r="M31" s="5">
        <v>4</v>
      </c>
      <c r="N31" s="5">
        <v>0</v>
      </c>
      <c r="O31" s="5">
        <f t="shared" si="0"/>
        <v>4</v>
      </c>
    </row>
    <row r="32" spans="1:25" s="28" customFormat="1" ht="18" customHeight="1" x14ac:dyDescent="0.3">
      <c r="A32" s="4">
        <v>27</v>
      </c>
      <c r="B32" s="5">
        <f>3449+7</f>
        <v>3456</v>
      </c>
      <c r="C32" s="5">
        <v>6</v>
      </c>
      <c r="D32" s="5">
        <v>823</v>
      </c>
      <c r="E32" s="5">
        <v>93</v>
      </c>
      <c r="F32" s="5">
        <v>131</v>
      </c>
      <c r="G32" s="5">
        <v>214</v>
      </c>
      <c r="H32" s="5">
        <f t="shared" si="1"/>
        <v>4723</v>
      </c>
      <c r="I32" s="5">
        <v>0</v>
      </c>
      <c r="J32" s="9"/>
      <c r="K32" s="5">
        <v>27</v>
      </c>
      <c r="L32" s="5">
        <v>0</v>
      </c>
      <c r="M32" s="5">
        <v>3</v>
      </c>
      <c r="N32" s="5">
        <v>0</v>
      </c>
      <c r="O32" s="5">
        <f t="shared" si="0"/>
        <v>3</v>
      </c>
    </row>
    <row r="33" spans="1:15" s="28" customFormat="1" ht="15.75" customHeight="1" x14ac:dyDescent="0.3">
      <c r="A33" s="4">
        <v>28</v>
      </c>
      <c r="B33" s="5">
        <f>1765+24</f>
        <v>1789</v>
      </c>
      <c r="C33" s="5">
        <v>4</v>
      </c>
      <c r="D33" s="5">
        <v>1029</v>
      </c>
      <c r="E33" s="5">
        <v>198</v>
      </c>
      <c r="F33" s="5">
        <v>209</v>
      </c>
      <c r="G33" s="5">
        <v>252</v>
      </c>
      <c r="H33" s="5">
        <f t="shared" si="1"/>
        <v>3481</v>
      </c>
      <c r="I33" s="5">
        <v>0</v>
      </c>
      <c r="J33" s="9"/>
      <c r="K33" s="5">
        <v>28</v>
      </c>
      <c r="L33" s="5">
        <v>0</v>
      </c>
      <c r="M33" s="5">
        <v>12</v>
      </c>
      <c r="N33" s="5">
        <v>1</v>
      </c>
      <c r="O33" s="5">
        <f t="shared" si="0"/>
        <v>13</v>
      </c>
    </row>
    <row r="34" spans="1:15" s="28" customFormat="1" ht="17.25" customHeight="1" x14ac:dyDescent="0.3">
      <c r="A34" s="4">
        <v>29</v>
      </c>
      <c r="B34" s="5">
        <f>1804+26</f>
        <v>1830</v>
      </c>
      <c r="C34" s="5">
        <v>11</v>
      </c>
      <c r="D34" s="5">
        <v>1258</v>
      </c>
      <c r="E34" s="5">
        <v>225</v>
      </c>
      <c r="F34" s="5">
        <v>227</v>
      </c>
      <c r="G34" s="5">
        <v>224</v>
      </c>
      <c r="H34" s="5">
        <f t="shared" si="1"/>
        <v>3775</v>
      </c>
      <c r="I34" s="5">
        <v>0</v>
      </c>
      <c r="J34" s="9"/>
      <c r="K34" s="5">
        <v>29</v>
      </c>
      <c r="L34" s="5">
        <v>0</v>
      </c>
      <c r="M34" s="5">
        <v>16</v>
      </c>
      <c r="N34" s="5">
        <v>2</v>
      </c>
      <c r="O34" s="5">
        <f>SUM(L34:N34)</f>
        <v>18</v>
      </c>
    </row>
    <row r="35" spans="1:15" s="28" customFormat="1" ht="17.25" customHeight="1" x14ac:dyDescent="0.3">
      <c r="A35" s="4">
        <v>30</v>
      </c>
      <c r="B35" s="5">
        <f>2681+18</f>
        <v>2699</v>
      </c>
      <c r="C35" s="5">
        <v>23</v>
      </c>
      <c r="D35" s="5">
        <v>1112</v>
      </c>
      <c r="E35" s="5">
        <v>256</v>
      </c>
      <c r="F35" s="5">
        <v>227</v>
      </c>
      <c r="G35" s="5">
        <v>219</v>
      </c>
      <c r="H35" s="5">
        <f t="shared" si="1"/>
        <v>4536</v>
      </c>
      <c r="I35" s="5">
        <v>0</v>
      </c>
      <c r="J35" s="9"/>
      <c r="K35" s="5">
        <v>30</v>
      </c>
      <c r="L35" s="5">
        <v>0</v>
      </c>
      <c r="M35" s="5">
        <v>4</v>
      </c>
      <c r="N35" s="5">
        <v>2</v>
      </c>
      <c r="O35" s="5">
        <f>SUM(L35:N35)</f>
        <v>6</v>
      </c>
    </row>
    <row r="36" spans="1:15" s="28" customFormat="1" ht="17.25" hidden="1" customHeight="1" x14ac:dyDescent="0.3">
      <c r="A36" s="4">
        <v>31</v>
      </c>
      <c r="B36" s="5"/>
      <c r="C36" s="5"/>
      <c r="D36" s="5"/>
      <c r="E36" s="5"/>
      <c r="F36" s="5"/>
      <c r="G36" s="5"/>
      <c r="H36" s="5">
        <f t="shared" si="1"/>
        <v>0</v>
      </c>
      <c r="I36" s="5">
        <v>0</v>
      </c>
      <c r="J36" s="9"/>
      <c r="K36" s="5">
        <v>31</v>
      </c>
      <c r="L36" s="5"/>
      <c r="M36" s="5"/>
      <c r="N36" s="5"/>
      <c r="O36" s="5">
        <f>SUM(L36:N36)</f>
        <v>0</v>
      </c>
    </row>
    <row r="37" spans="1:15" s="28" customFormat="1" ht="18" customHeight="1" x14ac:dyDescent="0.3">
      <c r="A37" s="3" t="s">
        <v>19</v>
      </c>
      <c r="B37" s="14">
        <f>SUM(B6:B36)</f>
        <v>126238</v>
      </c>
      <c r="C37" s="14">
        <f t="shared" ref="C37:O37" si="2">SUM(C6:C36)</f>
        <v>240</v>
      </c>
      <c r="D37" s="14">
        <f t="shared" si="2"/>
        <v>31124</v>
      </c>
      <c r="E37" s="14">
        <f t="shared" si="2"/>
        <v>4466</v>
      </c>
      <c r="F37" s="14">
        <f t="shared" si="2"/>
        <v>5820</v>
      </c>
      <c r="G37" s="14">
        <f t="shared" si="2"/>
        <v>6819</v>
      </c>
      <c r="H37" s="14">
        <f t="shared" si="2"/>
        <v>174707</v>
      </c>
      <c r="I37" s="14">
        <f t="shared" si="2"/>
        <v>0</v>
      </c>
      <c r="J37" s="14"/>
      <c r="K37" s="14">
        <f t="shared" si="2"/>
        <v>496</v>
      </c>
      <c r="L37" s="14">
        <f t="shared" si="2"/>
        <v>11</v>
      </c>
      <c r="M37" s="14">
        <f t="shared" si="2"/>
        <v>302</v>
      </c>
      <c r="N37" s="14">
        <f t="shared" si="2"/>
        <v>54</v>
      </c>
      <c r="O37" s="14">
        <f t="shared" si="2"/>
        <v>367</v>
      </c>
    </row>
    <row r="38" spans="1:15" s="28" customFormat="1" ht="18" customHeight="1" x14ac:dyDescent="0.3">
      <c r="A38" s="3" t="s">
        <v>19</v>
      </c>
      <c r="B38" s="47">
        <f>+B37+C37</f>
        <v>126478</v>
      </c>
      <c r="C38" s="47"/>
      <c r="D38" s="14">
        <f t="shared" ref="D38:H38" si="3">+D37</f>
        <v>31124</v>
      </c>
      <c r="E38" s="14">
        <f t="shared" si="3"/>
        <v>4466</v>
      </c>
      <c r="F38" s="14">
        <f t="shared" si="3"/>
        <v>5820</v>
      </c>
      <c r="G38" s="14">
        <f t="shared" si="3"/>
        <v>6819</v>
      </c>
      <c r="H38" s="14">
        <f t="shared" si="3"/>
        <v>174707</v>
      </c>
      <c r="I38" s="14">
        <v>0</v>
      </c>
      <c r="J38" s="15"/>
      <c r="K38" s="3" t="s">
        <v>20</v>
      </c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s="28" customFormat="1" ht="13.8" x14ac:dyDescent="0.3">
      <c r="A39" s="17"/>
      <c r="B39" s="34"/>
      <c r="C39" s="34"/>
      <c r="D39" s="34"/>
      <c r="E39" s="34"/>
      <c r="F39" s="34"/>
      <c r="G39" s="34"/>
      <c r="H39" s="34"/>
      <c r="L39" s="35"/>
    </row>
    <row r="40" spans="1:15" s="28" customFormat="1" ht="13.8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38"/>
      <c r="L40" s="38"/>
    </row>
    <row r="41" spans="1:15" x14ac:dyDescent="0.3">
      <c r="A41" s="39"/>
      <c r="H41" s="39"/>
      <c r="K41" s="40"/>
      <c r="L41" s="40"/>
    </row>
    <row r="42" spans="1:15" x14ac:dyDescent="0.3">
      <c r="K42" s="40"/>
      <c r="L42" s="40"/>
    </row>
    <row r="43" spans="1:15" x14ac:dyDescent="0.3">
      <c r="I43" s="39"/>
      <c r="J43" s="39"/>
    </row>
    <row r="45" spans="1:15" x14ac:dyDescent="0.3">
      <c r="A45" s="41"/>
    </row>
    <row r="46" spans="1:15" x14ac:dyDescent="0.3">
      <c r="A46" s="4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81EA-CFF8-450B-98A5-4D963D22E2FC}">
  <dimension ref="A1:Y45"/>
  <sheetViews>
    <sheetView workbookViewId="0">
      <selection activeCell="G4" sqref="G4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6384" width="11.44140625" style="28"/>
  </cols>
  <sheetData>
    <row r="1" spans="1:18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customFormat="1" ht="15.6" x14ac:dyDescent="0.3">
      <c r="A3" s="49" t="s">
        <v>29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3372+15</f>
        <v>3387</v>
      </c>
      <c r="C6" s="5">
        <v>4</v>
      </c>
      <c r="D6" s="5">
        <v>907</v>
      </c>
      <c r="E6" s="5">
        <v>147</v>
      </c>
      <c r="F6" s="5">
        <v>191</v>
      </c>
      <c r="G6" s="5">
        <v>193</v>
      </c>
      <c r="H6" s="5">
        <f>SUM(B6:G6)</f>
        <v>4829</v>
      </c>
      <c r="I6" s="5">
        <v>0</v>
      </c>
      <c r="J6" s="6"/>
      <c r="K6" s="5">
        <v>1</v>
      </c>
      <c r="L6" s="5">
        <v>2</v>
      </c>
      <c r="M6" s="5">
        <v>4</v>
      </c>
      <c r="N6" s="5">
        <v>0</v>
      </c>
      <c r="O6" s="5">
        <f>SUM(L6:N6)</f>
        <v>6</v>
      </c>
    </row>
    <row r="7" spans="1:18" ht="18" customHeight="1" x14ac:dyDescent="0.3">
      <c r="A7" s="4">
        <v>2</v>
      </c>
      <c r="B7" s="5">
        <f>2703+23</f>
        <v>2726</v>
      </c>
      <c r="C7" s="5">
        <v>11</v>
      </c>
      <c r="D7" s="5">
        <v>1025</v>
      </c>
      <c r="E7" s="5">
        <v>135</v>
      </c>
      <c r="F7" s="5">
        <v>228</v>
      </c>
      <c r="G7" s="5">
        <v>206</v>
      </c>
      <c r="H7" s="5">
        <f>SUM(B7:G7)</f>
        <v>4331</v>
      </c>
      <c r="I7" s="5">
        <v>0</v>
      </c>
      <c r="J7" s="6"/>
      <c r="K7" s="5">
        <v>2</v>
      </c>
      <c r="L7" s="5">
        <v>0</v>
      </c>
      <c r="M7" s="5">
        <v>18</v>
      </c>
      <c r="N7" s="5">
        <v>1</v>
      </c>
      <c r="O7" s="5">
        <f t="shared" ref="O7:O33" si="0">SUM(L7:N7)</f>
        <v>19</v>
      </c>
    </row>
    <row r="8" spans="1:18" ht="18" customHeight="1" x14ac:dyDescent="0.3">
      <c r="A8" s="4">
        <v>3</v>
      </c>
      <c r="B8" s="5">
        <f>3063+8</f>
        <v>3071</v>
      </c>
      <c r="C8" s="5">
        <v>7</v>
      </c>
      <c r="D8" s="5">
        <v>978</v>
      </c>
      <c r="E8" s="5">
        <v>110</v>
      </c>
      <c r="F8" s="5">
        <v>244</v>
      </c>
      <c r="G8" s="5">
        <v>206</v>
      </c>
      <c r="H8" s="5">
        <f t="shared" ref="H8:H36" si="1">SUM(B8:G8)</f>
        <v>4616</v>
      </c>
      <c r="I8" s="5">
        <v>0</v>
      </c>
      <c r="J8" s="6"/>
      <c r="K8" s="5">
        <v>3</v>
      </c>
      <c r="L8" s="5">
        <v>0</v>
      </c>
      <c r="M8" s="5">
        <v>5</v>
      </c>
      <c r="N8" s="5">
        <v>1</v>
      </c>
      <c r="O8" s="5">
        <f t="shared" si="0"/>
        <v>6</v>
      </c>
      <c r="R8" s="30"/>
    </row>
    <row r="9" spans="1:18" ht="18" customHeight="1" x14ac:dyDescent="0.3">
      <c r="A9" s="4">
        <v>4</v>
      </c>
      <c r="B9" s="5">
        <f>5027+9</f>
        <v>5036</v>
      </c>
      <c r="C9" s="5">
        <v>6</v>
      </c>
      <c r="D9" s="5">
        <v>836</v>
      </c>
      <c r="E9" s="5">
        <v>93</v>
      </c>
      <c r="F9" s="5">
        <v>151</v>
      </c>
      <c r="G9" s="5">
        <v>201</v>
      </c>
      <c r="H9" s="5">
        <f t="shared" si="1"/>
        <v>6323</v>
      </c>
      <c r="I9" s="5">
        <v>0</v>
      </c>
      <c r="J9" s="6"/>
      <c r="K9" s="5">
        <v>4</v>
      </c>
      <c r="L9" s="5">
        <v>1</v>
      </c>
      <c r="M9" s="5">
        <v>3</v>
      </c>
      <c r="N9" s="5">
        <v>0</v>
      </c>
      <c r="O9" s="5">
        <f t="shared" si="0"/>
        <v>4</v>
      </c>
    </row>
    <row r="10" spans="1:18" ht="18" customHeight="1" x14ac:dyDescent="0.3">
      <c r="A10" s="4">
        <v>5</v>
      </c>
      <c r="B10" s="5">
        <f>1873+19</f>
        <v>1892</v>
      </c>
      <c r="C10" s="5">
        <v>6</v>
      </c>
      <c r="D10" s="5">
        <v>928</v>
      </c>
      <c r="E10" s="5">
        <v>153</v>
      </c>
      <c r="F10" s="5">
        <v>175</v>
      </c>
      <c r="G10" s="5">
        <v>168</v>
      </c>
      <c r="H10" s="5">
        <f t="shared" si="1"/>
        <v>3322</v>
      </c>
      <c r="I10" s="5">
        <v>0</v>
      </c>
      <c r="J10" s="6"/>
      <c r="K10" s="5">
        <v>5</v>
      </c>
      <c r="L10" s="5">
        <v>0</v>
      </c>
      <c r="M10" s="5">
        <v>10</v>
      </c>
      <c r="N10" s="5">
        <v>1</v>
      </c>
      <c r="O10" s="5">
        <f t="shared" si="0"/>
        <v>11</v>
      </c>
    </row>
    <row r="11" spans="1:18" ht="18" customHeight="1" x14ac:dyDescent="0.3">
      <c r="A11" s="4">
        <v>6</v>
      </c>
      <c r="B11" s="5">
        <f>1805+20</f>
        <v>1825</v>
      </c>
      <c r="C11" s="5">
        <v>9</v>
      </c>
      <c r="D11" s="5">
        <v>1032</v>
      </c>
      <c r="E11" s="5">
        <v>121</v>
      </c>
      <c r="F11" s="5">
        <v>179</v>
      </c>
      <c r="G11" s="5">
        <v>195</v>
      </c>
      <c r="H11" s="5">
        <f t="shared" si="1"/>
        <v>3361</v>
      </c>
      <c r="I11" s="5">
        <v>0</v>
      </c>
      <c r="J11" s="6"/>
      <c r="K11" s="5">
        <v>6</v>
      </c>
      <c r="L11" s="5">
        <v>0</v>
      </c>
      <c r="M11" s="5">
        <v>18</v>
      </c>
      <c r="N11" s="5">
        <v>2</v>
      </c>
      <c r="O11" s="5">
        <f t="shared" si="0"/>
        <v>20</v>
      </c>
    </row>
    <row r="12" spans="1:18" ht="18" customHeight="1" x14ac:dyDescent="0.3">
      <c r="A12" s="4">
        <v>7</v>
      </c>
      <c r="B12" s="5">
        <f>1860+15</f>
        <v>1875</v>
      </c>
      <c r="C12" s="5">
        <v>9</v>
      </c>
      <c r="D12" s="5">
        <v>1037</v>
      </c>
      <c r="E12" s="5">
        <v>116</v>
      </c>
      <c r="F12" s="5">
        <v>179</v>
      </c>
      <c r="G12" s="5">
        <v>186</v>
      </c>
      <c r="H12" s="5">
        <f t="shared" si="1"/>
        <v>3402</v>
      </c>
      <c r="I12" s="5">
        <v>0</v>
      </c>
      <c r="J12" s="9"/>
      <c r="K12" s="5">
        <v>7</v>
      </c>
      <c r="L12" s="5">
        <v>2</v>
      </c>
      <c r="M12" s="5">
        <v>21</v>
      </c>
      <c r="N12" s="5">
        <v>2</v>
      </c>
      <c r="O12" s="5">
        <f t="shared" si="0"/>
        <v>25</v>
      </c>
    </row>
    <row r="13" spans="1:18" ht="18" customHeight="1" x14ac:dyDescent="0.3">
      <c r="A13" s="4">
        <v>8</v>
      </c>
      <c r="B13" s="5">
        <f>1955+21</f>
        <v>1976</v>
      </c>
      <c r="C13" s="5">
        <v>5</v>
      </c>
      <c r="D13" s="5">
        <v>1018</v>
      </c>
      <c r="E13" s="5">
        <v>158</v>
      </c>
      <c r="F13" s="5">
        <v>176</v>
      </c>
      <c r="G13" s="5">
        <v>207</v>
      </c>
      <c r="H13" s="5">
        <f t="shared" si="1"/>
        <v>3540</v>
      </c>
      <c r="I13" s="5">
        <v>0</v>
      </c>
      <c r="J13" s="9"/>
      <c r="K13" s="5">
        <v>8</v>
      </c>
      <c r="L13" s="5">
        <v>0</v>
      </c>
      <c r="M13" s="5">
        <v>15</v>
      </c>
      <c r="N13" s="5">
        <v>1</v>
      </c>
      <c r="O13" s="5">
        <f t="shared" si="0"/>
        <v>16</v>
      </c>
    </row>
    <row r="14" spans="1:18" s="32" customFormat="1" ht="18" customHeight="1" x14ac:dyDescent="0.3">
      <c r="A14" s="4">
        <v>9</v>
      </c>
      <c r="B14" s="5">
        <f>2706+23</f>
        <v>2729</v>
      </c>
      <c r="C14" s="5">
        <v>10</v>
      </c>
      <c r="D14" s="5">
        <v>1035</v>
      </c>
      <c r="E14" s="5">
        <v>98</v>
      </c>
      <c r="F14" s="5">
        <v>217</v>
      </c>
      <c r="G14" s="5">
        <v>177</v>
      </c>
      <c r="H14" s="5">
        <f t="shared" si="1"/>
        <v>4266</v>
      </c>
      <c r="I14" s="5">
        <v>0</v>
      </c>
      <c r="J14" s="9"/>
      <c r="K14" s="5">
        <v>9</v>
      </c>
      <c r="L14" s="5">
        <v>0</v>
      </c>
      <c r="M14" s="5">
        <v>14</v>
      </c>
      <c r="N14" s="5">
        <v>4</v>
      </c>
      <c r="O14" s="5">
        <f t="shared" si="0"/>
        <v>18</v>
      </c>
    </row>
    <row r="15" spans="1:18" ht="18" customHeight="1" x14ac:dyDescent="0.3">
      <c r="A15" s="4">
        <v>10</v>
      </c>
      <c r="B15" s="5">
        <f>3128+16</f>
        <v>3144</v>
      </c>
      <c r="C15" s="5">
        <v>15</v>
      </c>
      <c r="D15" s="5">
        <v>849</v>
      </c>
      <c r="E15" s="5">
        <v>65</v>
      </c>
      <c r="F15" s="5">
        <v>130</v>
      </c>
      <c r="G15" s="5">
        <v>149</v>
      </c>
      <c r="H15" s="5">
        <f t="shared" si="1"/>
        <v>4352</v>
      </c>
      <c r="I15" s="5">
        <v>0</v>
      </c>
      <c r="J15" s="9"/>
      <c r="K15" s="5">
        <v>10</v>
      </c>
      <c r="L15" s="5">
        <v>1</v>
      </c>
      <c r="M15" s="5">
        <v>10</v>
      </c>
      <c r="N15" s="5">
        <v>2</v>
      </c>
      <c r="O15" s="5">
        <f t="shared" si="0"/>
        <v>13</v>
      </c>
    </row>
    <row r="16" spans="1:18" ht="18" customHeight="1" x14ac:dyDescent="0.3">
      <c r="A16" s="4">
        <v>11</v>
      </c>
      <c r="B16" s="5">
        <f>4410+10</f>
        <v>4420</v>
      </c>
      <c r="C16" s="5">
        <v>8</v>
      </c>
      <c r="D16" s="5">
        <v>653</v>
      </c>
      <c r="E16" s="5">
        <v>44</v>
      </c>
      <c r="F16" s="5">
        <v>121</v>
      </c>
      <c r="G16" s="5">
        <v>105</v>
      </c>
      <c r="H16" s="5">
        <f t="shared" si="1"/>
        <v>5351</v>
      </c>
      <c r="I16" s="5">
        <v>0</v>
      </c>
      <c r="J16" s="9"/>
      <c r="K16" s="5">
        <v>11</v>
      </c>
      <c r="L16" s="5">
        <v>0</v>
      </c>
      <c r="M16" s="5">
        <v>2</v>
      </c>
      <c r="N16" s="5">
        <v>0</v>
      </c>
      <c r="O16" s="5">
        <f t="shared" si="0"/>
        <v>2</v>
      </c>
    </row>
    <row r="17" spans="1:25" ht="18" customHeight="1" x14ac:dyDescent="0.3">
      <c r="A17" s="4">
        <v>12</v>
      </c>
      <c r="B17" s="5">
        <f>1893+24</f>
        <v>1917</v>
      </c>
      <c r="C17" s="5">
        <v>2</v>
      </c>
      <c r="D17" s="5">
        <v>910</v>
      </c>
      <c r="E17" s="5">
        <v>130</v>
      </c>
      <c r="F17" s="5">
        <v>159</v>
      </c>
      <c r="G17" s="5">
        <v>170</v>
      </c>
      <c r="H17" s="5">
        <f t="shared" si="1"/>
        <v>3288</v>
      </c>
      <c r="I17" s="5">
        <v>0</v>
      </c>
      <c r="J17" s="9"/>
      <c r="K17" s="5">
        <v>12</v>
      </c>
      <c r="L17" s="5">
        <v>0</v>
      </c>
      <c r="M17" s="5">
        <v>14</v>
      </c>
      <c r="N17" s="5">
        <v>0</v>
      </c>
      <c r="O17" s="5">
        <f t="shared" si="0"/>
        <v>14</v>
      </c>
    </row>
    <row r="18" spans="1:25" ht="18" customHeight="1" x14ac:dyDescent="0.3">
      <c r="A18" s="4">
        <v>13</v>
      </c>
      <c r="B18" s="5">
        <f>1816+25</f>
        <v>1841</v>
      </c>
      <c r="C18" s="5">
        <v>6</v>
      </c>
      <c r="D18" s="5">
        <v>1022</v>
      </c>
      <c r="E18" s="5">
        <v>105</v>
      </c>
      <c r="F18" s="5">
        <v>173</v>
      </c>
      <c r="G18" s="5">
        <v>191</v>
      </c>
      <c r="H18" s="5">
        <f t="shared" si="1"/>
        <v>3338</v>
      </c>
      <c r="I18" s="5">
        <v>0</v>
      </c>
      <c r="J18" s="9"/>
      <c r="K18" s="5">
        <v>13</v>
      </c>
      <c r="L18" s="5">
        <v>0</v>
      </c>
      <c r="M18" s="5">
        <v>10</v>
      </c>
      <c r="N18" s="5">
        <v>6</v>
      </c>
      <c r="O18" s="5">
        <f t="shared" si="0"/>
        <v>16</v>
      </c>
    </row>
    <row r="19" spans="1:25" ht="18" customHeight="1" x14ac:dyDescent="0.3">
      <c r="A19" s="4">
        <v>14</v>
      </c>
      <c r="B19" s="5">
        <f>1916+30</f>
        <v>1946</v>
      </c>
      <c r="C19" s="5">
        <v>6</v>
      </c>
      <c r="D19" s="5">
        <v>1020</v>
      </c>
      <c r="E19" s="5">
        <v>126</v>
      </c>
      <c r="F19" s="5">
        <v>191</v>
      </c>
      <c r="G19" s="5">
        <v>186</v>
      </c>
      <c r="H19" s="5">
        <f t="shared" si="1"/>
        <v>3475</v>
      </c>
      <c r="I19" s="5">
        <v>0</v>
      </c>
      <c r="J19" s="9"/>
      <c r="K19" s="5">
        <v>14</v>
      </c>
      <c r="L19" s="5">
        <v>0</v>
      </c>
      <c r="M19" s="5">
        <v>16</v>
      </c>
      <c r="N19" s="5">
        <v>3</v>
      </c>
      <c r="O19" s="5">
        <f t="shared" si="0"/>
        <v>19</v>
      </c>
    </row>
    <row r="20" spans="1:25" ht="18" customHeight="1" x14ac:dyDescent="0.3">
      <c r="A20" s="4">
        <v>15</v>
      </c>
      <c r="B20" s="5">
        <f>2080+25</f>
        <v>2105</v>
      </c>
      <c r="C20" s="5">
        <v>8</v>
      </c>
      <c r="D20" s="5">
        <v>1088</v>
      </c>
      <c r="E20" s="5">
        <v>88</v>
      </c>
      <c r="F20" s="5">
        <v>177</v>
      </c>
      <c r="G20" s="5">
        <v>187</v>
      </c>
      <c r="H20" s="5">
        <f t="shared" si="1"/>
        <v>3653</v>
      </c>
      <c r="I20" s="5">
        <v>0</v>
      </c>
      <c r="J20" s="9"/>
      <c r="K20" s="5">
        <v>15</v>
      </c>
      <c r="L20" s="5">
        <v>1</v>
      </c>
      <c r="M20" s="5">
        <v>13</v>
      </c>
      <c r="N20" s="5">
        <v>3</v>
      </c>
      <c r="O20" s="5">
        <f t="shared" si="0"/>
        <v>17</v>
      </c>
    </row>
    <row r="21" spans="1:25" ht="18" customHeight="1" x14ac:dyDescent="0.3">
      <c r="A21" s="4">
        <v>16</v>
      </c>
      <c r="B21" s="5">
        <f>3128+29</f>
        <v>3157</v>
      </c>
      <c r="C21" s="5">
        <v>8</v>
      </c>
      <c r="D21" s="5">
        <v>1067</v>
      </c>
      <c r="E21" s="5">
        <v>113</v>
      </c>
      <c r="F21" s="5">
        <v>200</v>
      </c>
      <c r="G21" s="5">
        <v>166</v>
      </c>
      <c r="H21" s="5">
        <f t="shared" si="1"/>
        <v>4711</v>
      </c>
      <c r="I21" s="5">
        <v>0</v>
      </c>
      <c r="J21" s="9"/>
      <c r="K21" s="5">
        <v>16</v>
      </c>
      <c r="L21" s="5">
        <v>0</v>
      </c>
      <c r="M21" s="5">
        <v>12</v>
      </c>
      <c r="N21" s="5">
        <v>1</v>
      </c>
      <c r="O21" s="5">
        <f t="shared" si="0"/>
        <v>13</v>
      </c>
    </row>
    <row r="22" spans="1:25" ht="18" customHeight="1" x14ac:dyDescent="0.3">
      <c r="A22" s="4">
        <v>17</v>
      </c>
      <c r="B22" s="5">
        <f>3045+12</f>
        <v>3057</v>
      </c>
      <c r="C22" s="5">
        <v>12</v>
      </c>
      <c r="D22" s="5">
        <v>708</v>
      </c>
      <c r="E22" s="5">
        <v>33</v>
      </c>
      <c r="F22" s="5">
        <v>86</v>
      </c>
      <c r="G22" s="5">
        <v>46</v>
      </c>
      <c r="H22" s="5">
        <f>SUM(B22:G22)</f>
        <v>3942</v>
      </c>
      <c r="I22" s="5">
        <v>0</v>
      </c>
      <c r="J22" s="9"/>
      <c r="K22" s="5">
        <v>17</v>
      </c>
      <c r="L22" s="5">
        <v>0</v>
      </c>
      <c r="M22" s="5">
        <v>0</v>
      </c>
      <c r="N22" s="5">
        <v>2</v>
      </c>
      <c r="O22" s="5">
        <f t="shared" si="0"/>
        <v>2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f>4351+9</f>
        <v>4360</v>
      </c>
      <c r="C23" s="5">
        <v>8</v>
      </c>
      <c r="D23" s="5">
        <v>751</v>
      </c>
      <c r="E23" s="5">
        <v>50</v>
      </c>
      <c r="F23" s="5">
        <v>100</v>
      </c>
      <c r="G23" s="5">
        <v>100</v>
      </c>
      <c r="H23" s="5">
        <f t="shared" si="1"/>
        <v>5369</v>
      </c>
      <c r="I23" s="5">
        <v>0</v>
      </c>
      <c r="J23" s="9"/>
      <c r="K23" s="5">
        <v>18</v>
      </c>
      <c r="L23" s="5">
        <v>0</v>
      </c>
      <c r="M23" s="5">
        <v>0</v>
      </c>
      <c r="N23" s="5">
        <v>0</v>
      </c>
      <c r="O23" s="5">
        <f t="shared" si="0"/>
        <v>0</v>
      </c>
    </row>
    <row r="24" spans="1:25" ht="18" customHeight="1" x14ac:dyDescent="0.3">
      <c r="A24" s="4">
        <v>19</v>
      </c>
      <c r="B24" s="5">
        <f>1931+28</f>
        <v>1959</v>
      </c>
      <c r="C24" s="5">
        <v>11</v>
      </c>
      <c r="D24" s="5">
        <v>949</v>
      </c>
      <c r="E24" s="5">
        <v>113</v>
      </c>
      <c r="F24" s="5">
        <v>198</v>
      </c>
      <c r="G24" s="5">
        <v>214</v>
      </c>
      <c r="H24" s="5">
        <f t="shared" si="1"/>
        <v>3444</v>
      </c>
      <c r="I24" s="5">
        <v>0</v>
      </c>
      <c r="J24" s="9"/>
      <c r="K24" s="5">
        <v>19</v>
      </c>
      <c r="L24" s="5">
        <v>0</v>
      </c>
      <c r="M24" s="5">
        <v>6</v>
      </c>
      <c r="N24" s="5">
        <v>1</v>
      </c>
      <c r="O24" s="5">
        <f t="shared" si="0"/>
        <v>7</v>
      </c>
    </row>
    <row r="25" spans="1:25" ht="18" customHeight="1" x14ac:dyDescent="0.3">
      <c r="A25" s="4">
        <v>20</v>
      </c>
      <c r="B25" s="5">
        <f>1924+26</f>
        <v>1950</v>
      </c>
      <c r="C25" s="5">
        <v>9</v>
      </c>
      <c r="D25" s="5">
        <v>1134</v>
      </c>
      <c r="E25" s="5">
        <v>155</v>
      </c>
      <c r="F25" s="5">
        <v>188</v>
      </c>
      <c r="G25" s="5">
        <v>191</v>
      </c>
      <c r="H25" s="5">
        <f t="shared" si="1"/>
        <v>3627</v>
      </c>
      <c r="I25" s="5">
        <v>0</v>
      </c>
      <c r="J25" s="9"/>
      <c r="K25" s="5">
        <v>20</v>
      </c>
      <c r="L25" s="5">
        <v>2</v>
      </c>
      <c r="M25" s="5">
        <v>8</v>
      </c>
      <c r="N25" s="5">
        <v>5</v>
      </c>
      <c r="O25" s="5">
        <f t="shared" si="0"/>
        <v>15</v>
      </c>
    </row>
    <row r="26" spans="1:25" ht="18" customHeight="1" x14ac:dyDescent="0.3">
      <c r="A26" s="4">
        <v>21</v>
      </c>
      <c r="B26" s="5">
        <f>1821+14</f>
        <v>1835</v>
      </c>
      <c r="C26" s="5">
        <v>6</v>
      </c>
      <c r="D26" s="5">
        <v>1161</v>
      </c>
      <c r="E26" s="5">
        <v>144</v>
      </c>
      <c r="F26" s="5">
        <v>195</v>
      </c>
      <c r="G26" s="5">
        <v>223</v>
      </c>
      <c r="H26" s="5">
        <f t="shared" si="1"/>
        <v>3564</v>
      </c>
      <c r="I26" s="5">
        <v>0</v>
      </c>
      <c r="J26" s="9"/>
      <c r="K26" s="5">
        <v>21</v>
      </c>
      <c r="L26" s="5">
        <v>0</v>
      </c>
      <c r="M26" s="5">
        <v>6</v>
      </c>
      <c r="N26" s="5">
        <v>1</v>
      </c>
      <c r="O26" s="5">
        <f t="shared" si="0"/>
        <v>7</v>
      </c>
    </row>
    <row r="27" spans="1:25" ht="18" customHeight="1" x14ac:dyDescent="0.3">
      <c r="A27" s="4">
        <v>22</v>
      </c>
      <c r="B27" s="5">
        <f>1997+32</f>
        <v>2029</v>
      </c>
      <c r="C27" s="5">
        <v>10</v>
      </c>
      <c r="D27" s="5">
        <v>1192</v>
      </c>
      <c r="E27" s="5">
        <v>148</v>
      </c>
      <c r="F27" s="5">
        <v>203</v>
      </c>
      <c r="G27" s="5">
        <v>230</v>
      </c>
      <c r="H27" s="5">
        <f t="shared" si="1"/>
        <v>3812</v>
      </c>
      <c r="I27" s="5">
        <v>0</v>
      </c>
      <c r="J27" s="9"/>
      <c r="K27" s="5">
        <v>22</v>
      </c>
      <c r="L27" s="5">
        <v>0</v>
      </c>
      <c r="M27" s="5">
        <v>11</v>
      </c>
      <c r="N27" s="5">
        <v>0</v>
      </c>
      <c r="O27" s="5">
        <f t="shared" si="0"/>
        <v>11</v>
      </c>
    </row>
    <row r="28" spans="1:25" ht="18" customHeight="1" x14ac:dyDescent="0.3">
      <c r="A28" s="4">
        <v>23</v>
      </c>
      <c r="B28" s="5">
        <f>2536+19</f>
        <v>2555</v>
      </c>
      <c r="C28" s="5">
        <v>7</v>
      </c>
      <c r="D28" s="5">
        <v>1093</v>
      </c>
      <c r="E28" s="5">
        <v>105</v>
      </c>
      <c r="F28" s="5">
        <v>206</v>
      </c>
      <c r="G28" s="5">
        <v>216</v>
      </c>
      <c r="H28" s="5">
        <f t="shared" si="1"/>
        <v>4182</v>
      </c>
      <c r="I28" s="5">
        <v>0</v>
      </c>
      <c r="J28" s="9"/>
      <c r="K28" s="5">
        <v>23</v>
      </c>
      <c r="L28" s="5">
        <v>0</v>
      </c>
      <c r="M28" s="5">
        <v>4</v>
      </c>
      <c r="N28" s="5">
        <v>3</v>
      </c>
      <c r="O28" s="5">
        <f t="shared" si="0"/>
        <v>7</v>
      </c>
    </row>
    <row r="29" spans="1:25" ht="18" customHeight="1" x14ac:dyDescent="0.3">
      <c r="A29" s="4">
        <v>24</v>
      </c>
      <c r="B29" s="5">
        <f>2543+12</f>
        <v>2555</v>
      </c>
      <c r="C29" s="5">
        <v>13</v>
      </c>
      <c r="D29" s="5">
        <v>937</v>
      </c>
      <c r="E29" s="5">
        <v>113</v>
      </c>
      <c r="F29" s="5">
        <v>205</v>
      </c>
      <c r="G29" s="5">
        <v>188</v>
      </c>
      <c r="H29" s="5">
        <f t="shared" si="1"/>
        <v>4011</v>
      </c>
      <c r="I29" s="5">
        <v>0</v>
      </c>
      <c r="J29" s="9"/>
      <c r="K29" s="5">
        <v>24</v>
      </c>
      <c r="L29" s="5">
        <v>0</v>
      </c>
      <c r="M29" s="5">
        <v>6</v>
      </c>
      <c r="N29" s="5">
        <v>2</v>
      </c>
      <c r="O29" s="5">
        <f t="shared" si="0"/>
        <v>8</v>
      </c>
    </row>
    <row r="30" spans="1:25" ht="18" customHeight="1" x14ac:dyDescent="0.3">
      <c r="A30" s="4">
        <v>25</v>
      </c>
      <c r="B30" s="5">
        <f>2733+15</f>
        <v>2748</v>
      </c>
      <c r="C30" s="5">
        <v>6</v>
      </c>
      <c r="D30" s="5">
        <v>619</v>
      </c>
      <c r="E30" s="5">
        <v>67</v>
      </c>
      <c r="F30" s="5">
        <v>104</v>
      </c>
      <c r="G30" s="5">
        <v>115</v>
      </c>
      <c r="H30" s="5">
        <f t="shared" si="1"/>
        <v>3659</v>
      </c>
      <c r="I30" s="5">
        <v>0</v>
      </c>
      <c r="J30" s="9"/>
      <c r="K30" s="5">
        <v>25</v>
      </c>
      <c r="L30" s="5">
        <v>0</v>
      </c>
      <c r="M30" s="5">
        <v>0</v>
      </c>
      <c r="N30" s="5">
        <v>0</v>
      </c>
      <c r="O30" s="5">
        <f t="shared" si="0"/>
        <v>0</v>
      </c>
    </row>
    <row r="31" spans="1:25" ht="18" customHeight="1" x14ac:dyDescent="0.3">
      <c r="A31" s="4">
        <v>26</v>
      </c>
      <c r="B31" s="5">
        <f>1858+23</f>
        <v>1881</v>
      </c>
      <c r="C31" s="5">
        <v>4</v>
      </c>
      <c r="D31" s="5">
        <v>945</v>
      </c>
      <c r="E31" s="5">
        <v>135</v>
      </c>
      <c r="F31" s="5">
        <v>162</v>
      </c>
      <c r="G31" s="5">
        <v>218</v>
      </c>
      <c r="H31" s="5">
        <f t="shared" si="1"/>
        <v>3345</v>
      </c>
      <c r="I31" s="5">
        <v>0</v>
      </c>
      <c r="J31" s="9"/>
      <c r="K31" s="5">
        <v>26</v>
      </c>
      <c r="L31" s="5">
        <v>3</v>
      </c>
      <c r="M31" s="5">
        <v>2</v>
      </c>
      <c r="N31" s="5">
        <v>0</v>
      </c>
      <c r="O31" s="5">
        <f t="shared" si="0"/>
        <v>5</v>
      </c>
    </row>
    <row r="32" spans="1:25" ht="18" customHeight="1" x14ac:dyDescent="0.3">
      <c r="A32" s="4">
        <v>27</v>
      </c>
      <c r="B32" s="5">
        <f>1936+17</f>
        <v>1953</v>
      </c>
      <c r="C32" s="5">
        <v>16</v>
      </c>
      <c r="D32" s="5">
        <v>1287</v>
      </c>
      <c r="E32" s="5">
        <v>163</v>
      </c>
      <c r="F32" s="5">
        <v>232</v>
      </c>
      <c r="G32" s="5">
        <v>270</v>
      </c>
      <c r="H32" s="5">
        <f t="shared" si="1"/>
        <v>3921</v>
      </c>
      <c r="I32" s="5">
        <v>0</v>
      </c>
      <c r="J32" s="9"/>
      <c r="K32" s="5">
        <v>27</v>
      </c>
      <c r="L32" s="5">
        <v>0</v>
      </c>
      <c r="M32" s="5">
        <v>8</v>
      </c>
      <c r="N32" s="5">
        <v>4</v>
      </c>
      <c r="O32" s="5">
        <f t="shared" si="0"/>
        <v>12</v>
      </c>
    </row>
    <row r="33" spans="1:15" ht="18" customHeight="1" x14ac:dyDescent="0.3">
      <c r="A33" s="4">
        <v>28</v>
      </c>
      <c r="B33" s="5">
        <f>1962+12</f>
        <v>1974</v>
      </c>
      <c r="C33" s="5">
        <v>6</v>
      </c>
      <c r="D33" s="5">
        <v>1223</v>
      </c>
      <c r="E33" s="5">
        <v>146</v>
      </c>
      <c r="F33" s="5">
        <v>214</v>
      </c>
      <c r="G33" s="5">
        <v>246</v>
      </c>
      <c r="H33" s="5">
        <f t="shared" si="1"/>
        <v>3809</v>
      </c>
      <c r="I33" s="5">
        <v>0</v>
      </c>
      <c r="J33" s="9"/>
      <c r="K33" s="5">
        <v>28</v>
      </c>
      <c r="L33" s="5">
        <v>0</v>
      </c>
      <c r="M33" s="5">
        <v>8</v>
      </c>
      <c r="N33" s="5">
        <v>2</v>
      </c>
      <c r="O33" s="5">
        <f t="shared" si="0"/>
        <v>10</v>
      </c>
    </row>
    <row r="34" spans="1:15" ht="18" customHeight="1" x14ac:dyDescent="0.3">
      <c r="A34" s="4">
        <v>29</v>
      </c>
      <c r="B34" s="5">
        <f>2248+17</f>
        <v>2265</v>
      </c>
      <c r="C34" s="5">
        <v>8</v>
      </c>
      <c r="D34" s="5">
        <v>1328</v>
      </c>
      <c r="E34" s="5">
        <v>158</v>
      </c>
      <c r="F34" s="5">
        <v>239</v>
      </c>
      <c r="G34" s="5">
        <v>293</v>
      </c>
      <c r="H34" s="5">
        <f t="shared" si="1"/>
        <v>4291</v>
      </c>
      <c r="I34" s="5">
        <v>0</v>
      </c>
      <c r="J34" s="9"/>
      <c r="K34" s="5">
        <v>29</v>
      </c>
      <c r="L34" s="5">
        <v>1</v>
      </c>
      <c r="M34" s="5">
        <v>14</v>
      </c>
      <c r="N34" s="5">
        <v>4</v>
      </c>
      <c r="O34" s="5">
        <f>SUM(L34:N34)</f>
        <v>19</v>
      </c>
    </row>
    <row r="35" spans="1:15" ht="18" customHeight="1" x14ac:dyDescent="0.3">
      <c r="A35" s="4">
        <v>30</v>
      </c>
      <c r="B35" s="5">
        <f>4199+22</f>
        <v>4221</v>
      </c>
      <c r="C35" s="5">
        <v>11</v>
      </c>
      <c r="D35" s="5">
        <v>1339</v>
      </c>
      <c r="E35" s="5">
        <v>212</v>
      </c>
      <c r="F35" s="5">
        <v>257</v>
      </c>
      <c r="G35" s="5">
        <v>237</v>
      </c>
      <c r="H35" s="5">
        <f t="shared" si="1"/>
        <v>6277</v>
      </c>
      <c r="I35" s="5">
        <v>0</v>
      </c>
      <c r="J35" s="9"/>
      <c r="K35" s="5">
        <v>30</v>
      </c>
      <c r="L35" s="5">
        <v>0</v>
      </c>
      <c r="M35" s="5">
        <v>0</v>
      </c>
      <c r="N35" s="5">
        <v>2</v>
      </c>
      <c r="O35" s="5">
        <f>SUM(L35:N35)</f>
        <v>2</v>
      </c>
    </row>
    <row r="36" spans="1:15" ht="18" customHeight="1" x14ac:dyDescent="0.3">
      <c r="A36" s="4">
        <v>31</v>
      </c>
      <c r="B36" s="5">
        <f>5660+9</f>
        <v>5669</v>
      </c>
      <c r="C36" s="5">
        <v>19</v>
      </c>
      <c r="D36" s="5">
        <v>841</v>
      </c>
      <c r="E36" s="5">
        <v>44</v>
      </c>
      <c r="F36" s="5">
        <v>115</v>
      </c>
      <c r="G36" s="5">
        <v>73</v>
      </c>
      <c r="H36" s="5">
        <f t="shared" si="1"/>
        <v>6761</v>
      </c>
      <c r="I36" s="5">
        <v>0</v>
      </c>
      <c r="J36" s="9"/>
      <c r="K36" s="5">
        <v>31</v>
      </c>
      <c r="L36" s="5">
        <v>0</v>
      </c>
      <c r="M36" s="5">
        <v>2</v>
      </c>
      <c r="N36" s="5">
        <v>2</v>
      </c>
      <c r="O36" s="5">
        <f>SUM(L36:N36)</f>
        <v>4</v>
      </c>
    </row>
    <row r="37" spans="1:15" ht="18" customHeight="1" x14ac:dyDescent="0.3">
      <c r="A37" s="3" t="s">
        <v>19</v>
      </c>
      <c r="B37" s="14">
        <f>SUM(B6:B36)</f>
        <v>84058</v>
      </c>
      <c r="C37" s="14">
        <f t="shared" ref="C37:O37" si="2">SUM(C6:C36)</f>
        <v>266</v>
      </c>
      <c r="D37" s="14">
        <f t="shared" si="2"/>
        <v>30912</v>
      </c>
      <c r="E37" s="14">
        <f t="shared" si="2"/>
        <v>3588</v>
      </c>
      <c r="F37" s="14">
        <f t="shared" si="2"/>
        <v>5595</v>
      </c>
      <c r="G37" s="14">
        <f t="shared" si="2"/>
        <v>5753</v>
      </c>
      <c r="H37" s="14">
        <f t="shared" si="2"/>
        <v>130172</v>
      </c>
      <c r="I37" s="14">
        <f t="shared" si="2"/>
        <v>0</v>
      </c>
      <c r="J37" s="14"/>
      <c r="K37" s="14"/>
      <c r="L37" s="14">
        <f t="shared" si="2"/>
        <v>13</v>
      </c>
      <c r="M37" s="14">
        <f t="shared" si="2"/>
        <v>260</v>
      </c>
      <c r="N37" s="14">
        <f t="shared" si="2"/>
        <v>55</v>
      </c>
      <c r="O37" s="14">
        <f t="shared" si="2"/>
        <v>328</v>
      </c>
    </row>
    <row r="38" spans="1:15" ht="18" customHeight="1" x14ac:dyDescent="0.3">
      <c r="A38" s="3" t="s">
        <v>19</v>
      </c>
      <c r="B38" s="47">
        <f>+B37+C37</f>
        <v>84324</v>
      </c>
      <c r="C38" s="47"/>
      <c r="D38" s="14">
        <f t="shared" ref="D38:H38" si="3">+D37</f>
        <v>30912</v>
      </c>
      <c r="E38" s="14">
        <f t="shared" si="3"/>
        <v>3588</v>
      </c>
      <c r="F38" s="14">
        <f t="shared" si="3"/>
        <v>5595</v>
      </c>
      <c r="G38" s="14">
        <f t="shared" si="3"/>
        <v>5753</v>
      </c>
      <c r="H38" s="14">
        <f t="shared" si="3"/>
        <v>130172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5"/>
      <c r="K39" s="38"/>
      <c r="L39" s="38"/>
    </row>
    <row r="40" spans="1:15" x14ac:dyDescent="0.3">
      <c r="A40" s="30"/>
      <c r="H40" s="30"/>
      <c r="K40" s="38"/>
      <c r="L40" s="38"/>
    </row>
    <row r="41" spans="1:15" x14ac:dyDescent="0.3">
      <c r="K41" s="38"/>
      <c r="L41" s="38"/>
    </row>
    <row r="42" spans="1:15" x14ac:dyDescent="0.3">
      <c r="I42" s="30"/>
      <c r="J42" s="30"/>
    </row>
    <row r="44" spans="1:15" x14ac:dyDescent="0.3">
      <c r="A44" s="42"/>
    </row>
    <row r="45" spans="1:15" x14ac:dyDescent="0.3">
      <c r="A45" s="42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8046-2FDD-49D6-BEAF-1D50D6943BD7}">
  <dimension ref="A1:Y46"/>
  <sheetViews>
    <sheetView topLeftCell="A18" workbookViewId="0">
      <selection activeCell="A3" sqref="A3:O3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6384" width="11.44140625" style="28"/>
  </cols>
  <sheetData>
    <row r="1" spans="1:18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s="27" customFormat="1" ht="15.6" x14ac:dyDescent="0.3">
      <c r="A2" s="48" t="s">
        <v>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s="27" customFormat="1" ht="15.6" x14ac:dyDescent="0.3">
      <c r="A3" s="49" t="s">
        <v>30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4996+11</f>
        <v>5007</v>
      </c>
      <c r="C6" s="5">
        <v>2</v>
      </c>
      <c r="D6" s="5">
        <v>938</v>
      </c>
      <c r="E6" s="5">
        <v>83</v>
      </c>
      <c r="F6" s="5">
        <v>178</v>
      </c>
      <c r="G6" s="5">
        <v>210</v>
      </c>
      <c r="H6" s="5">
        <f>SUM(B6:G6)</f>
        <v>6418</v>
      </c>
      <c r="I6" s="5">
        <v>0</v>
      </c>
      <c r="J6" s="6"/>
      <c r="K6" s="5">
        <v>1</v>
      </c>
      <c r="L6" s="5">
        <v>1</v>
      </c>
      <c r="M6" s="5">
        <v>3</v>
      </c>
      <c r="N6" s="5">
        <v>1</v>
      </c>
      <c r="O6" s="5">
        <f>SUM(L6:N6)</f>
        <v>5</v>
      </c>
    </row>
    <row r="7" spans="1:18" ht="18" customHeight="1" x14ac:dyDescent="0.3">
      <c r="A7" s="4">
        <v>2</v>
      </c>
      <c r="B7" s="5">
        <f>7899+12</f>
        <v>7911</v>
      </c>
      <c r="C7" s="5">
        <v>4</v>
      </c>
      <c r="D7" s="5">
        <v>628</v>
      </c>
      <c r="E7" s="5">
        <v>50</v>
      </c>
      <c r="F7" s="5">
        <v>69</v>
      </c>
      <c r="G7" s="5">
        <v>85</v>
      </c>
      <c r="H7" s="5">
        <f>SUM(B7:G7)</f>
        <v>8747</v>
      </c>
      <c r="I7" s="5">
        <v>0</v>
      </c>
      <c r="J7" s="6"/>
      <c r="K7" s="5">
        <v>2</v>
      </c>
      <c r="L7" s="5">
        <v>0</v>
      </c>
      <c r="M7" s="5">
        <v>6</v>
      </c>
      <c r="N7" s="5">
        <v>1</v>
      </c>
      <c r="O7" s="5">
        <f t="shared" ref="O7:O33" si="0">SUM(L7:N7)</f>
        <v>7</v>
      </c>
    </row>
    <row r="8" spans="1:18" ht="18" customHeight="1" x14ac:dyDescent="0.3">
      <c r="A8" s="4">
        <v>3</v>
      </c>
      <c r="B8" s="5">
        <f>2094+18</f>
        <v>2112</v>
      </c>
      <c r="C8" s="5">
        <v>8</v>
      </c>
      <c r="D8" s="5">
        <v>1069</v>
      </c>
      <c r="E8" s="5">
        <v>168</v>
      </c>
      <c r="F8" s="5">
        <v>198</v>
      </c>
      <c r="G8" s="5">
        <v>247</v>
      </c>
      <c r="H8" s="5">
        <f t="shared" ref="H8:H36" si="1">SUM(B8:G8)</f>
        <v>3802</v>
      </c>
      <c r="I8" s="5">
        <v>0</v>
      </c>
      <c r="J8" s="6"/>
      <c r="K8" s="5">
        <v>3</v>
      </c>
      <c r="L8" s="5">
        <v>1</v>
      </c>
      <c r="M8" s="5">
        <v>7</v>
      </c>
      <c r="N8" s="5">
        <v>2</v>
      </c>
      <c r="O8" s="5">
        <f t="shared" si="0"/>
        <v>10</v>
      </c>
      <c r="R8" s="30"/>
    </row>
    <row r="9" spans="1:18" ht="18" customHeight="1" x14ac:dyDescent="0.3">
      <c r="A9" s="4">
        <v>4</v>
      </c>
      <c r="B9" s="5">
        <f>1985+25</f>
        <v>2010</v>
      </c>
      <c r="C9" s="5">
        <v>8</v>
      </c>
      <c r="D9" s="5">
        <v>1207</v>
      </c>
      <c r="E9" s="5">
        <v>191</v>
      </c>
      <c r="F9" s="5">
        <v>183</v>
      </c>
      <c r="G9" s="5">
        <v>244</v>
      </c>
      <c r="H9" s="5">
        <f t="shared" si="1"/>
        <v>3843</v>
      </c>
      <c r="I9" s="5">
        <v>0</v>
      </c>
      <c r="J9" s="6"/>
      <c r="K9" s="5">
        <v>4</v>
      </c>
      <c r="L9" s="5">
        <v>1</v>
      </c>
      <c r="M9" s="5">
        <v>7</v>
      </c>
      <c r="N9" s="5">
        <v>0</v>
      </c>
      <c r="O9" s="5">
        <f t="shared" si="0"/>
        <v>8</v>
      </c>
    </row>
    <row r="10" spans="1:18" ht="18" customHeight="1" x14ac:dyDescent="0.3">
      <c r="A10" s="4">
        <v>5</v>
      </c>
      <c r="B10" s="5">
        <f>2040+26</f>
        <v>2066</v>
      </c>
      <c r="C10" s="5">
        <v>8</v>
      </c>
      <c r="D10" s="5">
        <v>1206</v>
      </c>
      <c r="E10" s="5">
        <v>169</v>
      </c>
      <c r="F10" s="5">
        <v>200</v>
      </c>
      <c r="G10" s="5">
        <v>294</v>
      </c>
      <c r="H10" s="5">
        <f t="shared" si="1"/>
        <v>3943</v>
      </c>
      <c r="I10" s="5">
        <v>0</v>
      </c>
      <c r="J10" s="6"/>
      <c r="K10" s="5">
        <v>5</v>
      </c>
      <c r="L10" s="5">
        <v>0</v>
      </c>
      <c r="M10" s="5">
        <v>4</v>
      </c>
      <c r="N10" s="5">
        <v>4</v>
      </c>
      <c r="O10" s="5">
        <f t="shared" si="0"/>
        <v>8</v>
      </c>
    </row>
    <row r="11" spans="1:18" ht="18" customHeight="1" x14ac:dyDescent="0.3">
      <c r="A11" s="4">
        <v>6</v>
      </c>
      <c r="B11" s="5">
        <f>2654+29</f>
        <v>2683</v>
      </c>
      <c r="C11" s="5">
        <v>11</v>
      </c>
      <c r="D11" s="5">
        <v>1199</v>
      </c>
      <c r="E11" s="5">
        <v>154</v>
      </c>
      <c r="F11" s="5">
        <v>196</v>
      </c>
      <c r="G11" s="5">
        <v>261</v>
      </c>
      <c r="H11" s="5">
        <f t="shared" si="1"/>
        <v>4504</v>
      </c>
      <c r="I11" s="5">
        <v>0</v>
      </c>
      <c r="J11" s="6"/>
      <c r="K11" s="5">
        <v>6</v>
      </c>
      <c r="L11" s="5">
        <v>1</v>
      </c>
      <c r="M11" s="5">
        <v>10</v>
      </c>
      <c r="N11" s="5">
        <v>3</v>
      </c>
      <c r="O11" s="5">
        <f t="shared" si="0"/>
        <v>14</v>
      </c>
    </row>
    <row r="12" spans="1:18" ht="18" customHeight="1" x14ac:dyDescent="0.3">
      <c r="A12" s="4">
        <v>7</v>
      </c>
      <c r="B12" s="5">
        <f>3006+17</f>
        <v>3023</v>
      </c>
      <c r="C12" s="5">
        <v>15</v>
      </c>
      <c r="D12" s="5">
        <v>1030</v>
      </c>
      <c r="E12" s="5">
        <v>107</v>
      </c>
      <c r="F12" s="5">
        <v>175</v>
      </c>
      <c r="G12" s="5">
        <v>203</v>
      </c>
      <c r="H12" s="5">
        <f t="shared" si="1"/>
        <v>4553</v>
      </c>
      <c r="I12" s="5">
        <v>0</v>
      </c>
      <c r="J12" s="9"/>
      <c r="K12" s="5">
        <v>7</v>
      </c>
      <c r="L12" s="5">
        <v>0</v>
      </c>
      <c r="M12" s="5">
        <v>4</v>
      </c>
      <c r="N12" s="5">
        <v>1</v>
      </c>
      <c r="O12" s="5">
        <f t="shared" si="0"/>
        <v>5</v>
      </c>
    </row>
    <row r="13" spans="1:18" ht="18" customHeight="1" x14ac:dyDescent="0.3">
      <c r="A13" s="4">
        <v>8</v>
      </c>
      <c r="B13" s="5">
        <f>3803+8</f>
        <v>3811</v>
      </c>
      <c r="C13" s="5">
        <v>8</v>
      </c>
      <c r="D13" s="5">
        <v>793</v>
      </c>
      <c r="E13" s="5">
        <v>81</v>
      </c>
      <c r="F13" s="5">
        <v>83</v>
      </c>
      <c r="G13" s="5">
        <v>132</v>
      </c>
      <c r="H13" s="5">
        <f t="shared" si="1"/>
        <v>4908</v>
      </c>
      <c r="I13" s="5">
        <v>0</v>
      </c>
      <c r="J13" s="9"/>
      <c r="K13" s="5">
        <v>8</v>
      </c>
      <c r="L13" s="5">
        <v>0</v>
      </c>
      <c r="M13" s="5">
        <v>0</v>
      </c>
      <c r="N13" s="5">
        <v>2</v>
      </c>
      <c r="O13" s="5">
        <f t="shared" si="0"/>
        <v>2</v>
      </c>
    </row>
    <row r="14" spans="1:18" s="32" customFormat="1" ht="18" customHeight="1" x14ac:dyDescent="0.3">
      <c r="A14" s="4">
        <v>9</v>
      </c>
      <c r="B14" s="5">
        <f>1876+16</f>
        <v>1892</v>
      </c>
      <c r="C14" s="5">
        <v>6</v>
      </c>
      <c r="D14" s="5">
        <v>1000</v>
      </c>
      <c r="E14" s="5">
        <v>141</v>
      </c>
      <c r="F14" s="5">
        <v>183</v>
      </c>
      <c r="G14" s="5">
        <v>262</v>
      </c>
      <c r="H14" s="5">
        <f t="shared" si="1"/>
        <v>3484</v>
      </c>
      <c r="I14" s="5">
        <v>0</v>
      </c>
      <c r="J14" s="9"/>
      <c r="K14" s="5">
        <v>9</v>
      </c>
      <c r="L14" s="5">
        <v>0</v>
      </c>
      <c r="M14" s="5">
        <v>8</v>
      </c>
      <c r="N14" s="5">
        <v>1</v>
      </c>
      <c r="O14" s="5">
        <f t="shared" si="0"/>
        <v>9</v>
      </c>
    </row>
    <row r="15" spans="1:18" ht="18" customHeight="1" x14ac:dyDescent="0.3">
      <c r="A15" s="4">
        <v>10</v>
      </c>
      <c r="B15" s="5">
        <f>1916+18</f>
        <v>1934</v>
      </c>
      <c r="C15" s="5">
        <v>8</v>
      </c>
      <c r="D15" s="5">
        <v>1155</v>
      </c>
      <c r="E15" s="5">
        <v>157</v>
      </c>
      <c r="F15" s="5">
        <v>162</v>
      </c>
      <c r="G15" s="5">
        <v>222</v>
      </c>
      <c r="H15" s="5">
        <f t="shared" si="1"/>
        <v>3638</v>
      </c>
      <c r="I15" s="5">
        <v>0</v>
      </c>
      <c r="J15" s="9"/>
      <c r="K15" s="5">
        <v>10</v>
      </c>
      <c r="L15" s="5">
        <v>0</v>
      </c>
      <c r="M15" s="5">
        <v>12</v>
      </c>
      <c r="N15" s="5">
        <v>1</v>
      </c>
      <c r="O15" s="5">
        <f t="shared" si="0"/>
        <v>13</v>
      </c>
    </row>
    <row r="16" spans="1:18" ht="18" customHeight="1" x14ac:dyDescent="0.3">
      <c r="A16" s="4">
        <v>11</v>
      </c>
      <c r="B16" s="5">
        <f>2041+26</f>
        <v>2067</v>
      </c>
      <c r="C16" s="5">
        <v>2</v>
      </c>
      <c r="D16" s="5">
        <v>1145</v>
      </c>
      <c r="E16" s="5">
        <v>191</v>
      </c>
      <c r="F16" s="5">
        <v>195</v>
      </c>
      <c r="G16" s="5">
        <v>293</v>
      </c>
      <c r="H16" s="5">
        <f t="shared" si="1"/>
        <v>3893</v>
      </c>
      <c r="I16" s="5">
        <v>0</v>
      </c>
      <c r="J16" s="9"/>
      <c r="K16" s="5">
        <v>11</v>
      </c>
      <c r="L16" s="5">
        <v>1</v>
      </c>
      <c r="M16" s="5">
        <v>6</v>
      </c>
      <c r="N16" s="5">
        <v>2</v>
      </c>
      <c r="O16" s="5">
        <f t="shared" si="0"/>
        <v>9</v>
      </c>
    </row>
    <row r="17" spans="1:25" ht="18" customHeight="1" x14ac:dyDescent="0.3">
      <c r="A17" s="4">
        <v>12</v>
      </c>
      <c r="B17" s="5">
        <f>1991+20</f>
        <v>2011</v>
      </c>
      <c r="C17" s="5">
        <v>4</v>
      </c>
      <c r="D17" s="5">
        <v>1210</v>
      </c>
      <c r="E17" s="5">
        <v>230</v>
      </c>
      <c r="F17" s="5">
        <v>183</v>
      </c>
      <c r="G17" s="5">
        <v>265</v>
      </c>
      <c r="H17" s="5">
        <f t="shared" si="1"/>
        <v>3903</v>
      </c>
      <c r="I17" s="5">
        <v>0</v>
      </c>
      <c r="J17" s="9"/>
      <c r="K17" s="5">
        <v>12</v>
      </c>
      <c r="L17" s="5">
        <v>0</v>
      </c>
      <c r="M17" s="5">
        <v>1</v>
      </c>
      <c r="N17" s="5">
        <v>2</v>
      </c>
      <c r="O17" s="5">
        <f t="shared" si="0"/>
        <v>3</v>
      </c>
    </row>
    <row r="18" spans="1:25" ht="18" customHeight="1" x14ac:dyDescent="0.3">
      <c r="A18" s="4">
        <v>13</v>
      </c>
      <c r="B18" s="5">
        <f>3028+20</f>
        <v>3048</v>
      </c>
      <c r="C18" s="5">
        <v>11</v>
      </c>
      <c r="D18" s="5">
        <v>1153</v>
      </c>
      <c r="E18" s="5">
        <v>151</v>
      </c>
      <c r="F18" s="5">
        <v>165</v>
      </c>
      <c r="G18" s="5">
        <v>231</v>
      </c>
      <c r="H18" s="5">
        <f t="shared" si="1"/>
        <v>4759</v>
      </c>
      <c r="I18" s="5">
        <v>0</v>
      </c>
      <c r="J18" s="9"/>
      <c r="K18" s="5">
        <v>13</v>
      </c>
      <c r="L18" s="5">
        <v>0</v>
      </c>
      <c r="M18" s="5">
        <v>2</v>
      </c>
      <c r="N18" s="5">
        <v>2</v>
      </c>
      <c r="O18" s="5">
        <f t="shared" si="0"/>
        <v>4</v>
      </c>
    </row>
    <row r="19" spans="1:25" ht="18" customHeight="1" x14ac:dyDescent="0.3">
      <c r="A19" s="4">
        <v>14</v>
      </c>
      <c r="B19" s="5">
        <f>2334+13</f>
        <v>2347</v>
      </c>
      <c r="C19" s="5">
        <v>11</v>
      </c>
      <c r="D19" s="5">
        <v>812</v>
      </c>
      <c r="E19" s="5">
        <v>113</v>
      </c>
      <c r="F19" s="5">
        <v>165</v>
      </c>
      <c r="G19" s="5">
        <v>188</v>
      </c>
      <c r="H19" s="5">
        <f t="shared" si="1"/>
        <v>3636</v>
      </c>
      <c r="I19" s="5">
        <v>0</v>
      </c>
      <c r="J19" s="9"/>
      <c r="K19" s="5">
        <v>14</v>
      </c>
      <c r="L19" s="5">
        <v>0</v>
      </c>
      <c r="M19" s="5">
        <v>4</v>
      </c>
      <c r="N19" s="5">
        <v>3</v>
      </c>
      <c r="O19" s="5">
        <f t="shared" si="0"/>
        <v>7</v>
      </c>
    </row>
    <row r="20" spans="1:25" ht="18" customHeight="1" x14ac:dyDescent="0.3">
      <c r="A20" s="4">
        <v>15</v>
      </c>
      <c r="B20" s="5">
        <f>3320+9</f>
        <v>3329</v>
      </c>
      <c r="C20" s="5">
        <v>6</v>
      </c>
      <c r="D20" s="5">
        <v>648</v>
      </c>
      <c r="E20" s="5">
        <v>81</v>
      </c>
      <c r="F20" s="5">
        <v>108</v>
      </c>
      <c r="G20" s="5">
        <v>158</v>
      </c>
      <c r="H20" s="5">
        <f t="shared" si="1"/>
        <v>4330</v>
      </c>
      <c r="I20" s="5">
        <v>0</v>
      </c>
      <c r="J20" s="9"/>
      <c r="K20" s="5">
        <v>15</v>
      </c>
      <c r="L20" s="5">
        <v>0</v>
      </c>
      <c r="M20" s="5">
        <v>2</v>
      </c>
      <c r="N20" s="5">
        <v>0</v>
      </c>
      <c r="O20" s="5">
        <f t="shared" si="0"/>
        <v>2</v>
      </c>
    </row>
    <row r="21" spans="1:25" ht="18" customHeight="1" x14ac:dyDescent="0.3">
      <c r="A21" s="4">
        <v>16</v>
      </c>
      <c r="B21" s="5">
        <f>2356+26</f>
        <v>2382</v>
      </c>
      <c r="C21" s="5">
        <v>5</v>
      </c>
      <c r="D21" s="5">
        <v>1076</v>
      </c>
      <c r="E21" s="5">
        <v>192</v>
      </c>
      <c r="F21" s="5">
        <v>183</v>
      </c>
      <c r="G21" s="5">
        <v>259</v>
      </c>
      <c r="H21" s="5">
        <f t="shared" si="1"/>
        <v>4097</v>
      </c>
      <c r="I21" s="5">
        <v>0</v>
      </c>
      <c r="J21" s="9"/>
      <c r="K21" s="5">
        <v>16</v>
      </c>
      <c r="L21" s="5">
        <v>1</v>
      </c>
      <c r="M21" s="5">
        <v>2</v>
      </c>
      <c r="N21" s="5">
        <v>2</v>
      </c>
      <c r="O21" s="5">
        <f t="shared" si="0"/>
        <v>5</v>
      </c>
    </row>
    <row r="22" spans="1:25" ht="18" customHeight="1" x14ac:dyDescent="0.3">
      <c r="A22" s="4">
        <v>17</v>
      </c>
      <c r="B22" s="5">
        <f>2228+25</f>
        <v>2253</v>
      </c>
      <c r="C22" s="5">
        <v>9</v>
      </c>
      <c r="D22" s="5">
        <v>1258</v>
      </c>
      <c r="E22" s="5">
        <v>154</v>
      </c>
      <c r="F22" s="5">
        <v>158</v>
      </c>
      <c r="G22" s="5">
        <v>273</v>
      </c>
      <c r="H22" s="5">
        <f>SUM(B22:G22)</f>
        <v>4105</v>
      </c>
      <c r="I22" s="5">
        <v>0</v>
      </c>
      <c r="J22" s="9"/>
      <c r="K22" s="5">
        <v>17</v>
      </c>
      <c r="L22" s="5">
        <v>1</v>
      </c>
      <c r="M22" s="5">
        <v>1</v>
      </c>
      <c r="N22" s="5">
        <v>1</v>
      </c>
      <c r="O22" s="5">
        <f t="shared" si="0"/>
        <v>3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f>2664+24</f>
        <v>2688</v>
      </c>
      <c r="C23" s="5">
        <v>8</v>
      </c>
      <c r="D23" s="5">
        <v>1293</v>
      </c>
      <c r="E23" s="5">
        <v>152</v>
      </c>
      <c r="F23" s="5">
        <v>226</v>
      </c>
      <c r="G23" s="5">
        <v>283</v>
      </c>
      <c r="H23" s="5">
        <f t="shared" si="1"/>
        <v>4650</v>
      </c>
      <c r="I23" s="5">
        <v>0</v>
      </c>
      <c r="J23" s="9"/>
      <c r="K23" s="5">
        <v>18</v>
      </c>
      <c r="L23" s="5">
        <v>3</v>
      </c>
      <c r="M23" s="5">
        <v>6</v>
      </c>
      <c r="N23" s="5">
        <v>0</v>
      </c>
      <c r="O23" s="5">
        <f t="shared" si="0"/>
        <v>9</v>
      </c>
    </row>
    <row r="24" spans="1:25" ht="18" customHeight="1" x14ac:dyDescent="0.3">
      <c r="A24" s="4">
        <v>19</v>
      </c>
      <c r="B24" s="5">
        <f>2250+22</f>
        <v>2272</v>
      </c>
      <c r="C24" s="5">
        <v>2</v>
      </c>
      <c r="D24" s="5">
        <v>1186</v>
      </c>
      <c r="E24" s="5">
        <v>185</v>
      </c>
      <c r="F24" s="5">
        <v>192</v>
      </c>
      <c r="G24" s="5">
        <v>304</v>
      </c>
      <c r="H24" s="5">
        <f t="shared" si="1"/>
        <v>4141</v>
      </c>
      <c r="I24" s="5">
        <v>0</v>
      </c>
      <c r="J24" s="9"/>
      <c r="K24" s="5">
        <v>19</v>
      </c>
      <c r="L24" s="5">
        <v>0</v>
      </c>
      <c r="M24" s="5">
        <v>4</v>
      </c>
      <c r="N24" s="5">
        <v>2</v>
      </c>
      <c r="O24" s="5">
        <f t="shared" si="0"/>
        <v>6</v>
      </c>
    </row>
    <row r="25" spans="1:25" ht="18" customHeight="1" x14ac:dyDescent="0.3">
      <c r="A25" s="4">
        <v>20</v>
      </c>
      <c r="B25" s="5">
        <f>5560+27</f>
        <v>5587</v>
      </c>
      <c r="C25" s="5">
        <v>9</v>
      </c>
      <c r="D25" s="5">
        <v>1384</v>
      </c>
      <c r="E25" s="5">
        <v>178</v>
      </c>
      <c r="F25" s="5">
        <v>245</v>
      </c>
      <c r="G25" s="5">
        <v>265</v>
      </c>
      <c r="H25" s="5">
        <f t="shared" si="1"/>
        <v>7668</v>
      </c>
      <c r="I25" s="5">
        <v>0</v>
      </c>
      <c r="J25" s="9"/>
      <c r="K25" s="5">
        <v>20</v>
      </c>
      <c r="L25" s="5">
        <v>0</v>
      </c>
      <c r="M25" s="5">
        <v>2</v>
      </c>
      <c r="N25" s="5">
        <v>3</v>
      </c>
      <c r="O25" s="5">
        <f t="shared" si="0"/>
        <v>5</v>
      </c>
    </row>
    <row r="26" spans="1:25" ht="18" customHeight="1" x14ac:dyDescent="0.3">
      <c r="A26" s="4">
        <v>21</v>
      </c>
      <c r="B26" s="5">
        <f>6572+20</f>
        <v>6592</v>
      </c>
      <c r="C26" s="5">
        <v>10</v>
      </c>
      <c r="D26" s="5">
        <v>906</v>
      </c>
      <c r="E26" s="5">
        <v>43</v>
      </c>
      <c r="F26" s="5">
        <v>107</v>
      </c>
      <c r="G26" s="5">
        <v>116</v>
      </c>
      <c r="H26" s="5">
        <f t="shared" si="1"/>
        <v>7774</v>
      </c>
      <c r="I26" s="5">
        <v>0</v>
      </c>
      <c r="J26" s="9"/>
      <c r="K26" s="5">
        <v>21</v>
      </c>
      <c r="L26" s="5">
        <v>1</v>
      </c>
      <c r="M26" s="5">
        <v>0</v>
      </c>
      <c r="N26" s="5">
        <v>0</v>
      </c>
      <c r="O26" s="5">
        <f t="shared" si="0"/>
        <v>1</v>
      </c>
    </row>
    <row r="27" spans="1:25" ht="18" customHeight="1" x14ac:dyDescent="0.3">
      <c r="A27" s="4">
        <v>22</v>
      </c>
      <c r="B27" s="5">
        <f>5764+19</f>
        <v>5783</v>
      </c>
      <c r="C27" s="5">
        <v>5</v>
      </c>
      <c r="D27" s="5">
        <v>931</v>
      </c>
      <c r="E27" s="5">
        <v>90</v>
      </c>
      <c r="F27" s="5">
        <v>191</v>
      </c>
      <c r="G27" s="5">
        <v>219</v>
      </c>
      <c r="H27" s="5">
        <f t="shared" si="1"/>
        <v>7219</v>
      </c>
      <c r="I27" s="5">
        <v>0</v>
      </c>
      <c r="J27" s="9"/>
      <c r="K27" s="5">
        <v>22</v>
      </c>
      <c r="L27" s="5">
        <v>0</v>
      </c>
      <c r="M27" s="5">
        <v>2</v>
      </c>
      <c r="N27" s="5">
        <v>0</v>
      </c>
      <c r="O27" s="5">
        <f t="shared" si="0"/>
        <v>2</v>
      </c>
    </row>
    <row r="28" spans="1:25" ht="18" customHeight="1" x14ac:dyDescent="0.3">
      <c r="A28" s="4">
        <v>23</v>
      </c>
      <c r="B28" s="5">
        <f>8722+22</f>
        <v>8744</v>
      </c>
      <c r="C28" s="5">
        <v>4</v>
      </c>
      <c r="D28" s="5">
        <v>740</v>
      </c>
      <c r="E28" s="5">
        <v>54</v>
      </c>
      <c r="F28" s="5">
        <v>83</v>
      </c>
      <c r="G28" s="5">
        <v>81</v>
      </c>
      <c r="H28" s="5">
        <f t="shared" si="1"/>
        <v>9706</v>
      </c>
      <c r="I28" s="5">
        <v>0</v>
      </c>
      <c r="J28" s="9"/>
      <c r="K28" s="5">
        <v>23</v>
      </c>
      <c r="L28" s="5">
        <v>0</v>
      </c>
      <c r="M28" s="5">
        <v>0</v>
      </c>
      <c r="N28" s="5">
        <v>0</v>
      </c>
      <c r="O28" s="5">
        <f t="shared" si="0"/>
        <v>0</v>
      </c>
    </row>
    <row r="29" spans="1:25" ht="18" customHeight="1" x14ac:dyDescent="0.3">
      <c r="A29" s="4">
        <v>24</v>
      </c>
      <c r="B29" s="5">
        <f>2727+11</f>
        <v>2738</v>
      </c>
      <c r="C29" s="5">
        <v>4</v>
      </c>
      <c r="D29" s="5">
        <v>1217</v>
      </c>
      <c r="E29" s="5">
        <v>150</v>
      </c>
      <c r="F29" s="5">
        <v>217</v>
      </c>
      <c r="G29" s="5">
        <v>255</v>
      </c>
      <c r="H29" s="5">
        <f t="shared" si="1"/>
        <v>4581</v>
      </c>
      <c r="I29" s="5">
        <v>0</v>
      </c>
      <c r="J29" s="9"/>
      <c r="K29" s="5">
        <v>24</v>
      </c>
      <c r="L29" s="5">
        <v>0</v>
      </c>
      <c r="M29" s="5">
        <v>8</v>
      </c>
      <c r="N29" s="5">
        <v>2</v>
      </c>
      <c r="O29" s="5">
        <f t="shared" si="0"/>
        <v>10</v>
      </c>
    </row>
    <row r="30" spans="1:25" ht="18" customHeight="1" x14ac:dyDescent="0.3">
      <c r="A30" s="4">
        <v>25</v>
      </c>
      <c r="B30" s="5">
        <f>2899+14</f>
        <v>2913</v>
      </c>
      <c r="C30" s="5">
        <v>8</v>
      </c>
      <c r="D30" s="5">
        <v>1266</v>
      </c>
      <c r="E30" s="5">
        <v>190</v>
      </c>
      <c r="F30" s="5">
        <v>189</v>
      </c>
      <c r="G30" s="5">
        <v>280</v>
      </c>
      <c r="H30" s="5">
        <f t="shared" si="1"/>
        <v>4846</v>
      </c>
      <c r="I30" s="5">
        <v>0</v>
      </c>
      <c r="J30" s="9"/>
      <c r="K30" s="5">
        <v>25</v>
      </c>
      <c r="L30" s="5">
        <v>0</v>
      </c>
      <c r="M30" s="5">
        <v>5</v>
      </c>
      <c r="N30" s="5">
        <v>0</v>
      </c>
      <c r="O30" s="5">
        <f t="shared" si="0"/>
        <v>5</v>
      </c>
    </row>
    <row r="31" spans="1:25" ht="18" customHeight="1" x14ac:dyDescent="0.3">
      <c r="A31" s="4">
        <v>26</v>
      </c>
      <c r="B31" s="5">
        <f>3279+28</f>
        <v>3307</v>
      </c>
      <c r="C31" s="5">
        <v>24</v>
      </c>
      <c r="D31" s="5">
        <v>1387</v>
      </c>
      <c r="E31" s="5">
        <v>126</v>
      </c>
      <c r="F31" s="5">
        <v>224</v>
      </c>
      <c r="G31" s="5">
        <v>296</v>
      </c>
      <c r="H31" s="5">
        <f t="shared" si="1"/>
        <v>5364</v>
      </c>
      <c r="I31" s="5">
        <v>0</v>
      </c>
      <c r="J31" s="9"/>
      <c r="K31" s="5">
        <v>26</v>
      </c>
      <c r="L31" s="5">
        <v>1</v>
      </c>
      <c r="M31" s="5">
        <v>6</v>
      </c>
      <c r="N31" s="5">
        <v>2</v>
      </c>
      <c r="O31" s="5">
        <f t="shared" si="0"/>
        <v>9</v>
      </c>
    </row>
    <row r="32" spans="1:25" ht="18" customHeight="1" x14ac:dyDescent="0.3">
      <c r="A32" s="4">
        <v>27</v>
      </c>
      <c r="B32" s="5">
        <f>7348+26</f>
        <v>7374</v>
      </c>
      <c r="C32" s="5">
        <v>13</v>
      </c>
      <c r="D32" s="5">
        <v>1387</v>
      </c>
      <c r="E32" s="5">
        <v>197</v>
      </c>
      <c r="F32" s="5">
        <v>193</v>
      </c>
      <c r="G32" s="5">
        <v>284</v>
      </c>
      <c r="H32" s="5">
        <f t="shared" si="1"/>
        <v>9448</v>
      </c>
      <c r="I32" s="5">
        <v>0</v>
      </c>
      <c r="J32" s="9"/>
      <c r="K32" s="5">
        <v>27</v>
      </c>
      <c r="L32" s="5">
        <v>0</v>
      </c>
      <c r="M32" s="5">
        <v>0</v>
      </c>
      <c r="N32" s="5">
        <v>1</v>
      </c>
      <c r="O32" s="5">
        <f t="shared" si="0"/>
        <v>1</v>
      </c>
    </row>
    <row r="33" spans="1:15" ht="18" customHeight="1" x14ac:dyDescent="0.3">
      <c r="A33" s="4">
        <v>28</v>
      </c>
      <c r="B33" s="5">
        <f>6782+10</f>
        <v>6792</v>
      </c>
      <c r="C33" s="5">
        <v>12</v>
      </c>
      <c r="D33" s="5">
        <v>874</v>
      </c>
      <c r="E33" s="5">
        <v>33</v>
      </c>
      <c r="F33" s="5">
        <v>78</v>
      </c>
      <c r="G33" s="5">
        <v>77</v>
      </c>
      <c r="H33" s="5">
        <f t="shared" si="1"/>
        <v>7866</v>
      </c>
      <c r="I33" s="5">
        <v>0</v>
      </c>
      <c r="J33" s="9"/>
      <c r="K33" s="5">
        <v>28</v>
      </c>
      <c r="L33" s="5">
        <v>0</v>
      </c>
      <c r="M33" s="5">
        <v>2</v>
      </c>
      <c r="N33" s="5">
        <v>2</v>
      </c>
      <c r="O33" s="5">
        <f t="shared" si="0"/>
        <v>4</v>
      </c>
    </row>
    <row r="34" spans="1:15" ht="18" customHeight="1" x14ac:dyDescent="0.3">
      <c r="A34" s="4">
        <v>29</v>
      </c>
      <c r="B34" s="5">
        <f>7141+13</f>
        <v>7154</v>
      </c>
      <c r="C34" s="5">
        <v>8</v>
      </c>
      <c r="D34" s="5">
        <v>927</v>
      </c>
      <c r="E34" s="5">
        <v>93</v>
      </c>
      <c r="F34" s="5">
        <v>149</v>
      </c>
      <c r="G34" s="5">
        <v>214</v>
      </c>
      <c r="H34" s="5">
        <f t="shared" si="1"/>
        <v>8545</v>
      </c>
      <c r="I34" s="5">
        <v>0</v>
      </c>
      <c r="J34" s="9"/>
      <c r="K34" s="5">
        <v>29</v>
      </c>
      <c r="L34" s="5">
        <v>1</v>
      </c>
      <c r="M34" s="5">
        <v>1</v>
      </c>
      <c r="N34" s="5">
        <v>0</v>
      </c>
      <c r="O34" s="5">
        <f>SUM(L34:N34)</f>
        <v>2</v>
      </c>
    </row>
    <row r="35" spans="1:15" ht="18" customHeight="1" x14ac:dyDescent="0.3">
      <c r="A35" s="4">
        <v>30</v>
      </c>
      <c r="B35" s="5">
        <f>11146+13</f>
        <v>11159</v>
      </c>
      <c r="C35" s="5">
        <v>8</v>
      </c>
      <c r="D35" s="5">
        <v>771</v>
      </c>
      <c r="E35" s="5">
        <v>39</v>
      </c>
      <c r="F35" s="5">
        <v>50</v>
      </c>
      <c r="G35" s="5">
        <v>74</v>
      </c>
      <c r="H35" s="5">
        <f t="shared" si="1"/>
        <v>12101</v>
      </c>
      <c r="I35" s="5">
        <v>0</v>
      </c>
      <c r="J35" s="9"/>
      <c r="K35" s="5">
        <v>30</v>
      </c>
      <c r="L35" s="5">
        <v>0</v>
      </c>
      <c r="M35" s="5">
        <v>0</v>
      </c>
      <c r="N35" s="5">
        <v>1</v>
      </c>
      <c r="O35" s="5">
        <f>SUM(L35:N35)</f>
        <v>1</v>
      </c>
    </row>
    <row r="36" spans="1:15" ht="18" hidden="1" customHeight="1" x14ac:dyDescent="0.3">
      <c r="A36" s="4">
        <v>31</v>
      </c>
      <c r="B36" s="5"/>
      <c r="C36" s="5"/>
      <c r="D36" s="5"/>
      <c r="E36" s="5"/>
      <c r="F36" s="5"/>
      <c r="G36" s="5"/>
      <c r="H36" s="5">
        <f t="shared" si="1"/>
        <v>0</v>
      </c>
      <c r="I36" s="5">
        <v>0</v>
      </c>
      <c r="J36" s="9"/>
      <c r="K36" s="5">
        <v>31</v>
      </c>
      <c r="L36" s="5"/>
      <c r="M36" s="5"/>
      <c r="N36" s="5"/>
      <c r="O36" s="5">
        <f>SUM(L36:N36)</f>
        <v>0</v>
      </c>
    </row>
    <row r="37" spans="1:15" ht="18" customHeight="1" x14ac:dyDescent="0.3">
      <c r="A37" s="3" t="s">
        <v>19</v>
      </c>
      <c r="B37" s="14">
        <f>SUM(B6:B36)</f>
        <v>122989</v>
      </c>
      <c r="C37" s="14">
        <f t="shared" ref="C37:O37" si="2">SUM(C6:C36)</f>
        <v>241</v>
      </c>
      <c r="D37" s="14">
        <f t="shared" si="2"/>
        <v>31796</v>
      </c>
      <c r="E37" s="14">
        <f t="shared" si="2"/>
        <v>3943</v>
      </c>
      <c r="F37" s="14">
        <f t="shared" si="2"/>
        <v>4928</v>
      </c>
      <c r="G37" s="14">
        <f t="shared" si="2"/>
        <v>6575</v>
      </c>
      <c r="H37" s="14">
        <f t="shared" si="2"/>
        <v>170472</v>
      </c>
      <c r="I37" s="14">
        <f t="shared" si="2"/>
        <v>0</v>
      </c>
      <c r="J37" s="14"/>
      <c r="K37" s="14"/>
      <c r="L37" s="14">
        <f t="shared" si="2"/>
        <v>13</v>
      </c>
      <c r="M37" s="14">
        <f t="shared" si="2"/>
        <v>115</v>
      </c>
      <c r="N37" s="14">
        <f t="shared" si="2"/>
        <v>41</v>
      </c>
      <c r="O37" s="14">
        <f t="shared" si="2"/>
        <v>169</v>
      </c>
    </row>
    <row r="38" spans="1:15" ht="18" customHeight="1" x14ac:dyDescent="0.3">
      <c r="A38" s="3" t="s">
        <v>19</v>
      </c>
      <c r="B38" s="47">
        <f>+B37+C37</f>
        <v>123230</v>
      </c>
      <c r="C38" s="47"/>
      <c r="D38" s="14">
        <f>+D37</f>
        <v>31796</v>
      </c>
      <c r="E38" s="14">
        <f>+E37</f>
        <v>3943</v>
      </c>
      <c r="F38" s="14">
        <f>+F37</f>
        <v>4928</v>
      </c>
      <c r="G38" s="14">
        <f>+G37</f>
        <v>6575</v>
      </c>
      <c r="H38" s="14">
        <f>+H37</f>
        <v>170472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ht="18" customHeight="1" x14ac:dyDescent="0.3">
      <c r="A39" s="17"/>
      <c r="B39" s="34"/>
      <c r="C39" s="34"/>
      <c r="D39" s="34"/>
      <c r="E39" s="34"/>
      <c r="F39" s="34"/>
      <c r="G39" s="34"/>
      <c r="H39" s="34"/>
      <c r="L39" s="35"/>
    </row>
    <row r="40" spans="1:15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38"/>
      <c r="L40" s="38"/>
    </row>
    <row r="41" spans="1:15" x14ac:dyDescent="0.3">
      <c r="A41" s="30"/>
      <c r="H41" s="30"/>
      <c r="K41" s="38"/>
      <c r="L41" s="38"/>
    </row>
    <row r="42" spans="1:15" x14ac:dyDescent="0.3">
      <c r="K42" s="38"/>
      <c r="L42" s="38"/>
    </row>
    <row r="43" spans="1:15" x14ac:dyDescent="0.3">
      <c r="I43" s="30"/>
      <c r="J43" s="30"/>
    </row>
    <row r="45" spans="1:15" x14ac:dyDescent="0.3">
      <c r="A45" s="42"/>
    </row>
    <row r="46" spans="1:15" x14ac:dyDescent="0.3">
      <c r="A46" s="42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0E32-8F9F-4882-B03C-1874D926BFD1}">
  <dimension ref="A1:Z46"/>
  <sheetViews>
    <sheetView workbookViewId="0">
      <selection activeCell="A3" sqref="A3:O3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9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9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9" s="27" customFormat="1" ht="15.6" x14ac:dyDescent="0.3">
      <c r="A3" s="49" t="s">
        <v>31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9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9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9" ht="18" customHeight="1" thickBot="1" x14ac:dyDescent="0.35">
      <c r="A6" s="4">
        <v>1</v>
      </c>
      <c r="B6" s="5">
        <f>3837+18</f>
        <v>3855</v>
      </c>
      <c r="C6" s="5">
        <v>10</v>
      </c>
      <c r="D6" s="5">
        <v>1210</v>
      </c>
      <c r="E6" s="5">
        <v>161</v>
      </c>
      <c r="F6" s="5">
        <v>196</v>
      </c>
      <c r="G6" s="5">
        <v>243</v>
      </c>
      <c r="H6" s="5">
        <f>SUM(B6:G6)</f>
        <v>5675</v>
      </c>
      <c r="I6" s="5">
        <v>0</v>
      </c>
      <c r="J6" s="6"/>
      <c r="K6" s="4">
        <v>1</v>
      </c>
      <c r="L6" s="5">
        <v>0</v>
      </c>
      <c r="M6" s="5">
        <v>2</v>
      </c>
      <c r="N6" s="5">
        <v>1</v>
      </c>
      <c r="O6" s="5">
        <f>SUM(L6:N6)</f>
        <v>3</v>
      </c>
      <c r="P6" s="29">
        <v>6135</v>
      </c>
    </row>
    <row r="7" spans="1:19" ht="18" customHeight="1" thickTop="1" thickBot="1" x14ac:dyDescent="0.35">
      <c r="A7" s="4">
        <v>2</v>
      </c>
      <c r="B7" s="5">
        <f>3350+24</f>
        <v>3374</v>
      </c>
      <c r="C7" s="5">
        <v>6</v>
      </c>
      <c r="D7" s="5">
        <v>1301</v>
      </c>
      <c r="E7" s="5">
        <v>135</v>
      </c>
      <c r="F7" s="5">
        <v>206</v>
      </c>
      <c r="G7" s="5">
        <v>224</v>
      </c>
      <c r="H7" s="5">
        <f>SUM(B7:G7)</f>
        <v>5246</v>
      </c>
      <c r="I7" s="5">
        <v>0</v>
      </c>
      <c r="J7" s="6"/>
      <c r="K7" s="4">
        <v>2</v>
      </c>
      <c r="L7" s="5">
        <v>0</v>
      </c>
      <c r="M7" s="5">
        <v>5</v>
      </c>
      <c r="N7" s="5">
        <v>2</v>
      </c>
      <c r="O7" s="5">
        <f t="shared" ref="O7:O33" si="0">SUM(L7:N7)</f>
        <v>7</v>
      </c>
      <c r="P7" s="29">
        <f>+P6</f>
        <v>6135</v>
      </c>
    </row>
    <row r="8" spans="1:19" ht="18" customHeight="1" thickTop="1" thickBot="1" x14ac:dyDescent="0.35">
      <c r="A8" s="4">
        <v>3</v>
      </c>
      <c r="B8" s="5">
        <f>3453+26</f>
        <v>3479</v>
      </c>
      <c r="C8" s="5">
        <v>6</v>
      </c>
      <c r="D8" s="5">
        <v>1328</v>
      </c>
      <c r="E8" s="5">
        <v>165</v>
      </c>
      <c r="F8" s="5">
        <v>211</v>
      </c>
      <c r="G8" s="5">
        <v>268</v>
      </c>
      <c r="H8" s="5">
        <f t="shared" ref="H8:H36" si="1">SUM(B8:G8)</f>
        <v>5457</v>
      </c>
      <c r="I8" s="5">
        <v>0</v>
      </c>
      <c r="J8" s="6"/>
      <c r="K8" s="4">
        <v>3</v>
      </c>
      <c r="L8" s="5">
        <v>0</v>
      </c>
      <c r="M8" s="5">
        <v>8</v>
      </c>
      <c r="N8" s="5">
        <v>0</v>
      </c>
      <c r="O8" s="5">
        <f t="shared" si="0"/>
        <v>8</v>
      </c>
      <c r="P8" s="29">
        <f t="shared" ref="P8:P36" si="2">+P7</f>
        <v>6135</v>
      </c>
      <c r="S8" s="30"/>
    </row>
    <row r="9" spans="1:19" ht="18" customHeight="1" thickTop="1" thickBot="1" x14ac:dyDescent="0.35">
      <c r="A9" s="4">
        <v>4</v>
      </c>
      <c r="B9" s="5">
        <f>2953+12</f>
        <v>2965</v>
      </c>
      <c r="C9" s="5">
        <v>8</v>
      </c>
      <c r="D9" s="5">
        <v>1043</v>
      </c>
      <c r="E9" s="5">
        <v>132</v>
      </c>
      <c r="F9" s="5">
        <v>187</v>
      </c>
      <c r="G9" s="5">
        <v>194</v>
      </c>
      <c r="H9" s="5">
        <f t="shared" si="1"/>
        <v>4529</v>
      </c>
      <c r="I9" s="5">
        <v>0</v>
      </c>
      <c r="J9" s="6"/>
      <c r="K9" s="4">
        <v>4</v>
      </c>
      <c r="L9" s="5">
        <v>0</v>
      </c>
      <c r="M9" s="5">
        <v>0</v>
      </c>
      <c r="N9" s="5">
        <v>1</v>
      </c>
      <c r="O9" s="5">
        <f t="shared" si="0"/>
        <v>1</v>
      </c>
      <c r="P9" s="29">
        <f t="shared" si="2"/>
        <v>6135</v>
      </c>
    </row>
    <row r="10" spans="1:19" ht="18" customHeight="1" thickTop="1" thickBot="1" x14ac:dyDescent="0.35">
      <c r="A10" s="4">
        <v>5</v>
      </c>
      <c r="B10" s="5">
        <f>4551+17</f>
        <v>4568</v>
      </c>
      <c r="C10" s="5">
        <v>11</v>
      </c>
      <c r="D10" s="5">
        <v>985</v>
      </c>
      <c r="E10" s="5">
        <v>108</v>
      </c>
      <c r="F10" s="5">
        <v>214</v>
      </c>
      <c r="G10" s="5">
        <v>199</v>
      </c>
      <c r="H10" s="5">
        <f t="shared" si="1"/>
        <v>6085</v>
      </c>
      <c r="I10" s="5">
        <v>0</v>
      </c>
      <c r="J10" s="6"/>
      <c r="K10" s="4">
        <v>5</v>
      </c>
      <c r="L10" s="5">
        <v>1</v>
      </c>
      <c r="M10" s="5">
        <v>3</v>
      </c>
      <c r="N10" s="5">
        <v>1</v>
      </c>
      <c r="O10" s="5">
        <f t="shared" si="0"/>
        <v>5</v>
      </c>
      <c r="P10" s="29">
        <f t="shared" si="2"/>
        <v>6135</v>
      </c>
    </row>
    <row r="11" spans="1:19" ht="18" customHeight="1" thickTop="1" thickBot="1" x14ac:dyDescent="0.35">
      <c r="A11" s="4">
        <v>6</v>
      </c>
      <c r="B11" s="5">
        <f>6144+5</f>
        <v>6149</v>
      </c>
      <c r="C11" s="5">
        <v>7</v>
      </c>
      <c r="D11" s="5">
        <v>837</v>
      </c>
      <c r="E11" s="5">
        <v>72</v>
      </c>
      <c r="F11" s="5">
        <v>106</v>
      </c>
      <c r="G11" s="5">
        <v>130</v>
      </c>
      <c r="H11" s="5">
        <f t="shared" si="1"/>
        <v>7301</v>
      </c>
      <c r="I11" s="5">
        <v>0</v>
      </c>
      <c r="J11" s="6"/>
      <c r="K11" s="4">
        <v>6</v>
      </c>
      <c r="L11" s="5">
        <v>0</v>
      </c>
      <c r="M11" s="5">
        <v>2</v>
      </c>
      <c r="N11" s="5">
        <v>1</v>
      </c>
      <c r="O11" s="5">
        <f t="shared" si="0"/>
        <v>3</v>
      </c>
      <c r="P11" s="29">
        <f t="shared" si="2"/>
        <v>6135</v>
      </c>
    </row>
    <row r="12" spans="1:19" ht="18" customHeight="1" thickTop="1" thickBot="1" x14ac:dyDescent="0.35">
      <c r="A12" s="4">
        <v>7</v>
      </c>
      <c r="B12" s="5">
        <f>2639+27</f>
        <v>2666</v>
      </c>
      <c r="C12" s="5">
        <v>4</v>
      </c>
      <c r="D12" s="5">
        <v>1044</v>
      </c>
      <c r="E12" s="5">
        <v>186</v>
      </c>
      <c r="F12" s="5">
        <v>208</v>
      </c>
      <c r="G12" s="5">
        <v>217</v>
      </c>
      <c r="H12" s="5">
        <f t="shared" si="1"/>
        <v>4325</v>
      </c>
      <c r="I12" s="5">
        <v>0</v>
      </c>
      <c r="J12" s="9"/>
      <c r="K12" s="4">
        <v>7</v>
      </c>
      <c r="L12" s="5">
        <v>1</v>
      </c>
      <c r="M12" s="5">
        <v>5</v>
      </c>
      <c r="N12" s="5">
        <v>3</v>
      </c>
      <c r="O12" s="5">
        <f t="shared" si="0"/>
        <v>9</v>
      </c>
      <c r="P12" s="29">
        <f t="shared" si="2"/>
        <v>6135</v>
      </c>
    </row>
    <row r="13" spans="1:19" ht="18" customHeight="1" thickTop="1" thickBot="1" x14ac:dyDescent="0.35">
      <c r="A13" s="4">
        <v>8</v>
      </c>
      <c r="B13" s="5">
        <f>2340+12</f>
        <v>2352</v>
      </c>
      <c r="C13" s="5">
        <v>8</v>
      </c>
      <c r="D13" s="5">
        <v>1171</v>
      </c>
      <c r="E13" s="5">
        <v>159</v>
      </c>
      <c r="F13" s="5">
        <v>191</v>
      </c>
      <c r="G13" s="5">
        <v>266</v>
      </c>
      <c r="H13" s="5">
        <f t="shared" si="1"/>
        <v>4147</v>
      </c>
      <c r="I13" s="5">
        <v>0</v>
      </c>
      <c r="J13" s="9"/>
      <c r="K13" s="4">
        <v>8</v>
      </c>
      <c r="L13" s="5">
        <v>3</v>
      </c>
      <c r="M13" s="5">
        <v>6</v>
      </c>
      <c r="N13" s="5">
        <v>7</v>
      </c>
      <c r="O13" s="5">
        <f t="shared" si="0"/>
        <v>16</v>
      </c>
      <c r="P13" s="29">
        <f t="shared" si="2"/>
        <v>6135</v>
      </c>
    </row>
    <row r="14" spans="1:19" s="32" customFormat="1" ht="18" customHeight="1" thickTop="1" thickBot="1" x14ac:dyDescent="0.35">
      <c r="A14" s="4">
        <v>9</v>
      </c>
      <c r="B14" s="5">
        <f>2244+26</f>
        <v>2270</v>
      </c>
      <c r="C14" s="5">
        <v>9</v>
      </c>
      <c r="D14" s="5">
        <v>1182</v>
      </c>
      <c r="E14" s="5">
        <v>162</v>
      </c>
      <c r="F14" s="5">
        <v>199</v>
      </c>
      <c r="G14" s="5">
        <v>285</v>
      </c>
      <c r="H14" s="5">
        <f t="shared" si="1"/>
        <v>4107</v>
      </c>
      <c r="I14" s="5">
        <v>0</v>
      </c>
      <c r="J14" s="9"/>
      <c r="K14" s="4">
        <v>9</v>
      </c>
      <c r="L14" s="5">
        <v>0</v>
      </c>
      <c r="M14" s="5">
        <v>4</v>
      </c>
      <c r="N14" s="5">
        <v>0</v>
      </c>
      <c r="O14" s="5">
        <f t="shared" si="0"/>
        <v>4</v>
      </c>
      <c r="P14" s="31">
        <f t="shared" si="2"/>
        <v>6135</v>
      </c>
    </row>
    <row r="15" spans="1:19" ht="18" customHeight="1" thickTop="1" thickBot="1" x14ac:dyDescent="0.35">
      <c r="A15" s="4">
        <v>10</v>
      </c>
      <c r="B15" s="5">
        <f>2490+29</f>
        <v>2519</v>
      </c>
      <c r="C15" s="5">
        <v>4</v>
      </c>
      <c r="D15" s="5">
        <v>1278</v>
      </c>
      <c r="E15" s="5">
        <v>198</v>
      </c>
      <c r="F15" s="5">
        <v>227</v>
      </c>
      <c r="G15" s="5">
        <v>271</v>
      </c>
      <c r="H15" s="5">
        <f t="shared" si="1"/>
        <v>4497</v>
      </c>
      <c r="I15" s="5">
        <v>0</v>
      </c>
      <c r="J15" s="9"/>
      <c r="K15" s="4">
        <v>10</v>
      </c>
      <c r="L15" s="5">
        <v>0</v>
      </c>
      <c r="M15" s="5">
        <v>6</v>
      </c>
      <c r="N15" s="5">
        <v>0</v>
      </c>
      <c r="O15" s="5">
        <f t="shared" si="0"/>
        <v>6</v>
      </c>
      <c r="P15" s="29">
        <f t="shared" si="2"/>
        <v>6135</v>
      </c>
    </row>
    <row r="16" spans="1:19" ht="18" customHeight="1" thickTop="1" thickBot="1" x14ac:dyDescent="0.35">
      <c r="A16" s="4">
        <v>11</v>
      </c>
      <c r="B16" s="5">
        <f>3593+26</f>
        <v>3619</v>
      </c>
      <c r="C16" s="5">
        <v>11</v>
      </c>
      <c r="D16" s="5">
        <v>1221</v>
      </c>
      <c r="E16" s="5">
        <v>173</v>
      </c>
      <c r="F16" s="5">
        <v>222</v>
      </c>
      <c r="G16" s="5">
        <v>276</v>
      </c>
      <c r="H16" s="5">
        <f t="shared" si="1"/>
        <v>5522</v>
      </c>
      <c r="I16" s="5">
        <v>0</v>
      </c>
      <c r="J16" s="9"/>
      <c r="K16" s="4">
        <v>11</v>
      </c>
      <c r="L16" s="5">
        <v>1</v>
      </c>
      <c r="M16" s="5">
        <v>10</v>
      </c>
      <c r="N16" s="5">
        <v>1</v>
      </c>
      <c r="O16" s="5">
        <f t="shared" si="0"/>
        <v>12</v>
      </c>
      <c r="P16" s="29">
        <f t="shared" si="2"/>
        <v>6135</v>
      </c>
    </row>
    <row r="17" spans="1:26" ht="18" customHeight="1" thickTop="1" thickBot="1" x14ac:dyDescent="0.35">
      <c r="A17" s="4">
        <v>12</v>
      </c>
      <c r="B17" s="5">
        <f>3737+19</f>
        <v>3756</v>
      </c>
      <c r="C17" s="5">
        <v>5</v>
      </c>
      <c r="D17" s="5">
        <v>1019</v>
      </c>
      <c r="E17" s="5">
        <v>142</v>
      </c>
      <c r="F17" s="5">
        <v>233</v>
      </c>
      <c r="G17" s="5">
        <v>200</v>
      </c>
      <c r="H17" s="5">
        <f t="shared" si="1"/>
        <v>5355</v>
      </c>
      <c r="I17" s="5">
        <v>0</v>
      </c>
      <c r="J17" s="9"/>
      <c r="K17" s="4">
        <v>12</v>
      </c>
      <c r="L17" s="5">
        <v>0</v>
      </c>
      <c r="M17" s="5">
        <v>3</v>
      </c>
      <c r="N17" s="5">
        <v>0</v>
      </c>
      <c r="O17" s="5">
        <f t="shared" si="0"/>
        <v>3</v>
      </c>
      <c r="P17" s="29">
        <f t="shared" si="2"/>
        <v>6135</v>
      </c>
    </row>
    <row r="18" spans="1:26" ht="18" customHeight="1" thickTop="1" thickBot="1" x14ac:dyDescent="0.35">
      <c r="A18" s="4">
        <v>13</v>
      </c>
      <c r="B18" s="5">
        <f>4780+7</f>
        <v>4787</v>
      </c>
      <c r="C18" s="5">
        <v>6</v>
      </c>
      <c r="D18" s="5">
        <v>801</v>
      </c>
      <c r="E18" s="5">
        <v>94</v>
      </c>
      <c r="F18" s="5">
        <v>112</v>
      </c>
      <c r="G18" s="5">
        <v>155</v>
      </c>
      <c r="H18" s="5">
        <f t="shared" si="1"/>
        <v>5955</v>
      </c>
      <c r="I18" s="5">
        <v>0</v>
      </c>
      <c r="J18" s="9"/>
      <c r="K18" s="4">
        <v>13</v>
      </c>
      <c r="L18" s="5">
        <v>0</v>
      </c>
      <c r="M18" s="5">
        <v>2</v>
      </c>
      <c r="N18" s="5">
        <v>0</v>
      </c>
      <c r="O18" s="5">
        <f t="shared" si="0"/>
        <v>2</v>
      </c>
      <c r="P18" s="29">
        <f t="shared" si="2"/>
        <v>6135</v>
      </c>
    </row>
    <row r="19" spans="1:26" ht="18" customHeight="1" thickTop="1" thickBot="1" x14ac:dyDescent="0.35">
      <c r="A19" s="4">
        <v>14</v>
      </c>
      <c r="B19" s="5">
        <f>2357+23</f>
        <v>2380</v>
      </c>
      <c r="C19" s="5">
        <v>5</v>
      </c>
      <c r="D19" s="5">
        <v>982</v>
      </c>
      <c r="E19" s="5">
        <v>184</v>
      </c>
      <c r="F19" s="5">
        <v>218</v>
      </c>
      <c r="G19" s="5">
        <v>260</v>
      </c>
      <c r="H19" s="5">
        <f t="shared" si="1"/>
        <v>4029</v>
      </c>
      <c r="I19" s="5">
        <v>0</v>
      </c>
      <c r="J19" s="9"/>
      <c r="K19" s="4">
        <v>14</v>
      </c>
      <c r="L19" s="5">
        <v>1</v>
      </c>
      <c r="M19" s="5">
        <v>3</v>
      </c>
      <c r="N19" s="5">
        <v>1</v>
      </c>
      <c r="O19" s="5">
        <f t="shared" si="0"/>
        <v>5</v>
      </c>
      <c r="P19" s="29">
        <f t="shared" si="2"/>
        <v>6135</v>
      </c>
    </row>
    <row r="20" spans="1:26" ht="18" customHeight="1" thickTop="1" thickBot="1" x14ac:dyDescent="0.35">
      <c r="A20" s="4">
        <v>15</v>
      </c>
      <c r="B20" s="5">
        <f>2202+31</f>
        <v>2233</v>
      </c>
      <c r="C20" s="5">
        <v>8</v>
      </c>
      <c r="D20" s="5">
        <v>1225</v>
      </c>
      <c r="E20" s="5">
        <v>176</v>
      </c>
      <c r="F20" s="5">
        <v>204</v>
      </c>
      <c r="G20" s="5">
        <v>269</v>
      </c>
      <c r="H20" s="5">
        <f t="shared" si="1"/>
        <v>4115</v>
      </c>
      <c r="I20" s="5">
        <v>0</v>
      </c>
      <c r="J20" s="9"/>
      <c r="K20" s="4">
        <v>15</v>
      </c>
      <c r="L20" s="5">
        <v>0</v>
      </c>
      <c r="M20" s="5">
        <v>7</v>
      </c>
      <c r="N20" s="5">
        <v>0</v>
      </c>
      <c r="O20" s="5">
        <f t="shared" si="0"/>
        <v>7</v>
      </c>
      <c r="P20" s="29">
        <f t="shared" si="2"/>
        <v>6135</v>
      </c>
    </row>
    <row r="21" spans="1:26" ht="18" customHeight="1" thickTop="1" thickBot="1" x14ac:dyDescent="0.35">
      <c r="A21" s="4">
        <v>16</v>
      </c>
      <c r="B21" s="5">
        <f>2165+23</f>
        <v>2188</v>
      </c>
      <c r="C21" s="5">
        <v>3</v>
      </c>
      <c r="D21" s="5">
        <v>1173</v>
      </c>
      <c r="E21" s="5">
        <v>177</v>
      </c>
      <c r="F21" s="5">
        <v>240</v>
      </c>
      <c r="G21" s="5">
        <v>269</v>
      </c>
      <c r="H21" s="5">
        <f t="shared" si="1"/>
        <v>4050</v>
      </c>
      <c r="I21" s="5">
        <v>0</v>
      </c>
      <c r="J21" s="9"/>
      <c r="K21" s="4">
        <v>16</v>
      </c>
      <c r="L21" s="5">
        <v>2</v>
      </c>
      <c r="M21" s="5">
        <v>8</v>
      </c>
      <c r="N21" s="5">
        <v>0</v>
      </c>
      <c r="O21" s="5">
        <f t="shared" si="0"/>
        <v>10</v>
      </c>
      <c r="P21" s="29">
        <f>+P20</f>
        <v>6135</v>
      </c>
    </row>
    <row r="22" spans="1:26" ht="18" customHeight="1" thickTop="1" thickBot="1" x14ac:dyDescent="0.35">
      <c r="A22" s="4">
        <v>17</v>
      </c>
      <c r="B22" s="5">
        <f>2407+23</f>
        <v>2430</v>
      </c>
      <c r="C22" s="5">
        <v>4</v>
      </c>
      <c r="D22" s="5">
        <v>1275</v>
      </c>
      <c r="E22" s="5">
        <v>215</v>
      </c>
      <c r="F22" s="5">
        <v>245</v>
      </c>
      <c r="G22" s="5">
        <v>259</v>
      </c>
      <c r="H22" s="5">
        <f>SUM(B22:G22)</f>
        <v>4428</v>
      </c>
      <c r="I22" s="5">
        <v>0</v>
      </c>
      <c r="J22" s="9"/>
      <c r="K22" s="4">
        <v>17</v>
      </c>
      <c r="L22" s="5">
        <v>0</v>
      </c>
      <c r="M22" s="5">
        <v>7</v>
      </c>
      <c r="N22" s="5">
        <v>7</v>
      </c>
      <c r="O22" s="5">
        <f t="shared" si="0"/>
        <v>14</v>
      </c>
      <c r="P22" s="29">
        <f t="shared" si="2"/>
        <v>6135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8" customHeight="1" thickTop="1" thickBot="1" x14ac:dyDescent="0.35">
      <c r="A23" s="4">
        <v>18</v>
      </c>
      <c r="B23" s="5">
        <f>3397+24</f>
        <v>3421</v>
      </c>
      <c r="C23" s="5">
        <v>8</v>
      </c>
      <c r="D23" s="5">
        <f>1195+6</f>
        <v>1201</v>
      </c>
      <c r="E23" s="5">
        <v>169</v>
      </c>
      <c r="F23" s="5">
        <v>203</v>
      </c>
      <c r="G23" s="5">
        <v>260</v>
      </c>
      <c r="H23" s="5">
        <f t="shared" si="1"/>
        <v>5262</v>
      </c>
      <c r="I23" s="5">
        <v>0</v>
      </c>
      <c r="J23" s="9"/>
      <c r="K23" s="4">
        <v>18</v>
      </c>
      <c r="L23" s="5">
        <v>0</v>
      </c>
      <c r="M23" s="5">
        <v>2</v>
      </c>
      <c r="N23" s="5">
        <v>1</v>
      </c>
      <c r="O23" s="5">
        <f t="shared" si="0"/>
        <v>3</v>
      </c>
      <c r="P23" s="29">
        <f t="shared" si="2"/>
        <v>6135</v>
      </c>
    </row>
    <row r="24" spans="1:26" ht="18" customHeight="1" thickTop="1" thickBot="1" x14ac:dyDescent="0.35">
      <c r="A24" s="4">
        <v>19</v>
      </c>
      <c r="B24" s="5">
        <f>3944+9</f>
        <v>3953</v>
      </c>
      <c r="C24" s="5">
        <v>2</v>
      </c>
      <c r="D24" s="5">
        <v>1308</v>
      </c>
      <c r="E24" s="5">
        <v>192</v>
      </c>
      <c r="F24" s="5">
        <v>332</v>
      </c>
      <c r="G24" s="5">
        <v>351</v>
      </c>
      <c r="H24" s="5">
        <f t="shared" si="1"/>
        <v>6138</v>
      </c>
      <c r="I24" s="5">
        <v>0</v>
      </c>
      <c r="J24" s="9"/>
      <c r="K24" s="4">
        <v>19</v>
      </c>
      <c r="L24" s="5">
        <v>0</v>
      </c>
      <c r="M24" s="5">
        <v>8</v>
      </c>
      <c r="N24" s="5">
        <v>2</v>
      </c>
      <c r="O24" s="5">
        <f t="shared" si="0"/>
        <v>10</v>
      </c>
      <c r="P24" s="29">
        <f t="shared" si="2"/>
        <v>6135</v>
      </c>
    </row>
    <row r="25" spans="1:26" ht="18" customHeight="1" thickTop="1" thickBot="1" x14ac:dyDescent="0.35">
      <c r="A25" s="4">
        <v>20</v>
      </c>
      <c r="B25" s="5">
        <f>5236+9</f>
        <v>5245</v>
      </c>
      <c r="C25" s="5">
        <v>4</v>
      </c>
      <c r="D25" s="5">
        <v>831</v>
      </c>
      <c r="E25" s="5">
        <v>74</v>
      </c>
      <c r="F25" s="5">
        <v>109</v>
      </c>
      <c r="G25" s="5">
        <v>175</v>
      </c>
      <c r="H25" s="5">
        <f t="shared" si="1"/>
        <v>6438</v>
      </c>
      <c r="I25" s="5">
        <v>0</v>
      </c>
      <c r="J25" s="9"/>
      <c r="K25" s="4">
        <v>20</v>
      </c>
      <c r="L25" s="5">
        <v>0</v>
      </c>
      <c r="M25" s="5">
        <v>0</v>
      </c>
      <c r="N25" s="5">
        <v>0</v>
      </c>
      <c r="O25" s="5">
        <f t="shared" si="0"/>
        <v>0</v>
      </c>
      <c r="P25" s="29">
        <f t="shared" si="2"/>
        <v>6135</v>
      </c>
    </row>
    <row r="26" spans="1:26" ht="18" customHeight="1" thickTop="1" thickBot="1" x14ac:dyDescent="0.35">
      <c r="A26" s="4">
        <v>21</v>
      </c>
      <c r="B26" s="5">
        <f>2458+26</f>
        <v>2484</v>
      </c>
      <c r="C26" s="5">
        <v>6</v>
      </c>
      <c r="D26" s="5">
        <v>1081</v>
      </c>
      <c r="E26" s="5">
        <v>147</v>
      </c>
      <c r="F26" s="5">
        <v>221</v>
      </c>
      <c r="G26" s="5">
        <v>287</v>
      </c>
      <c r="H26" s="5">
        <f t="shared" si="1"/>
        <v>4226</v>
      </c>
      <c r="I26" s="5">
        <v>0</v>
      </c>
      <c r="J26" s="9"/>
      <c r="K26" s="4">
        <v>21</v>
      </c>
      <c r="L26" s="5">
        <v>0</v>
      </c>
      <c r="M26" s="5">
        <v>5</v>
      </c>
      <c r="N26" s="5">
        <v>0</v>
      </c>
      <c r="O26" s="5">
        <f t="shared" si="0"/>
        <v>5</v>
      </c>
      <c r="P26" s="29">
        <f t="shared" si="2"/>
        <v>6135</v>
      </c>
    </row>
    <row r="27" spans="1:26" ht="18" customHeight="1" thickTop="1" thickBot="1" x14ac:dyDescent="0.35">
      <c r="A27" s="4">
        <v>22</v>
      </c>
      <c r="B27" s="5">
        <f>2119+16</f>
        <v>2135</v>
      </c>
      <c r="C27" s="5">
        <v>6</v>
      </c>
      <c r="D27" s="5">
        <v>1226</v>
      </c>
      <c r="E27" s="5">
        <v>174</v>
      </c>
      <c r="F27" s="5">
        <v>206</v>
      </c>
      <c r="G27" s="5">
        <v>256</v>
      </c>
      <c r="H27" s="5">
        <f t="shared" si="1"/>
        <v>4003</v>
      </c>
      <c r="I27" s="5">
        <v>0</v>
      </c>
      <c r="J27" s="9"/>
      <c r="K27" s="4">
        <v>22</v>
      </c>
      <c r="L27" s="5">
        <v>2</v>
      </c>
      <c r="M27" s="5">
        <v>8</v>
      </c>
      <c r="N27" s="5">
        <v>2</v>
      </c>
      <c r="O27" s="5">
        <f t="shared" si="0"/>
        <v>12</v>
      </c>
      <c r="P27" s="29">
        <f t="shared" si="2"/>
        <v>6135</v>
      </c>
    </row>
    <row r="28" spans="1:26" ht="18" customHeight="1" thickTop="1" thickBot="1" x14ac:dyDescent="0.35">
      <c r="A28" s="4">
        <v>23</v>
      </c>
      <c r="B28" s="5">
        <f>2169+24</f>
        <v>2193</v>
      </c>
      <c r="C28" s="5">
        <v>8</v>
      </c>
      <c r="D28" s="5">
        <v>1203</v>
      </c>
      <c r="E28" s="5">
        <v>177</v>
      </c>
      <c r="F28" s="5">
        <v>231</v>
      </c>
      <c r="G28" s="5">
        <v>258</v>
      </c>
      <c r="H28" s="5">
        <f t="shared" si="1"/>
        <v>4070</v>
      </c>
      <c r="I28" s="5">
        <v>0</v>
      </c>
      <c r="J28" s="9"/>
      <c r="K28" s="4">
        <v>23</v>
      </c>
      <c r="L28" s="5">
        <v>0</v>
      </c>
      <c r="M28" s="5">
        <v>6</v>
      </c>
      <c r="N28" s="5">
        <v>1</v>
      </c>
      <c r="O28" s="5">
        <f t="shared" si="0"/>
        <v>7</v>
      </c>
      <c r="P28" s="29">
        <f t="shared" si="2"/>
        <v>6135</v>
      </c>
    </row>
    <row r="29" spans="1:26" ht="18" customHeight="1" thickTop="1" thickBot="1" x14ac:dyDescent="0.35">
      <c r="A29" s="4">
        <v>24</v>
      </c>
      <c r="B29" s="5">
        <f>2289+32</f>
        <v>2321</v>
      </c>
      <c r="C29" s="5">
        <v>10</v>
      </c>
      <c r="D29" s="5">
        <v>1237</v>
      </c>
      <c r="E29" s="5">
        <v>179</v>
      </c>
      <c r="F29" s="5">
        <v>224</v>
      </c>
      <c r="G29" s="5">
        <v>292</v>
      </c>
      <c r="H29" s="5">
        <f t="shared" si="1"/>
        <v>4263</v>
      </c>
      <c r="I29" s="5">
        <v>0</v>
      </c>
      <c r="J29" s="9"/>
      <c r="K29" s="4">
        <v>24</v>
      </c>
      <c r="L29" s="5">
        <v>0</v>
      </c>
      <c r="M29" s="5">
        <v>9</v>
      </c>
      <c r="N29" s="5">
        <v>5</v>
      </c>
      <c r="O29" s="5">
        <f t="shared" si="0"/>
        <v>14</v>
      </c>
      <c r="P29" s="29">
        <f t="shared" si="2"/>
        <v>6135</v>
      </c>
    </row>
    <row r="30" spans="1:26" ht="18" customHeight="1" thickTop="1" thickBot="1" x14ac:dyDescent="0.35">
      <c r="A30" s="4">
        <v>25</v>
      </c>
      <c r="B30" s="5">
        <f>3607+21</f>
        <v>3628</v>
      </c>
      <c r="C30" s="5">
        <v>8</v>
      </c>
      <c r="D30" s="5">
        <v>1188</v>
      </c>
      <c r="E30" s="5">
        <v>177</v>
      </c>
      <c r="F30" s="5">
        <v>231</v>
      </c>
      <c r="G30" s="5">
        <v>244</v>
      </c>
      <c r="H30" s="5">
        <f t="shared" si="1"/>
        <v>5476</v>
      </c>
      <c r="I30" s="5">
        <v>0</v>
      </c>
      <c r="J30" s="9"/>
      <c r="K30" s="4">
        <v>25</v>
      </c>
      <c r="L30" s="5">
        <v>0</v>
      </c>
      <c r="M30" s="5">
        <v>4</v>
      </c>
      <c r="N30" s="5">
        <v>8</v>
      </c>
      <c r="O30" s="5">
        <f t="shared" si="0"/>
        <v>12</v>
      </c>
      <c r="P30" s="29">
        <f t="shared" si="2"/>
        <v>6135</v>
      </c>
    </row>
    <row r="31" spans="1:26" ht="18" customHeight="1" thickTop="1" thickBot="1" x14ac:dyDescent="0.35">
      <c r="A31" s="4">
        <v>26</v>
      </c>
      <c r="B31" s="5">
        <f>3710+18</f>
        <v>3728</v>
      </c>
      <c r="C31" s="5">
        <v>8</v>
      </c>
      <c r="D31" s="5">
        <v>1064</v>
      </c>
      <c r="E31" s="5">
        <v>154</v>
      </c>
      <c r="F31" s="5">
        <v>189</v>
      </c>
      <c r="G31" s="5">
        <v>229</v>
      </c>
      <c r="H31" s="5">
        <f t="shared" si="1"/>
        <v>5372</v>
      </c>
      <c r="I31" s="5">
        <v>0</v>
      </c>
      <c r="J31" s="9"/>
      <c r="K31" s="4">
        <v>26</v>
      </c>
      <c r="L31" s="5">
        <v>0</v>
      </c>
      <c r="M31" s="5">
        <v>12</v>
      </c>
      <c r="N31" s="5">
        <v>0</v>
      </c>
      <c r="O31" s="5">
        <f t="shared" si="0"/>
        <v>12</v>
      </c>
      <c r="P31" s="29">
        <f t="shared" si="2"/>
        <v>6135</v>
      </c>
    </row>
    <row r="32" spans="1:26" ht="18" customHeight="1" thickTop="1" thickBot="1" x14ac:dyDescent="0.35">
      <c r="A32" s="4">
        <v>27</v>
      </c>
      <c r="B32" s="5">
        <f>5189+8</f>
        <v>5197</v>
      </c>
      <c r="C32" s="5">
        <v>0</v>
      </c>
      <c r="D32" s="5">
        <v>829</v>
      </c>
      <c r="E32" s="5">
        <v>72</v>
      </c>
      <c r="F32" s="5">
        <v>107</v>
      </c>
      <c r="G32" s="5">
        <v>161</v>
      </c>
      <c r="H32" s="5">
        <f t="shared" si="1"/>
        <v>6366</v>
      </c>
      <c r="I32" s="5">
        <v>0</v>
      </c>
      <c r="J32" s="9"/>
      <c r="K32" s="4">
        <v>27</v>
      </c>
      <c r="L32" s="5">
        <v>1</v>
      </c>
      <c r="M32" s="5">
        <v>5</v>
      </c>
      <c r="N32" s="5">
        <v>1</v>
      </c>
      <c r="O32" s="5">
        <f t="shared" si="0"/>
        <v>7</v>
      </c>
      <c r="P32" s="29">
        <f t="shared" si="2"/>
        <v>6135</v>
      </c>
    </row>
    <row r="33" spans="1:16" ht="18" customHeight="1" thickTop="1" thickBot="1" x14ac:dyDescent="0.35">
      <c r="A33" s="4">
        <v>28</v>
      </c>
      <c r="B33" s="5">
        <f>2198+17</f>
        <v>2215</v>
      </c>
      <c r="C33" s="5">
        <v>8</v>
      </c>
      <c r="D33" s="5">
        <v>1023</v>
      </c>
      <c r="E33" s="5">
        <v>168</v>
      </c>
      <c r="F33" s="5">
        <v>195</v>
      </c>
      <c r="G33" s="5">
        <v>273</v>
      </c>
      <c r="H33" s="5">
        <f t="shared" si="1"/>
        <v>3882</v>
      </c>
      <c r="I33" s="5">
        <v>0</v>
      </c>
      <c r="J33" s="9"/>
      <c r="K33" s="4">
        <v>28</v>
      </c>
      <c r="L33" s="5">
        <v>0</v>
      </c>
      <c r="M33" s="5">
        <v>10</v>
      </c>
      <c r="N33" s="5">
        <v>0</v>
      </c>
      <c r="O33" s="5">
        <f t="shared" si="0"/>
        <v>10</v>
      </c>
      <c r="P33" s="29">
        <f t="shared" si="2"/>
        <v>6135</v>
      </c>
    </row>
    <row r="34" spans="1:16" ht="18" customHeight="1" thickTop="1" thickBot="1" x14ac:dyDescent="0.35">
      <c r="A34" s="4">
        <v>29</v>
      </c>
      <c r="B34" s="5">
        <f>2197+22</f>
        <v>2219</v>
      </c>
      <c r="C34" s="5">
        <v>8</v>
      </c>
      <c r="D34" s="5">
        <v>1231</v>
      </c>
      <c r="E34" s="5">
        <v>248</v>
      </c>
      <c r="F34" s="5">
        <v>189</v>
      </c>
      <c r="G34" s="5">
        <v>238</v>
      </c>
      <c r="H34" s="5">
        <f t="shared" si="1"/>
        <v>4133</v>
      </c>
      <c r="I34" s="5">
        <v>0</v>
      </c>
      <c r="J34" s="9"/>
      <c r="K34" s="4">
        <v>29</v>
      </c>
      <c r="L34" s="5">
        <v>0</v>
      </c>
      <c r="M34" s="5">
        <v>8</v>
      </c>
      <c r="N34" s="5">
        <v>3</v>
      </c>
      <c r="O34" s="5">
        <f>SUM(L34:N34)</f>
        <v>11</v>
      </c>
      <c r="P34" s="29">
        <f t="shared" si="2"/>
        <v>6135</v>
      </c>
    </row>
    <row r="35" spans="1:16" ht="18" customHeight="1" thickTop="1" thickBot="1" x14ac:dyDescent="0.35">
      <c r="A35" s="4">
        <v>30</v>
      </c>
      <c r="B35" s="5">
        <f>2133+13</f>
        <v>2146</v>
      </c>
      <c r="C35" s="5">
        <v>6</v>
      </c>
      <c r="D35" s="5">
        <v>1221</v>
      </c>
      <c r="E35" s="5">
        <v>130</v>
      </c>
      <c r="F35" s="5">
        <v>197</v>
      </c>
      <c r="G35" s="5">
        <v>290</v>
      </c>
      <c r="H35" s="5">
        <f t="shared" si="1"/>
        <v>3990</v>
      </c>
      <c r="I35" s="5">
        <v>0</v>
      </c>
      <c r="J35" s="9"/>
      <c r="K35" s="4">
        <v>30</v>
      </c>
      <c r="L35" s="5">
        <v>0</v>
      </c>
      <c r="M35" s="5">
        <v>4</v>
      </c>
      <c r="N35" s="5">
        <v>4</v>
      </c>
      <c r="O35" s="5">
        <f>SUM(L35:N35)</f>
        <v>8</v>
      </c>
      <c r="P35" s="29">
        <f t="shared" si="2"/>
        <v>6135</v>
      </c>
    </row>
    <row r="36" spans="1:16" ht="18" customHeight="1" thickTop="1" thickBot="1" x14ac:dyDescent="0.35">
      <c r="A36" s="4">
        <v>31</v>
      </c>
      <c r="B36" s="5">
        <f>2347+17</f>
        <v>2364</v>
      </c>
      <c r="C36" s="5">
        <v>14</v>
      </c>
      <c r="D36" s="5">
        <v>1239</v>
      </c>
      <c r="E36" s="5">
        <v>189</v>
      </c>
      <c r="F36" s="5">
        <v>166</v>
      </c>
      <c r="G36" s="5">
        <v>282</v>
      </c>
      <c r="H36" s="5">
        <f t="shared" si="1"/>
        <v>4254</v>
      </c>
      <c r="I36" s="5">
        <v>0</v>
      </c>
      <c r="J36" s="9"/>
      <c r="K36" s="4">
        <v>31</v>
      </c>
      <c r="L36" s="5">
        <v>0</v>
      </c>
      <c r="M36" s="5">
        <v>6</v>
      </c>
      <c r="N36" s="5">
        <v>2</v>
      </c>
      <c r="O36" s="5">
        <f>SUM(L36:N36)</f>
        <v>8</v>
      </c>
      <c r="P36" s="29">
        <f t="shared" si="2"/>
        <v>6135</v>
      </c>
    </row>
    <row r="37" spans="1:16" ht="18" customHeight="1" thickTop="1" x14ac:dyDescent="0.3">
      <c r="A37" s="3" t="s">
        <v>19</v>
      </c>
      <c r="B37" s="14">
        <f>SUM(B6:B36)</f>
        <v>98839</v>
      </c>
      <c r="C37" s="14">
        <f t="shared" ref="C37:O37" si="3">SUM(C6:C36)</f>
        <v>211</v>
      </c>
      <c r="D37" s="14">
        <f t="shared" si="3"/>
        <v>34957</v>
      </c>
      <c r="E37" s="14">
        <f t="shared" si="3"/>
        <v>4889</v>
      </c>
      <c r="F37" s="14">
        <f t="shared" si="3"/>
        <v>6219</v>
      </c>
      <c r="G37" s="14">
        <f t="shared" si="3"/>
        <v>7581</v>
      </c>
      <c r="H37" s="14">
        <f t="shared" si="3"/>
        <v>152696</v>
      </c>
      <c r="I37" s="14">
        <f t="shared" si="3"/>
        <v>0</v>
      </c>
      <c r="J37" s="14"/>
      <c r="K37" s="14"/>
      <c r="L37" s="14">
        <f t="shared" si="3"/>
        <v>12</v>
      </c>
      <c r="M37" s="14">
        <f t="shared" si="3"/>
        <v>168</v>
      </c>
      <c r="N37" s="14">
        <f t="shared" si="3"/>
        <v>54</v>
      </c>
      <c r="O37" s="14">
        <f t="shared" si="3"/>
        <v>234</v>
      </c>
    </row>
    <row r="38" spans="1:16" ht="18" customHeight="1" x14ac:dyDescent="0.3">
      <c r="A38" s="3" t="s">
        <v>19</v>
      </c>
      <c r="B38" s="47">
        <f>+B37+C37</f>
        <v>99050</v>
      </c>
      <c r="C38" s="47"/>
      <c r="D38" s="14">
        <f>+D37</f>
        <v>34957</v>
      </c>
      <c r="E38" s="14">
        <f>+E37</f>
        <v>4889</v>
      </c>
      <c r="F38" s="14">
        <f>+F37</f>
        <v>6219</v>
      </c>
      <c r="G38" s="14">
        <f>+G37</f>
        <v>7581</v>
      </c>
      <c r="H38" s="14">
        <f>+H37</f>
        <v>152696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6" ht="18" customHeight="1" x14ac:dyDescent="0.3">
      <c r="A39" s="17" t="s">
        <v>23</v>
      </c>
      <c r="B39" s="34"/>
      <c r="C39" s="34"/>
      <c r="D39" s="34"/>
      <c r="E39" s="34"/>
      <c r="F39" s="34"/>
      <c r="G39" s="34"/>
      <c r="H39" s="34"/>
      <c r="L39" s="35"/>
    </row>
    <row r="40" spans="1:16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44"/>
      <c r="L40" s="38"/>
    </row>
    <row r="41" spans="1:16" x14ac:dyDescent="0.3">
      <c r="A41" s="30"/>
      <c r="H41" s="30"/>
      <c r="K41" s="44"/>
      <c r="L41" s="38"/>
    </row>
    <row r="42" spans="1:16" x14ac:dyDescent="0.3">
      <c r="K42" s="44"/>
      <c r="L42" s="38"/>
    </row>
    <row r="43" spans="1:16" x14ac:dyDescent="0.3">
      <c r="I43" s="30"/>
      <c r="J43" s="30"/>
    </row>
    <row r="45" spans="1:16" x14ac:dyDescent="0.3">
      <c r="A45" s="42"/>
    </row>
    <row r="46" spans="1:16" x14ac:dyDescent="0.3">
      <c r="A46" s="42"/>
      <c r="B46" s="30"/>
      <c r="C46" s="30"/>
      <c r="D46" s="30"/>
      <c r="E46" s="30"/>
      <c r="F46" s="30"/>
      <c r="G46" s="30"/>
      <c r="H46" s="30"/>
      <c r="I46" s="30"/>
      <c r="J46" s="30"/>
      <c r="K46" s="45"/>
      <c r="L46" s="30"/>
      <c r="M46" s="30"/>
      <c r="N46" s="30"/>
      <c r="O46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43D5-2A48-4955-97ED-C0E6E079AE8C}">
  <dimension ref="A1:Y45"/>
  <sheetViews>
    <sheetView topLeftCell="A21" workbookViewId="0">
      <selection activeCell="R5" sqref="R5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8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s="27" customFormat="1" ht="15.6" x14ac:dyDescent="0.3">
      <c r="A3" s="49" t="s">
        <v>33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3272+19</f>
        <v>3291</v>
      </c>
      <c r="C6" s="5">
        <v>4</v>
      </c>
      <c r="D6" s="5">
        <v>1184</v>
      </c>
      <c r="E6" s="5">
        <v>178</v>
      </c>
      <c r="F6" s="5">
        <v>202</v>
      </c>
      <c r="G6" s="5">
        <v>220</v>
      </c>
      <c r="H6" s="5">
        <f>SUM(B6:G6)</f>
        <v>5079</v>
      </c>
      <c r="I6" s="5">
        <v>0</v>
      </c>
      <c r="J6" s="6"/>
      <c r="K6" s="4">
        <v>1</v>
      </c>
      <c r="L6" s="5">
        <v>0</v>
      </c>
      <c r="M6" s="5">
        <v>9</v>
      </c>
      <c r="N6" s="5">
        <v>6</v>
      </c>
      <c r="O6" s="5">
        <f>SUM(L6:N6)</f>
        <v>15</v>
      </c>
    </row>
    <row r="7" spans="1:18" ht="18" customHeight="1" x14ac:dyDescent="0.3">
      <c r="A7" s="4">
        <v>2</v>
      </c>
      <c r="B7" s="5">
        <f>3578+11</f>
        <v>3589</v>
      </c>
      <c r="C7" s="5">
        <v>0</v>
      </c>
      <c r="D7" s="5">
        <v>973</v>
      </c>
      <c r="E7" s="5">
        <v>128</v>
      </c>
      <c r="F7" s="5">
        <v>182</v>
      </c>
      <c r="G7" s="5">
        <v>215</v>
      </c>
      <c r="H7" s="5">
        <f>SUM(B7:G7)</f>
        <v>5087</v>
      </c>
      <c r="I7" s="5">
        <v>0</v>
      </c>
      <c r="J7" s="6"/>
      <c r="K7" s="4">
        <v>2</v>
      </c>
      <c r="L7" s="5">
        <v>1</v>
      </c>
      <c r="M7" s="5">
        <v>0</v>
      </c>
      <c r="N7" s="5">
        <v>0</v>
      </c>
      <c r="O7" s="5">
        <f t="shared" ref="O7:O33" si="0">SUM(L7:N7)</f>
        <v>1</v>
      </c>
    </row>
    <row r="8" spans="1:18" ht="18" customHeight="1" x14ac:dyDescent="0.3">
      <c r="A8" s="4">
        <v>3</v>
      </c>
      <c r="B8" s="5">
        <f>4903+15</f>
        <v>4918</v>
      </c>
      <c r="C8" s="5">
        <v>6</v>
      </c>
      <c r="D8" s="5">
        <v>821</v>
      </c>
      <c r="E8" s="5">
        <v>75</v>
      </c>
      <c r="F8" s="5">
        <v>87</v>
      </c>
      <c r="G8" s="5">
        <v>144</v>
      </c>
      <c r="H8" s="5">
        <f t="shared" ref="H8:H36" si="1">SUM(B8:G8)</f>
        <v>6051</v>
      </c>
      <c r="I8" s="5">
        <v>0</v>
      </c>
      <c r="J8" s="6"/>
      <c r="K8" s="4">
        <v>3</v>
      </c>
      <c r="L8" s="5">
        <v>0</v>
      </c>
      <c r="M8" s="5">
        <v>0</v>
      </c>
      <c r="N8" s="5">
        <v>1</v>
      </c>
      <c r="O8" s="5">
        <f t="shared" si="0"/>
        <v>1</v>
      </c>
      <c r="R8" s="30"/>
    </row>
    <row r="9" spans="1:18" ht="18" customHeight="1" x14ac:dyDescent="0.3">
      <c r="A9" s="4">
        <v>4</v>
      </c>
      <c r="B9" s="5">
        <f>2199+15</f>
        <v>2214</v>
      </c>
      <c r="C9" s="5">
        <v>6</v>
      </c>
      <c r="D9" s="5">
        <v>1079</v>
      </c>
      <c r="E9" s="5">
        <f>147+39</f>
        <v>186</v>
      </c>
      <c r="F9" s="5">
        <v>203</v>
      </c>
      <c r="G9" s="5">
        <v>247</v>
      </c>
      <c r="H9" s="5">
        <f t="shared" si="1"/>
        <v>3935</v>
      </c>
      <c r="I9" s="5">
        <v>0</v>
      </c>
      <c r="J9" s="6"/>
      <c r="K9" s="4">
        <v>4</v>
      </c>
      <c r="L9" s="5">
        <v>0</v>
      </c>
      <c r="M9" s="5">
        <v>2</v>
      </c>
      <c r="N9" s="5">
        <v>0</v>
      </c>
      <c r="O9" s="5">
        <f t="shared" si="0"/>
        <v>2</v>
      </c>
    </row>
    <row r="10" spans="1:18" ht="18" customHeight="1" x14ac:dyDescent="0.3">
      <c r="A10" s="4">
        <v>5</v>
      </c>
      <c r="B10" s="5">
        <f>2281+27</f>
        <v>2308</v>
      </c>
      <c r="C10" s="5">
        <v>2</v>
      </c>
      <c r="D10" s="5">
        <v>1223</v>
      </c>
      <c r="E10" s="5">
        <v>136</v>
      </c>
      <c r="F10" s="5">
        <v>204</v>
      </c>
      <c r="G10" s="5">
        <v>224</v>
      </c>
      <c r="H10" s="5">
        <f t="shared" si="1"/>
        <v>4097</v>
      </c>
      <c r="I10" s="5">
        <v>0</v>
      </c>
      <c r="J10" s="6"/>
      <c r="K10" s="4">
        <v>5</v>
      </c>
      <c r="L10" s="5">
        <v>0</v>
      </c>
      <c r="M10" s="5">
        <v>2</v>
      </c>
      <c r="N10" s="5">
        <v>1</v>
      </c>
      <c r="O10" s="5">
        <f t="shared" si="0"/>
        <v>3</v>
      </c>
    </row>
    <row r="11" spans="1:18" ht="18" customHeight="1" x14ac:dyDescent="0.3">
      <c r="A11" s="4">
        <v>6</v>
      </c>
      <c r="B11" s="5">
        <f>4094+24</f>
        <v>4118</v>
      </c>
      <c r="C11" s="5">
        <v>4</v>
      </c>
      <c r="D11" s="5">
        <v>1170</v>
      </c>
      <c r="E11" s="5">
        <v>151</v>
      </c>
      <c r="F11" s="5">
        <v>204</v>
      </c>
      <c r="G11" s="5">
        <v>247</v>
      </c>
      <c r="H11" s="5">
        <f t="shared" si="1"/>
        <v>5894</v>
      </c>
      <c r="I11" s="5">
        <v>0</v>
      </c>
      <c r="J11" s="6"/>
      <c r="K11" s="4">
        <v>6</v>
      </c>
      <c r="L11" s="5">
        <v>1</v>
      </c>
      <c r="M11" s="5">
        <v>8</v>
      </c>
      <c r="N11" s="5">
        <v>1</v>
      </c>
      <c r="O11" s="5">
        <f t="shared" si="0"/>
        <v>10</v>
      </c>
    </row>
    <row r="12" spans="1:18" ht="18" customHeight="1" x14ac:dyDescent="0.3">
      <c r="A12" s="4">
        <v>7</v>
      </c>
      <c r="B12" s="5">
        <f>4601+10</f>
        <v>4611</v>
      </c>
      <c r="C12" s="5">
        <v>0</v>
      </c>
      <c r="D12" s="5">
        <v>1034</v>
      </c>
      <c r="E12" s="5">
        <v>114</v>
      </c>
      <c r="F12" s="5">
        <v>150</v>
      </c>
      <c r="G12" s="5">
        <v>195</v>
      </c>
      <c r="H12" s="5">
        <f t="shared" si="1"/>
        <v>6104</v>
      </c>
      <c r="I12" s="5">
        <v>0</v>
      </c>
      <c r="J12" s="9"/>
      <c r="K12" s="4">
        <v>7</v>
      </c>
      <c r="L12" s="5">
        <v>0</v>
      </c>
      <c r="M12" s="5">
        <v>3</v>
      </c>
      <c r="N12" s="5">
        <v>2</v>
      </c>
      <c r="O12" s="5">
        <f t="shared" si="0"/>
        <v>5</v>
      </c>
    </row>
    <row r="13" spans="1:18" ht="18" customHeight="1" x14ac:dyDescent="0.3">
      <c r="A13" s="4">
        <v>8</v>
      </c>
      <c r="B13" s="5">
        <f>3269+23</f>
        <v>3292</v>
      </c>
      <c r="C13" s="5">
        <v>8</v>
      </c>
      <c r="D13" s="5">
        <v>1193</v>
      </c>
      <c r="E13" s="5">
        <v>123</v>
      </c>
      <c r="F13" s="5">
        <v>180</v>
      </c>
      <c r="G13" s="5">
        <v>204</v>
      </c>
      <c r="H13" s="5">
        <f t="shared" si="1"/>
        <v>5000</v>
      </c>
      <c r="I13" s="5">
        <v>0</v>
      </c>
      <c r="J13" s="9"/>
      <c r="K13" s="4">
        <v>8</v>
      </c>
      <c r="L13" s="5">
        <v>0</v>
      </c>
      <c r="M13" s="5">
        <v>0</v>
      </c>
      <c r="N13" s="5">
        <v>3</v>
      </c>
      <c r="O13" s="5">
        <f t="shared" si="0"/>
        <v>3</v>
      </c>
    </row>
    <row r="14" spans="1:18" s="32" customFormat="1" ht="18" customHeight="1" x14ac:dyDescent="0.3">
      <c r="A14" s="4">
        <v>9</v>
      </c>
      <c r="B14" s="5">
        <f>3667+17</f>
        <v>3684</v>
      </c>
      <c r="C14" s="5">
        <v>6</v>
      </c>
      <c r="D14" s="5">
        <v>973</v>
      </c>
      <c r="E14" s="5">
        <v>119</v>
      </c>
      <c r="F14" s="5">
        <v>208</v>
      </c>
      <c r="G14" s="5">
        <v>183</v>
      </c>
      <c r="H14" s="5">
        <f t="shared" si="1"/>
        <v>5173</v>
      </c>
      <c r="I14" s="5">
        <v>0</v>
      </c>
      <c r="J14" s="9"/>
      <c r="K14" s="4">
        <v>9</v>
      </c>
      <c r="L14" s="5">
        <v>0</v>
      </c>
      <c r="M14" s="5">
        <v>10</v>
      </c>
      <c r="N14" s="5">
        <v>0</v>
      </c>
      <c r="O14" s="5">
        <f t="shared" si="0"/>
        <v>10</v>
      </c>
    </row>
    <row r="15" spans="1:18" ht="18" customHeight="1" x14ac:dyDescent="0.3">
      <c r="A15" s="4">
        <v>10</v>
      </c>
      <c r="B15" s="5">
        <f>6991+11</f>
        <v>7002</v>
      </c>
      <c r="C15" s="5">
        <v>10</v>
      </c>
      <c r="D15" s="5">
        <v>852</v>
      </c>
      <c r="E15" s="5">
        <v>87</v>
      </c>
      <c r="F15" s="5">
        <v>109</v>
      </c>
      <c r="G15" s="5">
        <v>167</v>
      </c>
      <c r="H15" s="5">
        <f t="shared" si="1"/>
        <v>8227</v>
      </c>
      <c r="I15" s="5">
        <v>0</v>
      </c>
      <c r="J15" s="9"/>
      <c r="K15" s="4">
        <v>10</v>
      </c>
      <c r="L15" s="5">
        <v>0</v>
      </c>
      <c r="M15" s="5">
        <v>2</v>
      </c>
      <c r="N15" s="5">
        <v>0</v>
      </c>
      <c r="O15" s="5">
        <f t="shared" si="0"/>
        <v>2</v>
      </c>
    </row>
    <row r="16" spans="1:18" ht="18" customHeight="1" x14ac:dyDescent="0.3">
      <c r="A16" s="4">
        <v>11</v>
      </c>
      <c r="B16" s="5">
        <f>2643+22</f>
        <v>2665</v>
      </c>
      <c r="C16" s="5">
        <v>6</v>
      </c>
      <c r="D16" s="5">
        <v>1152</v>
      </c>
      <c r="E16" s="5">
        <v>148</v>
      </c>
      <c r="F16" s="5">
        <v>210</v>
      </c>
      <c r="G16" s="5">
        <v>227</v>
      </c>
      <c r="H16" s="5">
        <f t="shared" si="1"/>
        <v>4408</v>
      </c>
      <c r="I16" s="5">
        <v>0</v>
      </c>
      <c r="J16" s="9"/>
      <c r="K16" s="4">
        <v>11</v>
      </c>
      <c r="L16" s="5">
        <v>1</v>
      </c>
      <c r="M16" s="5">
        <v>10</v>
      </c>
      <c r="N16" s="5">
        <v>2</v>
      </c>
      <c r="O16" s="5">
        <f t="shared" si="0"/>
        <v>13</v>
      </c>
    </row>
    <row r="17" spans="1:25" ht="18" customHeight="1" x14ac:dyDescent="0.3">
      <c r="A17" s="4">
        <v>12</v>
      </c>
      <c r="B17" s="5">
        <f>2019+28</f>
        <v>2047</v>
      </c>
      <c r="C17" s="5">
        <v>9</v>
      </c>
      <c r="D17" s="5">
        <v>1223</v>
      </c>
      <c r="E17" s="5">
        <v>202</v>
      </c>
      <c r="F17" s="5">
        <v>194</v>
      </c>
      <c r="G17" s="5">
        <v>267</v>
      </c>
      <c r="H17" s="5">
        <f t="shared" si="1"/>
        <v>3942</v>
      </c>
      <c r="I17" s="5">
        <v>0</v>
      </c>
      <c r="J17" s="9"/>
      <c r="K17" s="4">
        <v>12</v>
      </c>
      <c r="L17" s="5">
        <v>0</v>
      </c>
      <c r="M17" s="5">
        <v>3</v>
      </c>
      <c r="N17" s="5">
        <v>2</v>
      </c>
      <c r="O17" s="5">
        <f t="shared" si="0"/>
        <v>5</v>
      </c>
    </row>
    <row r="18" spans="1:25" ht="18" customHeight="1" x14ac:dyDescent="0.3">
      <c r="A18" s="4">
        <v>13</v>
      </c>
      <c r="B18" s="5">
        <f>2145+17</f>
        <v>2162</v>
      </c>
      <c r="C18" s="5">
        <v>8</v>
      </c>
      <c r="D18" s="5">
        <v>1282</v>
      </c>
      <c r="E18" s="5">
        <v>152</v>
      </c>
      <c r="F18" s="5">
        <v>222</v>
      </c>
      <c r="G18" s="5">
        <v>305</v>
      </c>
      <c r="H18" s="5">
        <f t="shared" si="1"/>
        <v>4131</v>
      </c>
      <c r="I18" s="5">
        <v>0</v>
      </c>
      <c r="J18" s="9"/>
      <c r="K18" s="4">
        <v>13</v>
      </c>
      <c r="L18" s="5">
        <v>0</v>
      </c>
      <c r="M18" s="5">
        <v>3</v>
      </c>
      <c r="N18" s="5">
        <v>3</v>
      </c>
      <c r="O18" s="5">
        <f t="shared" si="0"/>
        <v>6</v>
      </c>
    </row>
    <row r="19" spans="1:25" ht="18" customHeight="1" x14ac:dyDescent="0.3">
      <c r="A19" s="4">
        <v>14</v>
      </c>
      <c r="B19" s="5">
        <f>2559+30</f>
        <v>2589</v>
      </c>
      <c r="C19" s="5">
        <v>6</v>
      </c>
      <c r="D19" s="5">
        <v>1285</v>
      </c>
      <c r="E19" s="5">
        <v>154</v>
      </c>
      <c r="F19" s="5">
        <v>244</v>
      </c>
      <c r="G19" s="5">
        <v>262</v>
      </c>
      <c r="H19" s="5">
        <f t="shared" si="1"/>
        <v>4540</v>
      </c>
      <c r="I19" s="5">
        <v>0</v>
      </c>
      <c r="J19" s="9"/>
      <c r="K19" s="4">
        <v>14</v>
      </c>
      <c r="L19" s="5">
        <v>2</v>
      </c>
      <c r="M19" s="5">
        <v>7</v>
      </c>
      <c r="N19" s="5">
        <v>1</v>
      </c>
      <c r="O19" s="5">
        <f t="shared" si="0"/>
        <v>10</v>
      </c>
    </row>
    <row r="20" spans="1:25" ht="18" customHeight="1" x14ac:dyDescent="0.3">
      <c r="A20" s="4">
        <v>15</v>
      </c>
      <c r="B20" s="5">
        <v>5540</v>
      </c>
      <c r="C20" s="5">
        <v>0</v>
      </c>
      <c r="D20" s="5">
        <v>1278</v>
      </c>
      <c r="E20" s="5">
        <v>146</v>
      </c>
      <c r="F20" s="5">
        <v>225</v>
      </c>
      <c r="G20" s="5">
        <v>246</v>
      </c>
      <c r="H20" s="5">
        <f t="shared" si="1"/>
        <v>7435</v>
      </c>
      <c r="I20" s="5">
        <v>0</v>
      </c>
      <c r="J20" s="9"/>
      <c r="K20" s="4">
        <v>15</v>
      </c>
      <c r="L20" s="5">
        <v>1</v>
      </c>
      <c r="M20" s="5">
        <v>6</v>
      </c>
      <c r="N20" s="5">
        <v>1</v>
      </c>
      <c r="O20" s="5">
        <f t="shared" si="0"/>
        <v>8</v>
      </c>
    </row>
    <row r="21" spans="1:25" ht="18" customHeight="1" x14ac:dyDescent="0.3">
      <c r="A21" s="4">
        <v>16</v>
      </c>
      <c r="B21" s="5">
        <f>7197+7</f>
        <v>7204</v>
      </c>
      <c r="C21" s="5">
        <v>8</v>
      </c>
      <c r="D21" s="5">
        <v>964</v>
      </c>
      <c r="E21" s="5">
        <v>63</v>
      </c>
      <c r="F21" s="5">
        <v>162</v>
      </c>
      <c r="G21" s="5">
        <v>115</v>
      </c>
      <c r="H21" s="5">
        <f t="shared" si="1"/>
        <v>8516</v>
      </c>
      <c r="I21" s="5">
        <v>0</v>
      </c>
      <c r="J21" s="9"/>
      <c r="K21" s="4">
        <v>16</v>
      </c>
      <c r="L21" s="5">
        <v>0</v>
      </c>
      <c r="M21" s="5">
        <v>4</v>
      </c>
      <c r="N21" s="5">
        <v>1</v>
      </c>
      <c r="O21" s="5">
        <f t="shared" si="0"/>
        <v>5</v>
      </c>
    </row>
    <row r="22" spans="1:25" ht="18" customHeight="1" x14ac:dyDescent="0.3">
      <c r="A22" s="4">
        <v>17</v>
      </c>
      <c r="B22" s="5">
        <f>6340+8</f>
        <v>6348</v>
      </c>
      <c r="C22" s="5">
        <v>4</v>
      </c>
      <c r="D22" s="5">
        <v>1010</v>
      </c>
      <c r="E22" s="5">
        <v>105</v>
      </c>
      <c r="F22" s="5">
        <v>189</v>
      </c>
      <c r="G22" s="5">
        <v>239</v>
      </c>
      <c r="H22" s="5">
        <f>SUM(B22:G22)</f>
        <v>7895</v>
      </c>
      <c r="I22" s="5">
        <v>0</v>
      </c>
      <c r="J22" s="9"/>
      <c r="K22" s="4">
        <v>17</v>
      </c>
      <c r="L22" s="5">
        <v>0</v>
      </c>
      <c r="M22" s="5">
        <v>2</v>
      </c>
      <c r="N22" s="5">
        <v>0</v>
      </c>
      <c r="O22" s="5">
        <f t="shared" si="0"/>
        <v>2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f>10611+17</f>
        <v>10628</v>
      </c>
      <c r="C23" s="5">
        <v>6</v>
      </c>
      <c r="D23" s="5">
        <v>787</v>
      </c>
      <c r="E23" s="5">
        <v>60</v>
      </c>
      <c r="F23" s="5">
        <v>61</v>
      </c>
      <c r="G23" s="5">
        <v>87</v>
      </c>
      <c r="H23" s="5">
        <f t="shared" si="1"/>
        <v>11629</v>
      </c>
      <c r="I23" s="5">
        <v>0</v>
      </c>
      <c r="J23" s="9"/>
      <c r="K23" s="4">
        <v>18</v>
      </c>
      <c r="L23" s="5">
        <v>0</v>
      </c>
      <c r="M23" s="5">
        <v>4</v>
      </c>
      <c r="N23" s="5">
        <v>1</v>
      </c>
      <c r="O23" s="5">
        <f t="shared" si="0"/>
        <v>5</v>
      </c>
    </row>
    <row r="24" spans="1:25" ht="18" customHeight="1" x14ac:dyDescent="0.3">
      <c r="A24" s="4">
        <v>19</v>
      </c>
      <c r="B24" s="5">
        <f>2440+20</f>
        <v>2460</v>
      </c>
      <c r="C24" s="5">
        <v>9</v>
      </c>
      <c r="D24" s="5">
        <v>1179</v>
      </c>
      <c r="E24" s="5">
        <v>152</v>
      </c>
      <c r="F24" s="5">
        <v>206</v>
      </c>
      <c r="G24" s="5">
        <v>254</v>
      </c>
      <c r="H24" s="5">
        <f t="shared" si="1"/>
        <v>4260</v>
      </c>
      <c r="I24" s="5">
        <v>0</v>
      </c>
      <c r="J24" s="9"/>
      <c r="K24" s="4">
        <v>19</v>
      </c>
      <c r="L24" s="5">
        <v>0</v>
      </c>
      <c r="M24" s="5">
        <v>0</v>
      </c>
      <c r="N24" s="5">
        <v>0</v>
      </c>
      <c r="O24" s="5">
        <f t="shared" si="0"/>
        <v>0</v>
      </c>
    </row>
    <row r="25" spans="1:25" ht="18" customHeight="1" x14ac:dyDescent="0.3">
      <c r="A25" s="4">
        <v>20</v>
      </c>
      <c r="B25" s="5">
        <f>2067+22</f>
        <v>2089</v>
      </c>
      <c r="C25" s="5">
        <v>6</v>
      </c>
      <c r="D25" s="5">
        <v>1269</v>
      </c>
      <c r="E25" s="5">
        <v>151</v>
      </c>
      <c r="F25" s="5">
        <v>239</v>
      </c>
      <c r="G25" s="5">
        <v>267</v>
      </c>
      <c r="H25" s="5">
        <f t="shared" si="1"/>
        <v>4021</v>
      </c>
      <c r="I25" s="5">
        <v>0</v>
      </c>
      <c r="J25" s="9"/>
      <c r="K25" s="4">
        <v>20</v>
      </c>
      <c r="L25" s="5">
        <v>0</v>
      </c>
      <c r="M25" s="5">
        <v>14</v>
      </c>
      <c r="N25" s="5">
        <v>5</v>
      </c>
      <c r="O25" s="5">
        <f t="shared" si="0"/>
        <v>19</v>
      </c>
    </row>
    <row r="26" spans="1:25" ht="18" customHeight="1" x14ac:dyDescent="0.3">
      <c r="A26" s="4">
        <v>21</v>
      </c>
      <c r="B26" s="5">
        <f>2197+21</f>
        <v>2218</v>
      </c>
      <c r="C26" s="5">
        <v>6</v>
      </c>
      <c r="D26" s="5">
        <v>1342</v>
      </c>
      <c r="E26" s="5">
        <v>180</v>
      </c>
      <c r="F26" s="5">
        <v>221</v>
      </c>
      <c r="G26" s="5">
        <v>295</v>
      </c>
      <c r="H26" s="5">
        <f t="shared" si="1"/>
        <v>4262</v>
      </c>
      <c r="I26" s="5">
        <v>0</v>
      </c>
      <c r="J26" s="9"/>
      <c r="K26" s="4">
        <v>21</v>
      </c>
      <c r="L26" s="5">
        <v>0</v>
      </c>
      <c r="M26" s="5">
        <v>8</v>
      </c>
      <c r="N26" s="5">
        <v>7</v>
      </c>
      <c r="O26" s="5">
        <f t="shared" si="0"/>
        <v>15</v>
      </c>
    </row>
    <row r="27" spans="1:25" ht="18" customHeight="1" x14ac:dyDescent="0.3">
      <c r="A27" s="4">
        <v>22</v>
      </c>
      <c r="B27" s="5">
        <f>3067+18</f>
        <v>3085</v>
      </c>
      <c r="C27" s="5">
        <v>5</v>
      </c>
      <c r="D27" s="5">
        <v>1264</v>
      </c>
      <c r="E27" s="5">
        <v>166</v>
      </c>
      <c r="F27" s="5">
        <v>192</v>
      </c>
      <c r="G27" s="5">
        <v>221</v>
      </c>
      <c r="H27" s="5">
        <f t="shared" si="1"/>
        <v>4933</v>
      </c>
      <c r="I27" s="5">
        <v>0</v>
      </c>
      <c r="J27" s="9"/>
      <c r="K27" s="4">
        <v>22</v>
      </c>
      <c r="L27" s="5">
        <v>1</v>
      </c>
      <c r="M27" s="5">
        <v>8</v>
      </c>
      <c r="N27" s="5">
        <v>2</v>
      </c>
      <c r="O27" s="5">
        <f t="shared" si="0"/>
        <v>11</v>
      </c>
    </row>
    <row r="28" spans="1:25" ht="18" customHeight="1" x14ac:dyDescent="0.3">
      <c r="A28" s="4">
        <v>23</v>
      </c>
      <c r="B28" s="5">
        <f>3385+13</f>
        <v>3398</v>
      </c>
      <c r="C28" s="5">
        <v>3</v>
      </c>
      <c r="D28" s="5">
        <v>1051</v>
      </c>
      <c r="E28" s="5">
        <v>146</v>
      </c>
      <c r="F28" s="5">
        <v>207</v>
      </c>
      <c r="G28" s="5">
        <v>237</v>
      </c>
      <c r="H28" s="5">
        <f t="shared" si="1"/>
        <v>5042</v>
      </c>
      <c r="I28" s="5">
        <v>0</v>
      </c>
      <c r="J28" s="9"/>
      <c r="K28" s="4">
        <v>23</v>
      </c>
      <c r="L28" s="5">
        <v>1</v>
      </c>
      <c r="M28" s="5">
        <v>6</v>
      </c>
      <c r="N28" s="5">
        <v>1</v>
      </c>
      <c r="O28" s="5">
        <f t="shared" si="0"/>
        <v>8</v>
      </c>
    </row>
    <row r="29" spans="1:25" ht="18" customHeight="1" x14ac:dyDescent="0.3">
      <c r="A29" s="4">
        <v>24</v>
      </c>
      <c r="B29" s="5">
        <f>4291+7</f>
        <v>4298</v>
      </c>
      <c r="C29" s="5">
        <v>6</v>
      </c>
      <c r="D29" s="5">
        <v>915</v>
      </c>
      <c r="E29" s="5">
        <v>99</v>
      </c>
      <c r="F29" s="5">
        <v>109</v>
      </c>
      <c r="G29" s="5">
        <v>166</v>
      </c>
      <c r="H29" s="5">
        <f t="shared" si="1"/>
        <v>5593</v>
      </c>
      <c r="I29" s="5">
        <v>0</v>
      </c>
      <c r="J29" s="9"/>
      <c r="K29" s="4">
        <v>24</v>
      </c>
      <c r="L29" s="5">
        <v>0</v>
      </c>
      <c r="M29" s="5">
        <v>2</v>
      </c>
      <c r="N29" s="5">
        <v>0</v>
      </c>
      <c r="O29" s="5">
        <f t="shared" si="0"/>
        <v>2</v>
      </c>
    </row>
    <row r="30" spans="1:25" ht="18" customHeight="1" x14ac:dyDescent="0.3">
      <c r="A30" s="4">
        <v>25</v>
      </c>
      <c r="B30" s="5">
        <f>1914+20</f>
        <v>1934</v>
      </c>
      <c r="C30" s="5">
        <v>6</v>
      </c>
      <c r="D30" s="5">
        <v>1088</v>
      </c>
      <c r="E30" s="5">
        <v>191</v>
      </c>
      <c r="F30" s="5">
        <v>178</v>
      </c>
      <c r="G30" s="5">
        <v>237</v>
      </c>
      <c r="H30" s="5">
        <f t="shared" si="1"/>
        <v>3634</v>
      </c>
      <c r="I30" s="5">
        <v>0</v>
      </c>
      <c r="J30" s="9"/>
      <c r="K30" s="4">
        <v>25</v>
      </c>
      <c r="L30" s="5">
        <v>0</v>
      </c>
      <c r="M30" s="5">
        <v>9</v>
      </c>
      <c r="N30" s="5">
        <v>0</v>
      </c>
      <c r="O30" s="5">
        <f t="shared" si="0"/>
        <v>9</v>
      </c>
    </row>
    <row r="31" spans="1:25" ht="18" customHeight="1" x14ac:dyDescent="0.3">
      <c r="A31" s="4">
        <v>26</v>
      </c>
      <c r="B31" s="5">
        <f>1998+20</f>
        <v>2018</v>
      </c>
      <c r="C31" s="5">
        <v>10</v>
      </c>
      <c r="D31" s="5">
        <v>1170</v>
      </c>
      <c r="E31" s="5">
        <v>173</v>
      </c>
      <c r="F31" s="5">
        <v>183</v>
      </c>
      <c r="G31" s="5">
        <v>238</v>
      </c>
      <c r="H31" s="5">
        <f t="shared" si="1"/>
        <v>3792</v>
      </c>
      <c r="I31" s="5">
        <v>0</v>
      </c>
      <c r="J31" s="9"/>
      <c r="K31" s="4">
        <v>26</v>
      </c>
      <c r="L31" s="5">
        <v>0</v>
      </c>
      <c r="M31" s="5">
        <v>10</v>
      </c>
      <c r="N31" s="5">
        <v>1</v>
      </c>
      <c r="O31" s="5">
        <f t="shared" si="0"/>
        <v>11</v>
      </c>
    </row>
    <row r="32" spans="1:25" ht="18" customHeight="1" x14ac:dyDescent="0.3">
      <c r="A32" s="4">
        <v>27</v>
      </c>
      <c r="B32" s="5">
        <f>2033+18</f>
        <v>2051</v>
      </c>
      <c r="C32" s="5">
        <v>6</v>
      </c>
      <c r="D32" s="5">
        <v>1178</v>
      </c>
      <c r="E32" s="5">
        <v>166</v>
      </c>
      <c r="F32" s="5">
        <v>207</v>
      </c>
      <c r="G32" s="5">
        <v>249</v>
      </c>
      <c r="H32" s="5">
        <f t="shared" si="1"/>
        <v>3857</v>
      </c>
      <c r="I32" s="5">
        <v>0</v>
      </c>
      <c r="J32" s="9"/>
      <c r="K32" s="4">
        <v>27</v>
      </c>
      <c r="L32" s="5">
        <v>0</v>
      </c>
      <c r="M32" s="5">
        <v>6</v>
      </c>
      <c r="N32" s="5">
        <v>0</v>
      </c>
      <c r="O32" s="5">
        <f t="shared" si="0"/>
        <v>6</v>
      </c>
    </row>
    <row r="33" spans="1:15" ht="18" customHeight="1" x14ac:dyDescent="0.3">
      <c r="A33" s="4">
        <v>28</v>
      </c>
      <c r="B33" s="5">
        <f>2199+26</f>
        <v>2225</v>
      </c>
      <c r="C33" s="5">
        <v>6</v>
      </c>
      <c r="D33" s="5">
        <v>1321</v>
      </c>
      <c r="E33" s="5">
        <v>174</v>
      </c>
      <c r="F33" s="5">
        <v>191</v>
      </c>
      <c r="G33" s="5">
        <v>268</v>
      </c>
      <c r="H33" s="5">
        <f t="shared" si="1"/>
        <v>4185</v>
      </c>
      <c r="I33" s="5">
        <v>0</v>
      </c>
      <c r="J33" s="9"/>
      <c r="K33" s="4">
        <v>28</v>
      </c>
      <c r="L33" s="5">
        <v>0</v>
      </c>
      <c r="M33" s="5">
        <v>6</v>
      </c>
      <c r="N33" s="5">
        <v>5</v>
      </c>
      <c r="O33" s="5">
        <f t="shared" si="0"/>
        <v>11</v>
      </c>
    </row>
    <row r="34" spans="1:15" ht="18" customHeight="1" x14ac:dyDescent="0.3">
      <c r="A34" s="4">
        <v>29</v>
      </c>
      <c r="B34" s="5">
        <f>3082+21</f>
        <v>3103</v>
      </c>
      <c r="C34" s="5">
        <v>6</v>
      </c>
      <c r="D34" s="5">
        <v>1145</v>
      </c>
      <c r="E34" s="5">
        <v>158</v>
      </c>
      <c r="F34" s="5">
        <v>205</v>
      </c>
      <c r="G34" s="5">
        <v>239</v>
      </c>
      <c r="H34" s="5">
        <f t="shared" si="1"/>
        <v>4856</v>
      </c>
      <c r="I34" s="5">
        <v>0</v>
      </c>
      <c r="J34" s="9"/>
      <c r="K34" s="4">
        <v>29</v>
      </c>
      <c r="L34" s="5">
        <v>0</v>
      </c>
      <c r="M34" s="5">
        <v>10</v>
      </c>
      <c r="N34" s="5">
        <v>3</v>
      </c>
      <c r="O34" s="5">
        <f>SUM(L34:N34)</f>
        <v>13</v>
      </c>
    </row>
    <row r="35" spans="1:15" ht="18" customHeight="1" x14ac:dyDescent="0.3">
      <c r="A35" s="4">
        <v>30</v>
      </c>
      <c r="B35" s="5">
        <f>3587+18</f>
        <v>3605</v>
      </c>
      <c r="C35" s="5">
        <v>11</v>
      </c>
      <c r="D35" s="5">
        <v>1036</v>
      </c>
      <c r="E35" s="5">
        <v>115</v>
      </c>
      <c r="F35" s="5">
        <v>164</v>
      </c>
      <c r="G35" s="5">
        <v>188</v>
      </c>
      <c r="H35" s="5">
        <f t="shared" si="1"/>
        <v>5119</v>
      </c>
      <c r="I35" s="5">
        <v>0</v>
      </c>
      <c r="J35" s="9"/>
      <c r="K35" s="4">
        <v>30</v>
      </c>
      <c r="L35" s="5">
        <v>1</v>
      </c>
      <c r="M35" s="5">
        <v>4</v>
      </c>
      <c r="N35" s="5">
        <v>0</v>
      </c>
      <c r="O35" s="5">
        <f>SUM(L35:N35)</f>
        <v>5</v>
      </c>
    </row>
    <row r="36" spans="1:15" ht="18" customHeight="1" x14ac:dyDescent="0.3">
      <c r="A36" s="4">
        <v>31</v>
      </c>
      <c r="B36" s="5">
        <f>4739+16</f>
        <v>4755</v>
      </c>
      <c r="C36" s="5">
        <v>16</v>
      </c>
      <c r="D36" s="5">
        <v>898</v>
      </c>
      <c r="E36" s="5">
        <v>90</v>
      </c>
      <c r="F36" s="5">
        <v>93</v>
      </c>
      <c r="G36" s="5">
        <v>173</v>
      </c>
      <c r="H36" s="5">
        <f t="shared" si="1"/>
        <v>6025</v>
      </c>
      <c r="I36" s="5">
        <v>0</v>
      </c>
      <c r="J36" s="9"/>
      <c r="K36" s="4">
        <v>31</v>
      </c>
      <c r="L36" s="5">
        <v>0</v>
      </c>
      <c r="M36" s="5">
        <v>0</v>
      </c>
      <c r="N36" s="5">
        <v>0</v>
      </c>
      <c r="O36" s="5">
        <f>SUM(L36:N36)</f>
        <v>0</v>
      </c>
    </row>
    <row r="37" spans="1:15" ht="18" customHeight="1" x14ac:dyDescent="0.3">
      <c r="A37" s="3" t="s">
        <v>19</v>
      </c>
      <c r="B37" s="14">
        <f>SUM(B6:B36)</f>
        <v>115449</v>
      </c>
      <c r="C37" s="14">
        <f t="shared" ref="C37:O37" si="2">SUM(C6:C36)</f>
        <v>189</v>
      </c>
      <c r="D37" s="14">
        <f t="shared" si="2"/>
        <v>34339</v>
      </c>
      <c r="E37" s="14">
        <f t="shared" si="2"/>
        <v>4288</v>
      </c>
      <c r="F37" s="14">
        <f t="shared" si="2"/>
        <v>5631</v>
      </c>
      <c r="G37" s="14">
        <f t="shared" si="2"/>
        <v>6826</v>
      </c>
      <c r="H37" s="14">
        <f t="shared" si="2"/>
        <v>166722</v>
      </c>
      <c r="I37" s="14">
        <f t="shared" si="2"/>
        <v>0</v>
      </c>
      <c r="J37" s="14"/>
      <c r="K37" s="14"/>
      <c r="L37" s="14">
        <f t="shared" si="2"/>
        <v>9</v>
      </c>
      <c r="M37" s="14">
        <f t="shared" si="2"/>
        <v>158</v>
      </c>
      <c r="N37" s="14">
        <f t="shared" si="2"/>
        <v>49</v>
      </c>
      <c r="O37" s="14">
        <f t="shared" si="2"/>
        <v>216</v>
      </c>
    </row>
    <row r="38" spans="1:15" ht="18" customHeight="1" x14ac:dyDescent="0.3">
      <c r="A38" s="3" t="s">
        <v>19</v>
      </c>
      <c r="B38" s="47">
        <f>+B37+C37</f>
        <v>115638</v>
      </c>
      <c r="C38" s="47"/>
      <c r="D38" s="14">
        <f>+D37</f>
        <v>34339</v>
      </c>
      <c r="E38" s="14">
        <f>+E37</f>
        <v>4288</v>
      </c>
      <c r="F38" s="14">
        <f>+F37</f>
        <v>5631</v>
      </c>
      <c r="G38" s="14">
        <f>+G37</f>
        <v>6826</v>
      </c>
      <c r="H38" s="14">
        <f>+H37</f>
        <v>166722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5"/>
      <c r="K39" s="44"/>
      <c r="L39" s="38"/>
    </row>
    <row r="40" spans="1:15" x14ac:dyDescent="0.3">
      <c r="A40" s="30"/>
      <c r="H40" s="30"/>
      <c r="K40" s="44"/>
      <c r="L40" s="38"/>
    </row>
    <row r="41" spans="1:15" x14ac:dyDescent="0.3">
      <c r="K41" s="44"/>
      <c r="L41" s="38"/>
    </row>
    <row r="42" spans="1:15" x14ac:dyDescent="0.3">
      <c r="I42" s="30"/>
      <c r="J42" s="30"/>
    </row>
    <row r="44" spans="1:15" x14ac:dyDescent="0.3">
      <c r="A44" s="42"/>
    </row>
    <row r="45" spans="1:15" x14ac:dyDescent="0.3">
      <c r="A45" s="42"/>
      <c r="B45" s="30"/>
      <c r="C45" s="30"/>
      <c r="D45" s="30"/>
      <c r="E45" s="30"/>
      <c r="F45" s="30"/>
      <c r="G45" s="30"/>
      <c r="H45" s="30"/>
      <c r="I45" s="30"/>
      <c r="J45" s="30"/>
      <c r="K45" s="45"/>
      <c r="L45" s="30"/>
      <c r="M45" s="30"/>
      <c r="N45" s="30"/>
      <c r="O45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127D-789A-4ED7-BF11-27C6BEE00FD6}">
  <dimension ref="A1:Y45"/>
  <sheetViews>
    <sheetView topLeftCell="A23" workbookViewId="0">
      <selection activeCell="P6" sqref="P6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8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s="27" customFormat="1" ht="15.6" x14ac:dyDescent="0.3">
      <c r="A3" s="49" t="s">
        <v>34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2172+14</f>
        <v>2186</v>
      </c>
      <c r="C6" s="5">
        <v>4</v>
      </c>
      <c r="D6" s="5">
        <v>1011</v>
      </c>
      <c r="E6" s="5">
        <v>149</v>
      </c>
      <c r="F6" s="5">
        <v>204</v>
      </c>
      <c r="G6" s="5">
        <v>229</v>
      </c>
      <c r="H6" s="5">
        <f>SUM(B6:G6)</f>
        <v>3783</v>
      </c>
      <c r="I6" s="5">
        <v>0</v>
      </c>
      <c r="J6" s="6"/>
      <c r="K6" s="4">
        <v>1</v>
      </c>
      <c r="L6" s="5">
        <v>0</v>
      </c>
      <c r="M6" s="5">
        <v>4</v>
      </c>
      <c r="N6" s="5">
        <v>1</v>
      </c>
      <c r="O6" s="5">
        <f>SUM(L6:N6)</f>
        <v>5</v>
      </c>
    </row>
    <row r="7" spans="1:18" ht="18" customHeight="1" x14ac:dyDescent="0.3">
      <c r="A7" s="4">
        <v>2</v>
      </c>
      <c r="B7" s="5">
        <f>1919+13</f>
        <v>1932</v>
      </c>
      <c r="C7" s="5">
        <v>4</v>
      </c>
      <c r="D7" s="5">
        <v>1243</v>
      </c>
      <c r="E7" s="5">
        <v>165</v>
      </c>
      <c r="F7" s="5">
        <v>186</v>
      </c>
      <c r="G7" s="5">
        <v>227</v>
      </c>
      <c r="H7" s="5">
        <f>SUM(B7:G7)</f>
        <v>3757</v>
      </c>
      <c r="I7" s="5">
        <v>0</v>
      </c>
      <c r="J7" s="6"/>
      <c r="K7" s="4">
        <v>2</v>
      </c>
      <c r="L7" s="5">
        <v>0</v>
      </c>
      <c r="M7" s="5">
        <v>14</v>
      </c>
      <c r="N7" s="5">
        <v>1</v>
      </c>
      <c r="O7" s="5">
        <f t="shared" ref="O7:O33" si="0">SUM(L7:N7)</f>
        <v>15</v>
      </c>
    </row>
    <row r="8" spans="1:18" ht="18" customHeight="1" x14ac:dyDescent="0.3">
      <c r="A8" s="4">
        <v>3</v>
      </c>
      <c r="B8" s="5">
        <f>1955+19</f>
        <v>1974</v>
      </c>
      <c r="C8" s="5">
        <v>6</v>
      </c>
      <c r="D8" s="5">
        <v>1172</v>
      </c>
      <c r="E8" s="5">
        <v>183</v>
      </c>
      <c r="F8" s="5">
        <v>178</v>
      </c>
      <c r="G8" s="5">
        <v>297</v>
      </c>
      <c r="H8" s="5">
        <f t="shared" ref="H8:H36" si="1">SUM(B8:G8)</f>
        <v>3810</v>
      </c>
      <c r="I8" s="5">
        <v>0</v>
      </c>
      <c r="J8" s="6"/>
      <c r="K8" s="4">
        <v>3</v>
      </c>
      <c r="L8" s="5">
        <v>1</v>
      </c>
      <c r="M8" s="5">
        <v>4</v>
      </c>
      <c r="N8" s="5">
        <v>0</v>
      </c>
      <c r="O8" s="5">
        <f t="shared" si="0"/>
        <v>5</v>
      </c>
      <c r="R8" s="30"/>
    </row>
    <row r="9" spans="1:18" ht="18" customHeight="1" x14ac:dyDescent="0.3">
      <c r="A9" s="4">
        <v>4</v>
      </c>
      <c r="B9" s="5">
        <f>2062+18</f>
        <v>2080</v>
      </c>
      <c r="C9" s="5">
        <v>2</v>
      </c>
      <c r="D9" s="5">
        <v>1223</v>
      </c>
      <c r="E9" s="5">
        <v>179</v>
      </c>
      <c r="F9" s="5">
        <v>187</v>
      </c>
      <c r="G9" s="5">
        <v>277</v>
      </c>
      <c r="H9" s="5">
        <f t="shared" si="1"/>
        <v>3948</v>
      </c>
      <c r="I9" s="5">
        <v>0</v>
      </c>
      <c r="J9" s="6"/>
      <c r="K9" s="4">
        <v>4</v>
      </c>
      <c r="L9" s="5">
        <v>0</v>
      </c>
      <c r="M9" s="5">
        <v>2</v>
      </c>
      <c r="N9" s="5">
        <v>3</v>
      </c>
      <c r="O9" s="5">
        <f t="shared" si="0"/>
        <v>5</v>
      </c>
    </row>
    <row r="10" spans="1:18" ht="18" customHeight="1" x14ac:dyDescent="0.3">
      <c r="A10" s="4">
        <v>5</v>
      </c>
      <c r="B10" s="5">
        <f>2985+16</f>
        <v>3001</v>
      </c>
      <c r="C10" s="5">
        <v>6</v>
      </c>
      <c r="D10" s="5">
        <v>1042</v>
      </c>
      <c r="E10" s="5">
        <v>134</v>
      </c>
      <c r="F10" s="5">
        <v>186</v>
      </c>
      <c r="G10" s="5">
        <v>229</v>
      </c>
      <c r="H10" s="5">
        <f t="shared" si="1"/>
        <v>4598</v>
      </c>
      <c r="I10" s="5">
        <v>0</v>
      </c>
      <c r="J10" s="6"/>
      <c r="K10" s="4">
        <v>5</v>
      </c>
      <c r="L10" s="5">
        <v>1</v>
      </c>
      <c r="M10" s="5">
        <v>8</v>
      </c>
      <c r="N10" s="5">
        <v>2</v>
      </c>
      <c r="O10" s="5">
        <f t="shared" si="0"/>
        <v>11</v>
      </c>
    </row>
    <row r="11" spans="1:18" ht="18" customHeight="1" x14ac:dyDescent="0.3">
      <c r="A11" s="4">
        <v>6</v>
      </c>
      <c r="B11" s="5">
        <f>3415+12</f>
        <v>3427</v>
      </c>
      <c r="C11" s="5">
        <v>2</v>
      </c>
      <c r="D11" s="5">
        <v>1009</v>
      </c>
      <c r="E11" s="5">
        <v>98</v>
      </c>
      <c r="F11" s="5">
        <v>173</v>
      </c>
      <c r="G11" s="5">
        <v>201</v>
      </c>
      <c r="H11" s="5">
        <f t="shared" si="1"/>
        <v>4910</v>
      </c>
      <c r="I11" s="5">
        <v>0</v>
      </c>
      <c r="J11" s="6"/>
      <c r="K11" s="4">
        <v>6</v>
      </c>
      <c r="L11" s="5">
        <v>1</v>
      </c>
      <c r="M11" s="5">
        <v>2</v>
      </c>
      <c r="N11" s="5">
        <v>3</v>
      </c>
      <c r="O11" s="5">
        <f t="shared" si="0"/>
        <v>6</v>
      </c>
    </row>
    <row r="12" spans="1:18" ht="18" customHeight="1" x14ac:dyDescent="0.3">
      <c r="A12" s="4">
        <v>7</v>
      </c>
      <c r="B12" s="5">
        <f>4856+4</f>
        <v>4860</v>
      </c>
      <c r="C12" s="5">
        <v>5</v>
      </c>
      <c r="D12" s="5">
        <v>809</v>
      </c>
      <c r="E12" s="5">
        <v>71</v>
      </c>
      <c r="F12" s="5">
        <v>89</v>
      </c>
      <c r="G12" s="5">
        <v>150</v>
      </c>
      <c r="H12" s="5">
        <f t="shared" si="1"/>
        <v>5984</v>
      </c>
      <c r="I12" s="5">
        <v>0</v>
      </c>
      <c r="J12" s="9"/>
      <c r="K12" s="4">
        <v>7</v>
      </c>
      <c r="L12" s="5">
        <v>0</v>
      </c>
      <c r="M12" s="5">
        <v>2</v>
      </c>
      <c r="N12" s="5">
        <v>0</v>
      </c>
      <c r="O12" s="5">
        <f t="shared" si="0"/>
        <v>2</v>
      </c>
    </row>
    <row r="13" spans="1:18" ht="18" customHeight="1" x14ac:dyDescent="0.3">
      <c r="A13" s="4">
        <v>8</v>
      </c>
      <c r="B13" s="5">
        <f>2051+14</f>
        <v>2065</v>
      </c>
      <c r="C13" s="5">
        <v>7</v>
      </c>
      <c r="D13" s="5">
        <v>986</v>
      </c>
      <c r="E13" s="5">
        <v>131</v>
      </c>
      <c r="F13" s="5">
        <v>171</v>
      </c>
      <c r="G13" s="5">
        <v>248</v>
      </c>
      <c r="H13" s="5">
        <f t="shared" si="1"/>
        <v>3608</v>
      </c>
      <c r="I13" s="5">
        <v>0</v>
      </c>
      <c r="J13" s="9"/>
      <c r="K13" s="4">
        <v>8</v>
      </c>
      <c r="L13" s="5">
        <v>0</v>
      </c>
      <c r="M13" s="5">
        <v>8</v>
      </c>
      <c r="N13" s="5">
        <v>1</v>
      </c>
      <c r="O13" s="5">
        <f t="shared" si="0"/>
        <v>9</v>
      </c>
    </row>
    <row r="14" spans="1:18" s="32" customFormat="1" ht="18" customHeight="1" x14ac:dyDescent="0.3">
      <c r="A14" s="4">
        <v>9</v>
      </c>
      <c r="B14" s="5">
        <f>1890+27</f>
        <v>1917</v>
      </c>
      <c r="C14" s="5">
        <v>7</v>
      </c>
      <c r="D14" s="5">
        <v>1123</v>
      </c>
      <c r="E14" s="5">
        <v>169</v>
      </c>
      <c r="F14" s="5">
        <v>193</v>
      </c>
      <c r="G14" s="5">
        <v>268</v>
      </c>
      <c r="H14" s="5">
        <f t="shared" si="1"/>
        <v>3677</v>
      </c>
      <c r="I14" s="5">
        <v>0</v>
      </c>
      <c r="J14" s="9"/>
      <c r="K14" s="4">
        <v>9</v>
      </c>
      <c r="L14" s="5">
        <v>1</v>
      </c>
      <c r="M14" s="5">
        <v>8</v>
      </c>
      <c r="N14" s="5">
        <v>3</v>
      </c>
      <c r="O14" s="5">
        <f t="shared" si="0"/>
        <v>12</v>
      </c>
    </row>
    <row r="15" spans="1:18" ht="18" customHeight="1" x14ac:dyDescent="0.3">
      <c r="A15" s="4">
        <v>10</v>
      </c>
      <c r="B15" s="5">
        <f>1960+12</f>
        <v>1972</v>
      </c>
      <c r="C15" s="5">
        <v>12</v>
      </c>
      <c r="D15" s="5">
        <v>1164</v>
      </c>
      <c r="E15" s="5">
        <v>151</v>
      </c>
      <c r="F15" s="5">
        <v>207</v>
      </c>
      <c r="G15" s="5">
        <v>284</v>
      </c>
      <c r="H15" s="5">
        <f t="shared" si="1"/>
        <v>3790</v>
      </c>
      <c r="I15" s="5">
        <v>0</v>
      </c>
      <c r="J15" s="9"/>
      <c r="K15" s="4">
        <v>10</v>
      </c>
      <c r="L15" s="5">
        <v>0</v>
      </c>
      <c r="M15" s="5">
        <v>6</v>
      </c>
      <c r="N15" s="5">
        <v>1</v>
      </c>
      <c r="O15" s="5">
        <f t="shared" si="0"/>
        <v>7</v>
      </c>
    </row>
    <row r="16" spans="1:18" ht="18" customHeight="1" x14ac:dyDescent="0.3">
      <c r="A16" s="4">
        <v>11</v>
      </c>
      <c r="B16" s="5">
        <f>2218+28</f>
        <v>2246</v>
      </c>
      <c r="C16" s="5">
        <v>6</v>
      </c>
      <c r="D16" s="5">
        <v>1137</v>
      </c>
      <c r="E16" s="5">
        <v>165</v>
      </c>
      <c r="F16" s="5">
        <v>250</v>
      </c>
      <c r="G16" s="5">
        <v>296</v>
      </c>
      <c r="H16" s="5">
        <f t="shared" si="1"/>
        <v>4100</v>
      </c>
      <c r="I16" s="5">
        <v>0</v>
      </c>
      <c r="J16" s="9"/>
      <c r="K16" s="4">
        <v>11</v>
      </c>
      <c r="L16" s="5">
        <v>2</v>
      </c>
      <c r="M16" s="5">
        <v>8</v>
      </c>
      <c r="N16" s="5">
        <v>4</v>
      </c>
      <c r="O16" s="5">
        <f t="shared" si="0"/>
        <v>14</v>
      </c>
    </row>
    <row r="17" spans="1:25" ht="18" customHeight="1" x14ac:dyDescent="0.3">
      <c r="A17" s="4">
        <v>12</v>
      </c>
      <c r="B17" s="5">
        <f>3175+17</f>
        <v>3192</v>
      </c>
      <c r="C17" s="5">
        <v>5</v>
      </c>
      <c r="D17" s="5">
        <v>1191</v>
      </c>
      <c r="E17" s="5">
        <v>174</v>
      </c>
      <c r="F17" s="5">
        <v>209</v>
      </c>
      <c r="G17" s="5">
        <v>266</v>
      </c>
      <c r="H17" s="5">
        <f t="shared" si="1"/>
        <v>5037</v>
      </c>
      <c r="I17" s="5">
        <v>0</v>
      </c>
      <c r="J17" s="9"/>
      <c r="K17" s="4">
        <v>12</v>
      </c>
      <c r="L17" s="5">
        <v>1</v>
      </c>
      <c r="M17" s="5">
        <v>12</v>
      </c>
      <c r="N17" s="5">
        <v>2</v>
      </c>
      <c r="O17" s="5">
        <f t="shared" si="0"/>
        <v>15</v>
      </c>
    </row>
    <row r="18" spans="1:25" ht="18" customHeight="1" x14ac:dyDescent="0.3">
      <c r="A18" s="4">
        <v>13</v>
      </c>
      <c r="B18" s="5">
        <f>3372+14</f>
        <v>3386</v>
      </c>
      <c r="C18" s="5">
        <v>12</v>
      </c>
      <c r="D18" s="5">
        <v>1030</v>
      </c>
      <c r="E18" s="5">
        <v>106</v>
      </c>
      <c r="F18" s="5">
        <v>159</v>
      </c>
      <c r="G18" s="5">
        <v>199</v>
      </c>
      <c r="H18" s="5">
        <f t="shared" si="1"/>
        <v>4892</v>
      </c>
      <c r="I18" s="5">
        <v>0</v>
      </c>
      <c r="J18" s="9"/>
      <c r="K18" s="4">
        <v>13</v>
      </c>
      <c r="L18" s="5">
        <v>2</v>
      </c>
      <c r="M18" s="5">
        <v>10</v>
      </c>
      <c r="N18" s="5">
        <v>4</v>
      </c>
      <c r="O18" s="5">
        <f t="shared" si="0"/>
        <v>16</v>
      </c>
    </row>
    <row r="19" spans="1:25" ht="18" customHeight="1" x14ac:dyDescent="0.3">
      <c r="A19" s="4">
        <v>14</v>
      </c>
      <c r="B19" s="5">
        <f>4732+8</f>
        <v>4740</v>
      </c>
      <c r="C19" s="5">
        <v>4</v>
      </c>
      <c r="D19" s="5">
        <v>825</v>
      </c>
      <c r="E19" s="5">
        <v>76</v>
      </c>
      <c r="F19" s="5">
        <v>118</v>
      </c>
      <c r="G19" s="5">
        <v>157</v>
      </c>
      <c r="H19" s="5">
        <f t="shared" si="1"/>
        <v>5920</v>
      </c>
      <c r="I19" s="5">
        <v>0</v>
      </c>
      <c r="J19" s="9"/>
      <c r="K19" s="4">
        <v>14</v>
      </c>
      <c r="L19" s="5">
        <v>0</v>
      </c>
      <c r="M19" s="5">
        <v>2</v>
      </c>
      <c r="N19" s="5">
        <v>3</v>
      </c>
      <c r="O19" s="5">
        <f t="shared" si="0"/>
        <v>5</v>
      </c>
    </row>
    <row r="20" spans="1:25" ht="18" customHeight="1" x14ac:dyDescent="0.3">
      <c r="A20" s="4">
        <v>15</v>
      </c>
      <c r="B20" s="5">
        <f>1995+26</f>
        <v>2021</v>
      </c>
      <c r="C20" s="5">
        <v>4</v>
      </c>
      <c r="D20" s="5">
        <v>999</v>
      </c>
      <c r="E20" s="5">
        <v>141</v>
      </c>
      <c r="F20" s="5">
        <v>183</v>
      </c>
      <c r="G20" s="5">
        <v>251</v>
      </c>
      <c r="H20" s="5">
        <f t="shared" si="1"/>
        <v>3599</v>
      </c>
      <c r="I20" s="5">
        <v>0</v>
      </c>
      <c r="J20" s="9"/>
      <c r="K20" s="4">
        <v>15</v>
      </c>
      <c r="L20" s="5">
        <v>2</v>
      </c>
      <c r="M20" s="5">
        <v>5</v>
      </c>
      <c r="N20" s="5">
        <v>0</v>
      </c>
      <c r="O20" s="5">
        <f t="shared" si="0"/>
        <v>7</v>
      </c>
    </row>
    <row r="21" spans="1:25" ht="18" customHeight="1" x14ac:dyDescent="0.3">
      <c r="A21" s="4">
        <v>16</v>
      </c>
      <c r="B21" s="5">
        <f>1956+19</f>
        <v>1975</v>
      </c>
      <c r="C21" s="5">
        <v>2</v>
      </c>
      <c r="D21" s="5">
        <v>1155</v>
      </c>
      <c r="E21" s="5">
        <v>146</v>
      </c>
      <c r="F21" s="5">
        <v>168</v>
      </c>
      <c r="G21" s="5">
        <v>228</v>
      </c>
      <c r="H21" s="5">
        <f t="shared" si="1"/>
        <v>3674</v>
      </c>
      <c r="I21" s="5">
        <v>0</v>
      </c>
      <c r="J21" s="9"/>
      <c r="K21" s="4">
        <v>16</v>
      </c>
      <c r="L21" s="5">
        <v>1</v>
      </c>
      <c r="M21" s="5">
        <v>5</v>
      </c>
      <c r="N21" s="5">
        <v>1</v>
      </c>
      <c r="O21" s="5">
        <f t="shared" si="0"/>
        <v>7</v>
      </c>
    </row>
    <row r="22" spans="1:25" ht="18" customHeight="1" x14ac:dyDescent="0.3">
      <c r="A22" s="4">
        <v>17</v>
      </c>
      <c r="B22" s="5">
        <f>2074+23</f>
        <v>2097</v>
      </c>
      <c r="C22" s="5">
        <v>4</v>
      </c>
      <c r="D22" s="5">
        <v>1156</v>
      </c>
      <c r="E22" s="5">
        <v>162</v>
      </c>
      <c r="F22" s="5">
        <v>215</v>
      </c>
      <c r="G22" s="5">
        <v>229</v>
      </c>
      <c r="H22" s="5">
        <f>SUM(B22:G22)</f>
        <v>3863</v>
      </c>
      <c r="I22" s="5">
        <v>0</v>
      </c>
      <c r="J22" s="9"/>
      <c r="K22" s="4">
        <v>17</v>
      </c>
      <c r="L22" s="5">
        <v>1</v>
      </c>
      <c r="M22" s="5">
        <v>4</v>
      </c>
      <c r="N22" s="5">
        <v>3</v>
      </c>
      <c r="O22" s="5">
        <f t="shared" si="0"/>
        <v>8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f>2173+25</f>
        <v>2198</v>
      </c>
      <c r="C23" s="5">
        <v>6</v>
      </c>
      <c r="D23" s="5">
        <v>1202</v>
      </c>
      <c r="E23" s="5">
        <v>189</v>
      </c>
      <c r="F23" s="5">
        <v>221</v>
      </c>
      <c r="G23" s="5">
        <v>267</v>
      </c>
      <c r="H23" s="5">
        <f t="shared" si="1"/>
        <v>4083</v>
      </c>
      <c r="I23" s="5">
        <v>0</v>
      </c>
      <c r="J23" s="9"/>
      <c r="K23" s="4">
        <v>18</v>
      </c>
      <c r="L23" s="5">
        <v>0</v>
      </c>
      <c r="M23" s="5">
        <v>16</v>
      </c>
      <c r="N23" s="5">
        <v>2</v>
      </c>
      <c r="O23" s="5">
        <f t="shared" si="0"/>
        <v>18</v>
      </c>
    </row>
    <row r="24" spans="1:25" ht="18" customHeight="1" x14ac:dyDescent="0.3">
      <c r="A24" s="4">
        <v>19</v>
      </c>
      <c r="B24" s="5">
        <f>3252+26</f>
        <v>3278</v>
      </c>
      <c r="C24" s="5">
        <v>6</v>
      </c>
      <c r="D24" s="5">
        <v>1178</v>
      </c>
      <c r="E24" s="5">
        <v>171</v>
      </c>
      <c r="F24" s="5">
        <v>197</v>
      </c>
      <c r="G24" s="5">
        <v>208</v>
      </c>
      <c r="H24" s="5">
        <f t="shared" si="1"/>
        <v>5038</v>
      </c>
      <c r="I24" s="5">
        <v>0</v>
      </c>
      <c r="J24" s="9"/>
      <c r="K24" s="4">
        <v>19</v>
      </c>
      <c r="L24" s="5">
        <v>0</v>
      </c>
      <c r="M24" s="5">
        <v>12</v>
      </c>
      <c r="N24" s="5">
        <v>3</v>
      </c>
      <c r="O24" s="5">
        <f t="shared" si="0"/>
        <v>15</v>
      </c>
    </row>
    <row r="25" spans="1:25" ht="18" customHeight="1" x14ac:dyDescent="0.3">
      <c r="A25" s="4">
        <v>20</v>
      </c>
      <c r="B25" s="5">
        <f>3429+11</f>
        <v>3440</v>
      </c>
      <c r="C25" s="5">
        <v>6</v>
      </c>
      <c r="D25" s="5">
        <v>1062</v>
      </c>
      <c r="E25" s="5">
        <v>156</v>
      </c>
      <c r="F25" s="5">
        <v>187</v>
      </c>
      <c r="G25" s="5">
        <v>202</v>
      </c>
      <c r="H25" s="5">
        <f>SUM(B25:G25)</f>
        <v>5053</v>
      </c>
      <c r="I25" s="5">
        <v>0</v>
      </c>
      <c r="J25" s="9"/>
      <c r="K25" s="4">
        <v>20</v>
      </c>
      <c r="L25" s="5">
        <v>1</v>
      </c>
      <c r="M25" s="5">
        <v>10</v>
      </c>
      <c r="N25" s="5">
        <v>2</v>
      </c>
      <c r="O25" s="5">
        <f t="shared" si="0"/>
        <v>13</v>
      </c>
    </row>
    <row r="26" spans="1:25" ht="18" customHeight="1" x14ac:dyDescent="0.3">
      <c r="A26" s="4">
        <v>21</v>
      </c>
      <c r="B26" s="5">
        <f>4863+5</f>
        <v>4868</v>
      </c>
      <c r="C26" s="5">
        <v>4</v>
      </c>
      <c r="D26" s="5">
        <v>840</v>
      </c>
      <c r="E26" s="5">
        <v>81</v>
      </c>
      <c r="F26" s="5">
        <v>91</v>
      </c>
      <c r="G26" s="5">
        <v>179</v>
      </c>
      <c r="H26" s="5">
        <f>SUM(B26:G26)</f>
        <v>6063</v>
      </c>
      <c r="I26" s="5">
        <v>0</v>
      </c>
      <c r="J26" s="9"/>
      <c r="K26" s="4">
        <v>21</v>
      </c>
      <c r="L26" s="5">
        <v>1</v>
      </c>
      <c r="M26" s="5">
        <v>0</v>
      </c>
      <c r="N26" s="5">
        <v>0</v>
      </c>
      <c r="O26" s="5">
        <f t="shared" si="0"/>
        <v>1</v>
      </c>
    </row>
    <row r="27" spans="1:25" ht="18" customHeight="1" x14ac:dyDescent="0.3">
      <c r="A27" s="4">
        <v>22</v>
      </c>
      <c r="B27" s="5">
        <f>1935+24</f>
        <v>1959</v>
      </c>
      <c r="C27" s="5">
        <v>6</v>
      </c>
      <c r="D27" s="5">
        <v>1022</v>
      </c>
      <c r="E27" s="5">
        <v>169</v>
      </c>
      <c r="F27" s="5">
        <v>196</v>
      </c>
      <c r="G27" s="5">
        <v>234</v>
      </c>
      <c r="H27" s="5">
        <f t="shared" si="1"/>
        <v>3586</v>
      </c>
      <c r="I27" s="5">
        <v>0</v>
      </c>
      <c r="J27" s="9"/>
      <c r="K27" s="4">
        <v>22</v>
      </c>
      <c r="L27" s="5">
        <v>0</v>
      </c>
      <c r="M27" s="5">
        <v>7</v>
      </c>
      <c r="N27" s="5">
        <v>0</v>
      </c>
      <c r="O27" s="5">
        <f t="shared" si="0"/>
        <v>7</v>
      </c>
    </row>
    <row r="28" spans="1:25" ht="18" customHeight="1" x14ac:dyDescent="0.3">
      <c r="A28" s="4">
        <v>23</v>
      </c>
      <c r="B28" s="5">
        <f>1856+20</f>
        <v>1876</v>
      </c>
      <c r="C28" s="5">
        <v>4</v>
      </c>
      <c r="D28" s="5">
        <v>1116</v>
      </c>
      <c r="E28" s="5">
        <v>172</v>
      </c>
      <c r="F28" s="5">
        <v>199</v>
      </c>
      <c r="G28" s="5">
        <v>254</v>
      </c>
      <c r="H28" s="5">
        <f t="shared" si="1"/>
        <v>3621</v>
      </c>
      <c r="I28" s="5">
        <v>0</v>
      </c>
      <c r="J28" s="9"/>
      <c r="K28" s="4">
        <v>23</v>
      </c>
      <c r="L28" s="5">
        <v>0</v>
      </c>
      <c r="M28" s="5">
        <v>6</v>
      </c>
      <c r="N28" s="5">
        <v>3</v>
      </c>
      <c r="O28" s="5">
        <f t="shared" si="0"/>
        <v>9</v>
      </c>
    </row>
    <row r="29" spans="1:25" ht="18" customHeight="1" x14ac:dyDescent="0.3">
      <c r="A29" s="4">
        <v>24</v>
      </c>
      <c r="B29" s="5">
        <f>1997+21</f>
        <v>2018</v>
      </c>
      <c r="C29" s="5">
        <v>5</v>
      </c>
      <c r="D29" s="5">
        <v>1411</v>
      </c>
      <c r="E29" s="5">
        <v>249</v>
      </c>
      <c r="F29" s="5">
        <v>305</v>
      </c>
      <c r="G29" s="5">
        <v>357</v>
      </c>
      <c r="H29" s="5">
        <f t="shared" si="1"/>
        <v>4345</v>
      </c>
      <c r="I29" s="5">
        <v>0</v>
      </c>
      <c r="J29" s="9"/>
      <c r="K29" s="4">
        <v>24</v>
      </c>
      <c r="L29" s="5">
        <v>2</v>
      </c>
      <c r="M29" s="5">
        <v>10</v>
      </c>
      <c r="N29" s="5">
        <v>6</v>
      </c>
      <c r="O29" s="5">
        <f t="shared" si="0"/>
        <v>18</v>
      </c>
    </row>
    <row r="30" spans="1:25" ht="18" customHeight="1" x14ac:dyDescent="0.3">
      <c r="A30" s="4">
        <v>25</v>
      </c>
      <c r="B30" s="5">
        <f>2083+20</f>
        <v>2103</v>
      </c>
      <c r="C30" s="5">
        <v>6</v>
      </c>
      <c r="D30" s="5">
        <v>1190</v>
      </c>
      <c r="E30" s="5">
        <v>224</v>
      </c>
      <c r="F30" s="5">
        <v>196</v>
      </c>
      <c r="G30" s="5">
        <v>278</v>
      </c>
      <c r="H30" s="5">
        <f t="shared" si="1"/>
        <v>3997</v>
      </c>
      <c r="I30" s="5">
        <v>0</v>
      </c>
      <c r="J30" s="9"/>
      <c r="K30" s="4">
        <v>25</v>
      </c>
      <c r="L30" s="5">
        <v>2</v>
      </c>
      <c r="M30" s="5">
        <v>6</v>
      </c>
      <c r="N30" s="5">
        <v>6</v>
      </c>
      <c r="O30" s="5">
        <f t="shared" si="0"/>
        <v>14</v>
      </c>
    </row>
    <row r="31" spans="1:25" ht="18" customHeight="1" x14ac:dyDescent="0.3">
      <c r="A31" s="4">
        <v>26</v>
      </c>
      <c r="B31" s="5">
        <f>3151+20</f>
        <v>3171</v>
      </c>
      <c r="C31" s="5">
        <v>6</v>
      </c>
      <c r="D31" s="5">
        <f>1249+8</f>
        <v>1257</v>
      </c>
      <c r="E31" s="5">
        <f>144+37</f>
        <v>181</v>
      </c>
      <c r="F31" s="5">
        <v>226</v>
      </c>
      <c r="G31" s="5">
        <v>237</v>
      </c>
      <c r="H31" s="5">
        <f t="shared" si="1"/>
        <v>5078</v>
      </c>
      <c r="I31" s="5">
        <v>0</v>
      </c>
      <c r="J31" s="9"/>
      <c r="K31" s="4">
        <v>26</v>
      </c>
      <c r="L31" s="5">
        <v>2</v>
      </c>
      <c r="M31" s="5">
        <v>13</v>
      </c>
      <c r="N31" s="5">
        <v>5</v>
      </c>
      <c r="O31" s="5">
        <f t="shared" si="0"/>
        <v>20</v>
      </c>
    </row>
    <row r="32" spans="1:25" ht="18" customHeight="1" x14ac:dyDescent="0.3">
      <c r="A32" s="4">
        <v>27</v>
      </c>
      <c r="B32" s="5">
        <f>3699+13</f>
        <v>3712</v>
      </c>
      <c r="C32" s="5">
        <v>6</v>
      </c>
      <c r="D32" s="5">
        <v>1060</v>
      </c>
      <c r="E32" s="5">
        <v>137</v>
      </c>
      <c r="F32" s="5">
        <v>202</v>
      </c>
      <c r="G32" s="5">
        <v>201</v>
      </c>
      <c r="H32" s="5">
        <f t="shared" si="1"/>
        <v>5318</v>
      </c>
      <c r="I32" s="5">
        <v>0</v>
      </c>
      <c r="J32" s="9"/>
      <c r="K32" s="4">
        <v>27</v>
      </c>
      <c r="L32" s="5">
        <v>0</v>
      </c>
      <c r="M32" s="5">
        <v>6</v>
      </c>
      <c r="N32" s="5">
        <v>0</v>
      </c>
      <c r="O32" s="5">
        <f t="shared" si="0"/>
        <v>6</v>
      </c>
    </row>
    <row r="33" spans="1:15" ht="18" customHeight="1" x14ac:dyDescent="0.3">
      <c r="A33" s="4">
        <v>28</v>
      </c>
      <c r="B33" s="5">
        <f>4864+9</f>
        <v>4873</v>
      </c>
      <c r="C33" s="5">
        <v>8</v>
      </c>
      <c r="D33" s="5">
        <v>904</v>
      </c>
      <c r="E33" s="5">
        <v>102</v>
      </c>
      <c r="F33" s="5">
        <v>91</v>
      </c>
      <c r="G33" s="5">
        <v>178</v>
      </c>
      <c r="H33" s="5">
        <f t="shared" si="1"/>
        <v>6156</v>
      </c>
      <c r="I33" s="5">
        <v>0</v>
      </c>
      <c r="J33" s="9"/>
      <c r="K33" s="4">
        <v>28</v>
      </c>
      <c r="L33" s="5">
        <v>0</v>
      </c>
      <c r="M33" s="5">
        <v>0</v>
      </c>
      <c r="N33" s="5">
        <v>0</v>
      </c>
      <c r="O33" s="5">
        <f t="shared" si="0"/>
        <v>0</v>
      </c>
    </row>
    <row r="34" spans="1:15" ht="18" customHeight="1" x14ac:dyDescent="0.3">
      <c r="A34" s="4">
        <v>29</v>
      </c>
      <c r="B34" s="5">
        <f>2053+20</f>
        <v>2073</v>
      </c>
      <c r="C34" s="5">
        <v>4</v>
      </c>
      <c r="D34" s="5">
        <v>995</v>
      </c>
      <c r="E34" s="5">
        <f>148+72</f>
        <v>220</v>
      </c>
      <c r="F34" s="5">
        <v>176</v>
      </c>
      <c r="G34" s="5">
        <v>272</v>
      </c>
      <c r="H34" s="5">
        <f t="shared" si="1"/>
        <v>3740</v>
      </c>
      <c r="I34" s="5">
        <v>0</v>
      </c>
      <c r="J34" s="9"/>
      <c r="K34" s="4">
        <v>29</v>
      </c>
      <c r="L34" s="5">
        <v>0</v>
      </c>
      <c r="M34" s="5">
        <v>6</v>
      </c>
      <c r="N34" s="5">
        <v>1</v>
      </c>
      <c r="O34" s="5">
        <f>SUM(L34:N34)</f>
        <v>7</v>
      </c>
    </row>
    <row r="35" spans="1:15" ht="18" customHeight="1" x14ac:dyDescent="0.3">
      <c r="A35" s="4">
        <v>30</v>
      </c>
      <c r="B35" s="5">
        <f>1868+27</f>
        <v>1895</v>
      </c>
      <c r="C35" s="5">
        <v>16</v>
      </c>
      <c r="D35" s="5">
        <v>1162</v>
      </c>
      <c r="E35" s="5">
        <f>170+78</f>
        <v>248</v>
      </c>
      <c r="F35" s="5">
        <v>184</v>
      </c>
      <c r="G35" s="5">
        <v>262</v>
      </c>
      <c r="H35" s="5">
        <f t="shared" si="1"/>
        <v>3767</v>
      </c>
      <c r="I35" s="5">
        <v>0</v>
      </c>
      <c r="J35" s="9"/>
      <c r="K35" s="4">
        <v>30</v>
      </c>
      <c r="L35" s="5">
        <v>1</v>
      </c>
      <c r="M35" s="5">
        <v>8</v>
      </c>
      <c r="N35" s="5">
        <v>0</v>
      </c>
      <c r="O35" s="5">
        <f>SUM(L35:N35)</f>
        <v>9</v>
      </c>
    </row>
    <row r="36" spans="1:15" ht="18" hidden="1" customHeight="1" x14ac:dyDescent="0.3">
      <c r="A36" s="4">
        <v>31</v>
      </c>
      <c r="B36" s="5"/>
      <c r="C36" s="5"/>
      <c r="D36" s="5"/>
      <c r="E36" s="5"/>
      <c r="F36" s="5"/>
      <c r="G36" s="5"/>
      <c r="H36" s="5">
        <f t="shared" si="1"/>
        <v>0</v>
      </c>
      <c r="I36" s="5">
        <v>0</v>
      </c>
      <c r="J36" s="9"/>
      <c r="K36" s="4">
        <v>31</v>
      </c>
      <c r="L36" s="5"/>
      <c r="M36" s="5"/>
      <c r="N36" s="5"/>
      <c r="O36" s="5">
        <f>SUM(L36:N36)</f>
        <v>0</v>
      </c>
    </row>
    <row r="37" spans="1:15" ht="18" customHeight="1" x14ac:dyDescent="0.3">
      <c r="A37" s="3" t="s">
        <v>19</v>
      </c>
      <c r="B37" s="14">
        <f>SUM(B6:B36)</f>
        <v>82535</v>
      </c>
      <c r="C37" s="14">
        <f t="shared" ref="C37:O37" si="2">SUM(C6:C36)</f>
        <v>175</v>
      </c>
      <c r="D37" s="14">
        <f t="shared" si="2"/>
        <v>32674</v>
      </c>
      <c r="E37" s="14">
        <f t="shared" si="2"/>
        <v>4699</v>
      </c>
      <c r="F37" s="14">
        <f t="shared" si="2"/>
        <v>5547</v>
      </c>
      <c r="G37" s="14">
        <f t="shared" si="2"/>
        <v>7165</v>
      </c>
      <c r="H37" s="14">
        <f t="shared" si="2"/>
        <v>132795</v>
      </c>
      <c r="I37" s="14">
        <f t="shared" si="2"/>
        <v>0</v>
      </c>
      <c r="J37" s="14"/>
      <c r="K37" s="14"/>
      <c r="L37" s="14">
        <f t="shared" si="2"/>
        <v>22</v>
      </c>
      <c r="M37" s="14">
        <f t="shared" si="2"/>
        <v>204</v>
      </c>
      <c r="N37" s="14">
        <f t="shared" si="2"/>
        <v>60</v>
      </c>
      <c r="O37" s="14">
        <f t="shared" si="2"/>
        <v>286</v>
      </c>
    </row>
    <row r="38" spans="1:15" ht="18" customHeight="1" x14ac:dyDescent="0.3">
      <c r="A38" s="3" t="s">
        <v>19</v>
      </c>
      <c r="B38" s="47">
        <f>+B37+C37</f>
        <v>82710</v>
      </c>
      <c r="C38" s="47"/>
      <c r="D38" s="14">
        <f>+D37</f>
        <v>32674</v>
      </c>
      <c r="E38" s="14">
        <f>+E37</f>
        <v>4699</v>
      </c>
      <c r="F38" s="14">
        <f>+F37</f>
        <v>5547</v>
      </c>
      <c r="G38" s="14">
        <f>+G37</f>
        <v>7165</v>
      </c>
      <c r="H38" s="14">
        <f>+H37</f>
        <v>132795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x14ac:dyDescent="0.3">
      <c r="A39" s="36"/>
      <c r="B39" s="37"/>
      <c r="C39" s="37"/>
      <c r="D39" s="37"/>
      <c r="E39" s="37"/>
      <c r="F39" s="37"/>
      <c r="G39" s="37"/>
      <c r="H39" s="37"/>
      <c r="I39" s="37"/>
      <c r="J39" s="35"/>
      <c r="K39" s="44"/>
      <c r="L39" s="38"/>
    </row>
    <row r="40" spans="1:15" x14ac:dyDescent="0.3">
      <c r="A40" s="30"/>
      <c r="H40" s="30"/>
      <c r="K40" s="44"/>
      <c r="L40" s="38"/>
    </row>
    <row r="41" spans="1:15" x14ac:dyDescent="0.3">
      <c r="K41" s="44"/>
      <c r="L41" s="38"/>
    </row>
    <row r="42" spans="1:15" x14ac:dyDescent="0.3">
      <c r="I42" s="30"/>
      <c r="J42" s="30"/>
    </row>
    <row r="44" spans="1:15" x14ac:dyDescent="0.3">
      <c r="A44" s="42"/>
    </row>
    <row r="45" spans="1:15" x14ac:dyDescent="0.3">
      <c r="A45" s="42"/>
      <c r="B45" s="30"/>
      <c r="C45" s="30"/>
      <c r="D45" s="30"/>
      <c r="E45" s="30"/>
      <c r="F45" s="30"/>
      <c r="G45" s="30"/>
      <c r="H45" s="30"/>
      <c r="I45" s="30"/>
      <c r="J45" s="30"/>
      <c r="K45" s="45"/>
      <c r="L45" s="30"/>
      <c r="M45" s="30"/>
      <c r="N45" s="30"/>
      <c r="O45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D689-31AC-464D-B5EE-606DEF044C98}">
  <dimension ref="A1:Y46"/>
  <sheetViews>
    <sheetView topLeftCell="A23" workbookViewId="0">
      <selection activeCell="Q5" sqref="Q5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8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s="27" customFormat="1" ht="15.6" x14ac:dyDescent="0.3">
      <c r="A3" s="49" t="s">
        <v>35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1953+25</f>
        <v>1978</v>
      </c>
      <c r="C6" s="5">
        <v>6</v>
      </c>
      <c r="D6" s="5">
        <v>1191</v>
      </c>
      <c r="E6" s="5">
        <v>181</v>
      </c>
      <c r="F6" s="5">
        <v>214</v>
      </c>
      <c r="G6" s="5">
        <v>302</v>
      </c>
      <c r="H6" s="5">
        <f>SUM(B6:G6)</f>
        <v>3872</v>
      </c>
      <c r="I6" s="5">
        <v>0</v>
      </c>
      <c r="J6" s="6"/>
      <c r="K6" s="4">
        <v>1</v>
      </c>
      <c r="L6" s="5">
        <v>0</v>
      </c>
      <c r="M6" s="5">
        <v>7</v>
      </c>
      <c r="N6" s="5">
        <v>0</v>
      </c>
      <c r="O6" s="5">
        <f>SUM(L6:N6)</f>
        <v>7</v>
      </c>
    </row>
    <row r="7" spans="1:18" ht="18" customHeight="1" x14ac:dyDescent="0.3">
      <c r="A7" s="4">
        <v>2</v>
      </c>
      <c r="B7" s="5">
        <f>2260+17</f>
        <v>2277</v>
      </c>
      <c r="C7" s="5">
        <v>8</v>
      </c>
      <c r="D7" s="5">
        <v>1203</v>
      </c>
      <c r="E7" s="5">
        <f>175+29</f>
        <v>204</v>
      </c>
      <c r="F7" s="5">
        <v>191</v>
      </c>
      <c r="G7" s="5">
        <v>277</v>
      </c>
      <c r="H7" s="5">
        <f>SUM(B7:G7)</f>
        <v>4160</v>
      </c>
      <c r="I7" s="5">
        <v>0</v>
      </c>
      <c r="J7" s="6"/>
      <c r="K7" s="4">
        <v>2</v>
      </c>
      <c r="L7" s="5">
        <v>0</v>
      </c>
      <c r="M7" s="5">
        <v>8</v>
      </c>
      <c r="N7" s="5">
        <v>6</v>
      </c>
      <c r="O7" s="5">
        <f t="shared" ref="O7:O33" si="0">SUM(L7:N7)</f>
        <v>14</v>
      </c>
    </row>
    <row r="8" spans="1:18" ht="18" customHeight="1" x14ac:dyDescent="0.3">
      <c r="A8" s="4">
        <v>3</v>
      </c>
      <c r="B8" s="5">
        <f>3758+19</f>
        <v>3777</v>
      </c>
      <c r="C8" s="5">
        <v>8</v>
      </c>
      <c r="D8" s="5">
        <v>1203</v>
      </c>
      <c r="E8" s="5">
        <v>157</v>
      </c>
      <c r="F8" s="5">
        <v>188</v>
      </c>
      <c r="G8" s="5">
        <v>238</v>
      </c>
      <c r="H8" s="5">
        <f t="shared" ref="H8:H36" si="1">SUM(B8:G8)</f>
        <v>5571</v>
      </c>
      <c r="I8" s="5">
        <v>0</v>
      </c>
      <c r="J8" s="6"/>
      <c r="K8" s="4">
        <v>3</v>
      </c>
      <c r="L8" s="5">
        <v>0</v>
      </c>
      <c r="M8" s="5">
        <v>7</v>
      </c>
      <c r="N8" s="5">
        <v>1</v>
      </c>
      <c r="O8" s="5">
        <f t="shared" si="0"/>
        <v>8</v>
      </c>
      <c r="R8" s="30"/>
    </row>
    <row r="9" spans="1:18" ht="18" customHeight="1" x14ac:dyDescent="0.3">
      <c r="A9" s="4">
        <v>4</v>
      </c>
      <c r="B9" s="5">
        <f>4431+14</f>
        <v>4445</v>
      </c>
      <c r="C9" s="5">
        <v>2</v>
      </c>
      <c r="D9" s="5">
        <v>1019</v>
      </c>
      <c r="E9" s="5">
        <v>109</v>
      </c>
      <c r="F9" s="5">
        <v>169</v>
      </c>
      <c r="G9" s="5">
        <v>214</v>
      </c>
      <c r="H9" s="5">
        <f t="shared" si="1"/>
        <v>5958</v>
      </c>
      <c r="I9" s="5">
        <v>0</v>
      </c>
      <c r="J9" s="6"/>
      <c r="K9" s="4">
        <v>4</v>
      </c>
      <c r="L9" s="5">
        <v>2</v>
      </c>
      <c r="M9" s="5">
        <v>5</v>
      </c>
      <c r="N9" s="5">
        <v>2</v>
      </c>
      <c r="O9" s="5">
        <f t="shared" si="0"/>
        <v>9</v>
      </c>
    </row>
    <row r="10" spans="1:18" ht="18" customHeight="1" x14ac:dyDescent="0.3">
      <c r="A10" s="4">
        <v>5</v>
      </c>
      <c r="B10" s="5">
        <f>5482+4</f>
        <v>5486</v>
      </c>
      <c r="C10" s="5">
        <v>4</v>
      </c>
      <c r="D10" s="5">
        <v>889</v>
      </c>
      <c r="E10" s="5">
        <v>99</v>
      </c>
      <c r="F10" s="5">
        <v>92</v>
      </c>
      <c r="G10" s="5">
        <v>200</v>
      </c>
      <c r="H10" s="5">
        <f t="shared" si="1"/>
        <v>6770</v>
      </c>
      <c r="I10" s="5">
        <v>0</v>
      </c>
      <c r="J10" s="6"/>
      <c r="K10" s="4">
        <v>5</v>
      </c>
      <c r="L10" s="5">
        <v>0</v>
      </c>
      <c r="M10" s="5">
        <v>4</v>
      </c>
      <c r="N10" s="5">
        <v>0</v>
      </c>
      <c r="O10" s="5">
        <f t="shared" si="0"/>
        <v>4</v>
      </c>
    </row>
    <row r="11" spans="1:18" ht="18" customHeight="1" x14ac:dyDescent="0.3">
      <c r="A11" s="4">
        <v>6</v>
      </c>
      <c r="B11" s="5">
        <f>2846+20</f>
        <v>2866</v>
      </c>
      <c r="C11" s="5">
        <v>8</v>
      </c>
      <c r="D11" s="5">
        <v>1087</v>
      </c>
      <c r="E11" s="5">
        <v>165</v>
      </c>
      <c r="F11" s="5">
        <v>182</v>
      </c>
      <c r="G11" s="5">
        <v>242</v>
      </c>
      <c r="H11" s="5">
        <f t="shared" si="1"/>
        <v>4550</v>
      </c>
      <c r="I11" s="5">
        <v>0</v>
      </c>
      <c r="J11" s="6"/>
      <c r="K11" s="4">
        <v>6</v>
      </c>
      <c r="L11" s="5">
        <v>4</v>
      </c>
      <c r="M11" s="5">
        <v>9</v>
      </c>
      <c r="N11" s="5">
        <v>0</v>
      </c>
      <c r="O11" s="5">
        <f t="shared" si="0"/>
        <v>13</v>
      </c>
    </row>
    <row r="12" spans="1:18" ht="18" customHeight="1" x14ac:dyDescent="0.3">
      <c r="A12" s="4">
        <v>7</v>
      </c>
      <c r="B12" s="5">
        <f>2804+19</f>
        <v>2823</v>
      </c>
      <c r="C12" s="5">
        <v>4</v>
      </c>
      <c r="D12" s="5">
        <v>1230</v>
      </c>
      <c r="E12" s="5">
        <v>148</v>
      </c>
      <c r="F12" s="5">
        <v>196</v>
      </c>
      <c r="G12" s="5">
        <v>269</v>
      </c>
      <c r="H12" s="5">
        <f t="shared" si="1"/>
        <v>4670</v>
      </c>
      <c r="I12" s="5">
        <v>0</v>
      </c>
      <c r="J12" s="9"/>
      <c r="K12" s="4">
        <v>7</v>
      </c>
      <c r="L12" s="5">
        <v>1</v>
      </c>
      <c r="M12" s="5">
        <v>6</v>
      </c>
      <c r="N12" s="5">
        <v>0</v>
      </c>
      <c r="O12" s="5">
        <f t="shared" si="0"/>
        <v>7</v>
      </c>
    </row>
    <row r="13" spans="1:18" ht="18" customHeight="1" x14ac:dyDescent="0.3">
      <c r="A13" s="4">
        <v>8</v>
      </c>
      <c r="B13" s="5">
        <f>3229+26</f>
        <v>3255</v>
      </c>
      <c r="C13" s="5">
        <v>6</v>
      </c>
      <c r="D13" s="5">
        <v>1229</v>
      </c>
      <c r="E13" s="5">
        <v>187</v>
      </c>
      <c r="F13" s="5">
        <v>220</v>
      </c>
      <c r="G13" s="5">
        <v>276</v>
      </c>
      <c r="H13" s="5">
        <f t="shared" si="1"/>
        <v>5173</v>
      </c>
      <c r="I13" s="5">
        <v>0</v>
      </c>
      <c r="J13" s="9"/>
      <c r="K13" s="4">
        <v>8</v>
      </c>
      <c r="L13" s="5">
        <v>1</v>
      </c>
      <c r="M13" s="5">
        <v>7</v>
      </c>
      <c r="N13" s="5">
        <v>4</v>
      </c>
      <c r="O13" s="5">
        <f t="shared" si="0"/>
        <v>12</v>
      </c>
    </row>
    <row r="14" spans="1:18" s="32" customFormat="1" ht="18" customHeight="1" x14ac:dyDescent="0.3">
      <c r="A14" s="4">
        <v>9</v>
      </c>
      <c r="B14" s="5">
        <f>3854+18</f>
        <v>3872</v>
      </c>
      <c r="C14" s="5">
        <v>4</v>
      </c>
      <c r="D14" s="5">
        <v>1264</v>
      </c>
      <c r="E14" s="5">
        <v>189</v>
      </c>
      <c r="F14" s="5">
        <v>212</v>
      </c>
      <c r="G14" s="5">
        <v>270</v>
      </c>
      <c r="H14" s="5">
        <f t="shared" si="1"/>
        <v>5811</v>
      </c>
      <c r="I14" s="5">
        <v>0</v>
      </c>
      <c r="J14" s="9"/>
      <c r="K14" s="4">
        <v>9</v>
      </c>
      <c r="L14" s="5">
        <v>2</v>
      </c>
      <c r="M14" s="5">
        <v>12</v>
      </c>
      <c r="N14" s="5">
        <v>2</v>
      </c>
      <c r="O14" s="5">
        <f t="shared" si="0"/>
        <v>16</v>
      </c>
    </row>
    <row r="15" spans="1:18" ht="18" customHeight="1" x14ac:dyDescent="0.3">
      <c r="A15" s="4">
        <v>10</v>
      </c>
      <c r="B15" s="5">
        <f>6700+25</f>
        <v>6725</v>
      </c>
      <c r="C15" s="5">
        <v>6</v>
      </c>
      <c r="D15" s="5">
        <v>1434</v>
      </c>
      <c r="E15" s="5">
        <v>171</v>
      </c>
      <c r="F15" s="5">
        <v>201</v>
      </c>
      <c r="G15" s="5">
        <v>284</v>
      </c>
      <c r="H15" s="5">
        <f t="shared" si="1"/>
        <v>8821</v>
      </c>
      <c r="I15" s="5">
        <v>0</v>
      </c>
      <c r="J15" s="9"/>
      <c r="K15" s="4">
        <v>10</v>
      </c>
      <c r="L15" s="5">
        <v>0</v>
      </c>
      <c r="M15" s="5">
        <v>10</v>
      </c>
      <c r="N15" s="5">
        <v>0</v>
      </c>
      <c r="O15" s="5">
        <f t="shared" si="0"/>
        <v>10</v>
      </c>
    </row>
    <row r="16" spans="1:18" ht="18" customHeight="1" x14ac:dyDescent="0.3">
      <c r="A16" s="4">
        <v>11</v>
      </c>
      <c r="B16" s="5">
        <f>7870+19</f>
        <v>7889</v>
      </c>
      <c r="C16" s="5">
        <v>2</v>
      </c>
      <c r="D16" s="5">
        <v>959</v>
      </c>
      <c r="E16" s="5">
        <v>61</v>
      </c>
      <c r="F16" s="5">
        <v>108</v>
      </c>
      <c r="G16" s="5">
        <v>107</v>
      </c>
      <c r="H16" s="5">
        <f t="shared" si="1"/>
        <v>9126</v>
      </c>
      <c r="I16" s="5">
        <v>0</v>
      </c>
      <c r="J16" s="9"/>
      <c r="K16" s="4">
        <v>11</v>
      </c>
      <c r="L16" s="5">
        <v>0</v>
      </c>
      <c r="M16" s="5">
        <v>6</v>
      </c>
      <c r="N16" s="5">
        <v>0</v>
      </c>
      <c r="O16" s="5">
        <f t="shared" si="0"/>
        <v>6</v>
      </c>
    </row>
    <row r="17" spans="1:25" ht="18" customHeight="1" x14ac:dyDescent="0.3">
      <c r="A17" s="4">
        <v>12</v>
      </c>
      <c r="B17" s="5">
        <f>8234+5</f>
        <v>8239</v>
      </c>
      <c r="C17" s="5">
        <v>4</v>
      </c>
      <c r="D17" s="5">
        <v>947</v>
      </c>
      <c r="E17" s="5">
        <v>97</v>
      </c>
      <c r="F17" s="5">
        <v>131</v>
      </c>
      <c r="G17" s="5">
        <v>192</v>
      </c>
      <c r="H17" s="5">
        <f t="shared" si="1"/>
        <v>9610</v>
      </c>
      <c r="I17" s="5">
        <v>0</v>
      </c>
      <c r="J17" s="9"/>
      <c r="K17" s="4">
        <v>12</v>
      </c>
      <c r="L17" s="5">
        <v>0</v>
      </c>
      <c r="M17" s="5">
        <v>4</v>
      </c>
      <c r="N17" s="5">
        <v>0</v>
      </c>
      <c r="O17" s="5">
        <f t="shared" si="0"/>
        <v>4</v>
      </c>
    </row>
    <row r="18" spans="1:25" ht="18" customHeight="1" x14ac:dyDescent="0.3">
      <c r="A18" s="4">
        <v>13</v>
      </c>
      <c r="B18" s="5">
        <f>12645+12</f>
        <v>12657</v>
      </c>
      <c r="C18" s="5">
        <v>2</v>
      </c>
      <c r="D18" s="5">
        <v>829</v>
      </c>
      <c r="E18" s="5">
        <v>48</v>
      </c>
      <c r="F18" s="5">
        <v>47</v>
      </c>
      <c r="G18" s="5">
        <v>69</v>
      </c>
      <c r="H18" s="5">
        <f t="shared" si="1"/>
        <v>13652</v>
      </c>
      <c r="I18" s="5">
        <v>0</v>
      </c>
      <c r="J18" s="9"/>
      <c r="K18" s="4">
        <v>13</v>
      </c>
      <c r="L18" s="5">
        <v>0</v>
      </c>
      <c r="M18" s="5">
        <v>2</v>
      </c>
      <c r="N18" s="5">
        <v>0</v>
      </c>
      <c r="O18" s="5">
        <f t="shared" si="0"/>
        <v>2</v>
      </c>
    </row>
    <row r="19" spans="1:25" ht="18" customHeight="1" x14ac:dyDescent="0.3">
      <c r="A19" s="4">
        <v>14</v>
      </c>
      <c r="B19" s="5">
        <f>2620+12</f>
        <v>2632</v>
      </c>
      <c r="C19" s="5">
        <v>6</v>
      </c>
      <c r="D19" s="5">
        <v>1179</v>
      </c>
      <c r="E19" s="5">
        <v>185</v>
      </c>
      <c r="F19" s="5">
        <v>165</v>
      </c>
      <c r="G19" s="5">
        <v>260</v>
      </c>
      <c r="H19" s="5">
        <f t="shared" si="1"/>
        <v>4427</v>
      </c>
      <c r="I19" s="5">
        <v>0</v>
      </c>
      <c r="J19" s="9"/>
      <c r="K19" s="4">
        <v>14</v>
      </c>
      <c r="L19" s="5">
        <v>0</v>
      </c>
      <c r="M19" s="5">
        <v>9</v>
      </c>
      <c r="N19" s="5">
        <v>0</v>
      </c>
      <c r="O19" s="5">
        <f t="shared" si="0"/>
        <v>9</v>
      </c>
    </row>
    <row r="20" spans="1:25" ht="18" customHeight="1" x14ac:dyDescent="0.3">
      <c r="A20" s="4">
        <v>15</v>
      </c>
      <c r="B20" s="5">
        <f>2223+19</f>
        <v>2242</v>
      </c>
      <c r="C20" s="5">
        <v>4</v>
      </c>
      <c r="D20" s="5">
        <v>1210</v>
      </c>
      <c r="E20" s="5">
        <v>154</v>
      </c>
      <c r="F20" s="5">
        <v>198</v>
      </c>
      <c r="G20" s="5">
        <v>258</v>
      </c>
      <c r="H20" s="5">
        <f t="shared" si="1"/>
        <v>4066</v>
      </c>
      <c r="I20" s="5">
        <v>0</v>
      </c>
      <c r="J20" s="9"/>
      <c r="K20" s="4">
        <v>15</v>
      </c>
      <c r="L20" s="5">
        <v>2</v>
      </c>
      <c r="M20" s="5">
        <v>15</v>
      </c>
      <c r="N20" s="5">
        <v>3</v>
      </c>
      <c r="O20" s="5">
        <f t="shared" si="0"/>
        <v>20</v>
      </c>
    </row>
    <row r="21" spans="1:25" ht="18" customHeight="1" x14ac:dyDescent="0.3">
      <c r="A21" s="4">
        <v>16</v>
      </c>
      <c r="B21" s="5">
        <f>2273+30</f>
        <v>2303</v>
      </c>
      <c r="C21" s="5">
        <v>10</v>
      </c>
      <c r="D21" s="5">
        <v>1270</v>
      </c>
      <c r="E21" s="5">
        <v>214</v>
      </c>
      <c r="F21" s="5">
        <v>231</v>
      </c>
      <c r="G21" s="5">
        <v>302</v>
      </c>
      <c r="H21" s="5">
        <f t="shared" si="1"/>
        <v>4330</v>
      </c>
      <c r="I21" s="5">
        <v>0</v>
      </c>
      <c r="J21" s="9"/>
      <c r="K21" s="4">
        <v>16</v>
      </c>
      <c r="L21" s="5">
        <v>0</v>
      </c>
      <c r="M21" s="5">
        <v>20</v>
      </c>
      <c r="N21" s="5">
        <v>2</v>
      </c>
      <c r="O21" s="5">
        <f t="shared" si="0"/>
        <v>22</v>
      </c>
    </row>
    <row r="22" spans="1:25" ht="18" customHeight="1" x14ac:dyDescent="0.3">
      <c r="A22" s="4">
        <v>17</v>
      </c>
      <c r="B22" s="5">
        <f>2855+23</f>
        <v>2878</v>
      </c>
      <c r="C22" s="5">
        <v>10</v>
      </c>
      <c r="D22" s="5">
        <v>1233</v>
      </c>
      <c r="E22" s="5">
        <v>184</v>
      </c>
      <c r="F22" s="5">
        <v>188</v>
      </c>
      <c r="G22" s="5">
        <v>286</v>
      </c>
      <c r="H22" s="5">
        <f>SUM(B22:G22)</f>
        <v>4779</v>
      </c>
      <c r="I22" s="5">
        <v>0</v>
      </c>
      <c r="J22" s="9"/>
      <c r="K22" s="4">
        <v>17</v>
      </c>
      <c r="L22" s="5">
        <v>3</v>
      </c>
      <c r="M22" s="5">
        <v>2</v>
      </c>
      <c r="N22" s="5">
        <v>1</v>
      </c>
      <c r="O22" s="5">
        <f t="shared" si="0"/>
        <v>6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f>3121+17</f>
        <v>3138</v>
      </c>
      <c r="C23" s="5">
        <v>4</v>
      </c>
      <c r="D23" s="5">
        <v>1105</v>
      </c>
      <c r="E23" s="5">
        <v>149</v>
      </c>
      <c r="F23" s="5">
        <v>204</v>
      </c>
      <c r="G23" s="5">
        <v>252</v>
      </c>
      <c r="H23" s="5">
        <f t="shared" si="1"/>
        <v>4852</v>
      </c>
      <c r="I23" s="5">
        <v>0</v>
      </c>
      <c r="J23" s="9"/>
      <c r="K23" s="4">
        <v>18</v>
      </c>
      <c r="L23" s="5">
        <v>0</v>
      </c>
      <c r="M23" s="5">
        <v>5</v>
      </c>
      <c r="N23" s="5">
        <v>1</v>
      </c>
      <c r="O23" s="5">
        <f t="shared" si="0"/>
        <v>6</v>
      </c>
    </row>
    <row r="24" spans="1:25" ht="18" customHeight="1" x14ac:dyDescent="0.3">
      <c r="A24" s="4">
        <v>19</v>
      </c>
      <c r="B24" s="5">
        <f>4192+7</f>
        <v>4199</v>
      </c>
      <c r="C24" s="5">
        <v>6</v>
      </c>
      <c r="D24" s="5">
        <v>913</v>
      </c>
      <c r="E24" s="5">
        <v>105</v>
      </c>
      <c r="F24" s="5">
        <v>109</v>
      </c>
      <c r="G24" s="5">
        <v>183</v>
      </c>
      <c r="H24" s="5">
        <f t="shared" si="1"/>
        <v>5515</v>
      </c>
      <c r="I24" s="5">
        <v>0</v>
      </c>
      <c r="J24" s="9"/>
      <c r="K24" s="4">
        <v>19</v>
      </c>
      <c r="L24" s="5">
        <v>0</v>
      </c>
      <c r="M24" s="5">
        <v>2</v>
      </c>
      <c r="N24" s="5">
        <v>0</v>
      </c>
      <c r="O24" s="5">
        <f t="shared" si="0"/>
        <v>2</v>
      </c>
    </row>
    <row r="25" spans="1:25" ht="18" customHeight="1" x14ac:dyDescent="0.3">
      <c r="A25" s="4">
        <v>20</v>
      </c>
      <c r="B25" s="5">
        <f>2004+17</f>
        <v>2021</v>
      </c>
      <c r="C25" s="5">
        <v>12</v>
      </c>
      <c r="D25" s="5">
        <v>1032</v>
      </c>
      <c r="E25" s="5">
        <v>160</v>
      </c>
      <c r="F25" s="5">
        <v>179</v>
      </c>
      <c r="G25" s="5">
        <v>261</v>
      </c>
      <c r="H25" s="5">
        <f>SUM(B25:G25)</f>
        <v>3665</v>
      </c>
      <c r="I25" s="5">
        <v>0</v>
      </c>
      <c r="J25" s="9"/>
      <c r="K25" s="4">
        <v>20</v>
      </c>
      <c r="L25" s="5">
        <v>0</v>
      </c>
      <c r="M25" s="5">
        <v>6</v>
      </c>
      <c r="N25" s="5">
        <v>2</v>
      </c>
      <c r="O25" s="5">
        <f t="shared" si="0"/>
        <v>8</v>
      </c>
    </row>
    <row r="26" spans="1:25" ht="18" customHeight="1" x14ac:dyDescent="0.3">
      <c r="A26" s="4">
        <v>21</v>
      </c>
      <c r="B26" s="5">
        <f>1982+31</f>
        <v>2013</v>
      </c>
      <c r="C26" s="5">
        <v>2</v>
      </c>
      <c r="D26" s="5">
        <v>1211</v>
      </c>
      <c r="E26" s="5">
        <v>188</v>
      </c>
      <c r="F26" s="5">
        <v>183</v>
      </c>
      <c r="G26" s="5">
        <v>260</v>
      </c>
      <c r="H26" s="5">
        <f>SUM(B26:G26)</f>
        <v>3857</v>
      </c>
      <c r="I26" s="5">
        <v>0</v>
      </c>
      <c r="J26" s="9"/>
      <c r="K26" s="4">
        <v>21</v>
      </c>
      <c r="L26" s="5">
        <v>0</v>
      </c>
      <c r="M26" s="5">
        <v>16</v>
      </c>
      <c r="N26" s="5">
        <v>2</v>
      </c>
      <c r="O26" s="5">
        <f t="shared" si="0"/>
        <v>18</v>
      </c>
    </row>
    <row r="27" spans="1:25" ht="18" customHeight="1" x14ac:dyDescent="0.3">
      <c r="A27" s="4">
        <v>22</v>
      </c>
      <c r="B27" s="5">
        <f>2039+26</f>
        <v>2065</v>
      </c>
      <c r="C27" s="5">
        <v>2</v>
      </c>
      <c r="D27" s="5">
        <v>1137</v>
      </c>
      <c r="E27" s="5">
        <v>181</v>
      </c>
      <c r="F27" s="5">
        <v>192</v>
      </c>
      <c r="G27" s="5">
        <v>268</v>
      </c>
      <c r="H27" s="5">
        <f t="shared" si="1"/>
        <v>3845</v>
      </c>
      <c r="I27" s="5">
        <v>0</v>
      </c>
      <c r="J27" s="9"/>
      <c r="K27" s="4">
        <v>22</v>
      </c>
      <c r="L27" s="5">
        <v>0</v>
      </c>
      <c r="M27" s="5">
        <v>2</v>
      </c>
      <c r="N27" s="5">
        <v>2</v>
      </c>
      <c r="O27" s="5">
        <f t="shared" si="0"/>
        <v>4</v>
      </c>
    </row>
    <row r="28" spans="1:25" ht="18" customHeight="1" x14ac:dyDescent="0.3">
      <c r="A28" s="4">
        <v>23</v>
      </c>
      <c r="B28" s="5">
        <f>2128+28</f>
        <v>2156</v>
      </c>
      <c r="C28" s="5">
        <v>0</v>
      </c>
      <c r="D28" s="5">
        <v>1253</v>
      </c>
      <c r="E28" s="5">
        <v>159</v>
      </c>
      <c r="F28" s="5">
        <v>217</v>
      </c>
      <c r="G28" s="5">
        <v>275</v>
      </c>
      <c r="H28" s="5">
        <f t="shared" si="1"/>
        <v>4060</v>
      </c>
      <c r="I28" s="5">
        <v>0</v>
      </c>
      <c r="J28" s="9"/>
      <c r="K28" s="4">
        <v>23</v>
      </c>
      <c r="L28" s="5">
        <v>1</v>
      </c>
      <c r="M28" s="5">
        <v>9</v>
      </c>
      <c r="N28" s="5">
        <v>0</v>
      </c>
      <c r="O28" s="5">
        <f t="shared" si="0"/>
        <v>10</v>
      </c>
    </row>
    <row r="29" spans="1:25" ht="18" customHeight="1" x14ac:dyDescent="0.3">
      <c r="A29" s="4">
        <v>24</v>
      </c>
      <c r="B29" s="5">
        <f>2848+15</f>
        <v>2863</v>
      </c>
      <c r="C29" s="5">
        <v>6</v>
      </c>
      <c r="D29" s="5">
        <v>1242</v>
      </c>
      <c r="E29" s="5">
        <v>173</v>
      </c>
      <c r="F29" s="5">
        <v>176</v>
      </c>
      <c r="G29" s="5">
        <v>283</v>
      </c>
      <c r="H29" s="5">
        <f t="shared" si="1"/>
        <v>4743</v>
      </c>
      <c r="I29" s="5">
        <v>0</v>
      </c>
      <c r="J29" s="9"/>
      <c r="K29" s="4">
        <v>24</v>
      </c>
      <c r="L29" s="5">
        <v>1</v>
      </c>
      <c r="M29" s="5">
        <v>11</v>
      </c>
      <c r="N29" s="5">
        <v>0</v>
      </c>
      <c r="O29" s="5">
        <f t="shared" si="0"/>
        <v>12</v>
      </c>
    </row>
    <row r="30" spans="1:25" ht="18" customHeight="1" x14ac:dyDescent="0.3">
      <c r="A30" s="4">
        <v>25</v>
      </c>
      <c r="B30" s="5">
        <f>2967+18</f>
        <v>2985</v>
      </c>
      <c r="C30" s="5">
        <v>4</v>
      </c>
      <c r="D30" s="5">
        <v>1002</v>
      </c>
      <c r="E30" s="5">
        <v>133</v>
      </c>
      <c r="F30" s="5">
        <v>151</v>
      </c>
      <c r="G30" s="5">
        <v>196</v>
      </c>
      <c r="H30" s="5">
        <f t="shared" si="1"/>
        <v>4471</v>
      </c>
      <c r="I30" s="5">
        <v>0</v>
      </c>
      <c r="J30" s="9"/>
      <c r="K30" s="4">
        <v>25</v>
      </c>
      <c r="L30" s="5">
        <v>1</v>
      </c>
      <c r="M30" s="5">
        <v>6</v>
      </c>
      <c r="N30" s="5">
        <v>4</v>
      </c>
      <c r="O30" s="5">
        <f t="shared" si="0"/>
        <v>11</v>
      </c>
    </row>
    <row r="31" spans="1:25" ht="18" customHeight="1" x14ac:dyDescent="0.3">
      <c r="A31" s="4">
        <v>26</v>
      </c>
      <c r="B31" s="5">
        <f>4111+6</f>
        <v>4117</v>
      </c>
      <c r="C31" s="5">
        <v>6</v>
      </c>
      <c r="D31" s="5">
        <v>844</v>
      </c>
      <c r="E31" s="5">
        <v>92</v>
      </c>
      <c r="F31" s="5">
        <v>124</v>
      </c>
      <c r="G31" s="5">
        <v>205</v>
      </c>
      <c r="H31" s="5">
        <f t="shared" si="1"/>
        <v>5388</v>
      </c>
      <c r="I31" s="5">
        <v>0</v>
      </c>
      <c r="J31" s="9"/>
      <c r="K31" s="4">
        <v>26</v>
      </c>
      <c r="L31" s="5">
        <v>0</v>
      </c>
      <c r="M31" s="5">
        <v>1</v>
      </c>
      <c r="N31" s="5">
        <v>0</v>
      </c>
      <c r="O31" s="5">
        <f t="shared" si="0"/>
        <v>1</v>
      </c>
    </row>
    <row r="32" spans="1:25" ht="18" customHeight="1" x14ac:dyDescent="0.3">
      <c r="A32" s="4">
        <v>27</v>
      </c>
      <c r="B32" s="5">
        <f>1948+14</f>
        <v>1962</v>
      </c>
      <c r="C32" s="5">
        <v>4</v>
      </c>
      <c r="D32" s="5">
        <v>1034</v>
      </c>
      <c r="E32" s="5">
        <v>144</v>
      </c>
      <c r="F32" s="5">
        <v>174</v>
      </c>
      <c r="G32" s="5">
        <v>277</v>
      </c>
      <c r="H32" s="5">
        <f t="shared" si="1"/>
        <v>3595</v>
      </c>
      <c r="I32" s="5">
        <v>0</v>
      </c>
      <c r="J32" s="9"/>
      <c r="K32" s="4">
        <v>27</v>
      </c>
      <c r="L32" s="5">
        <v>1</v>
      </c>
      <c r="M32" s="5">
        <v>11</v>
      </c>
      <c r="N32" s="5">
        <v>1</v>
      </c>
      <c r="O32" s="5">
        <f t="shared" si="0"/>
        <v>13</v>
      </c>
    </row>
    <row r="33" spans="1:15" ht="18" customHeight="1" x14ac:dyDescent="0.3">
      <c r="A33" s="4">
        <v>28</v>
      </c>
      <c r="B33" s="5">
        <f>1903+22</f>
        <v>1925</v>
      </c>
      <c r="C33" s="5">
        <v>4</v>
      </c>
      <c r="D33" s="5">
        <v>1177</v>
      </c>
      <c r="E33" s="5">
        <v>148</v>
      </c>
      <c r="F33" s="5">
        <v>186</v>
      </c>
      <c r="G33" s="5">
        <v>236</v>
      </c>
      <c r="H33" s="5">
        <f t="shared" si="1"/>
        <v>3676</v>
      </c>
      <c r="I33" s="5">
        <v>0</v>
      </c>
      <c r="J33" s="9"/>
      <c r="K33" s="4">
        <v>28</v>
      </c>
      <c r="L33" s="5">
        <v>1</v>
      </c>
      <c r="M33" s="5">
        <v>9</v>
      </c>
      <c r="N33" s="5">
        <v>2</v>
      </c>
      <c r="O33" s="5">
        <f t="shared" si="0"/>
        <v>12</v>
      </c>
    </row>
    <row r="34" spans="1:15" ht="18" customHeight="1" x14ac:dyDescent="0.3">
      <c r="A34" s="4">
        <v>29</v>
      </c>
      <c r="B34" s="5">
        <f>2000+32</f>
        <v>2032</v>
      </c>
      <c r="C34" s="5">
        <v>4</v>
      </c>
      <c r="D34" s="5">
        <v>1321</v>
      </c>
      <c r="E34" s="5">
        <v>229</v>
      </c>
      <c r="F34" s="5">
        <v>222</v>
      </c>
      <c r="G34" s="5">
        <v>310</v>
      </c>
      <c r="H34" s="5">
        <f t="shared" si="1"/>
        <v>4118</v>
      </c>
      <c r="I34" s="5">
        <v>0</v>
      </c>
      <c r="J34" s="9"/>
      <c r="K34" s="4">
        <v>29</v>
      </c>
      <c r="L34" s="5">
        <v>1</v>
      </c>
      <c r="M34" s="5">
        <v>5</v>
      </c>
      <c r="N34" s="5">
        <v>3</v>
      </c>
      <c r="O34" s="5">
        <f>SUM(L34:N34)</f>
        <v>9</v>
      </c>
    </row>
    <row r="35" spans="1:15" ht="18" customHeight="1" x14ac:dyDescent="0.3">
      <c r="A35" s="4">
        <v>30</v>
      </c>
      <c r="B35" s="5">
        <f>2348+30</f>
        <v>2378</v>
      </c>
      <c r="C35" s="5">
        <v>10</v>
      </c>
      <c r="D35" s="5">
        <v>1303</v>
      </c>
      <c r="E35" s="5">
        <v>167</v>
      </c>
      <c r="F35" s="5">
        <v>221</v>
      </c>
      <c r="G35" s="5">
        <v>266</v>
      </c>
      <c r="H35" s="5">
        <f t="shared" si="1"/>
        <v>4345</v>
      </c>
      <c r="I35" s="5">
        <v>0</v>
      </c>
      <c r="J35" s="9"/>
      <c r="K35" s="4">
        <v>30</v>
      </c>
      <c r="L35" s="5">
        <v>0</v>
      </c>
      <c r="M35" s="5">
        <v>17</v>
      </c>
      <c r="N35" s="5">
        <v>3</v>
      </c>
      <c r="O35" s="5">
        <f>SUM(L35:N35)</f>
        <v>20</v>
      </c>
    </row>
    <row r="36" spans="1:15" ht="18" customHeight="1" x14ac:dyDescent="0.3">
      <c r="A36" s="4">
        <v>31</v>
      </c>
      <c r="B36" s="5">
        <f>4238+28</f>
        <v>4266</v>
      </c>
      <c r="C36" s="5">
        <v>12</v>
      </c>
      <c r="D36" s="5">
        <v>1151</v>
      </c>
      <c r="E36" s="5">
        <v>174</v>
      </c>
      <c r="F36" s="5">
        <v>204</v>
      </c>
      <c r="G36" s="5">
        <v>268</v>
      </c>
      <c r="H36" s="5">
        <f t="shared" si="1"/>
        <v>6075</v>
      </c>
      <c r="I36" s="5">
        <v>0</v>
      </c>
      <c r="J36" s="9"/>
      <c r="K36" s="4">
        <v>31</v>
      </c>
      <c r="L36" s="5">
        <v>0</v>
      </c>
      <c r="M36" s="5">
        <v>7</v>
      </c>
      <c r="N36" s="5">
        <v>2</v>
      </c>
      <c r="O36" s="5">
        <f>SUM(L36:N36)</f>
        <v>9</v>
      </c>
    </row>
    <row r="37" spans="1:15" ht="18" customHeight="1" x14ac:dyDescent="0.3">
      <c r="A37" s="3" t="s">
        <v>19</v>
      </c>
      <c r="B37" s="14">
        <f>SUM(B6:B36)</f>
        <v>114464</v>
      </c>
      <c r="C37" s="14">
        <f t="shared" ref="C37:O37" si="2">SUM(C6:C36)</f>
        <v>170</v>
      </c>
      <c r="D37" s="14">
        <f t="shared" si="2"/>
        <v>35101</v>
      </c>
      <c r="E37" s="14">
        <f t="shared" si="2"/>
        <v>4755</v>
      </c>
      <c r="F37" s="14">
        <f t="shared" si="2"/>
        <v>5475</v>
      </c>
      <c r="G37" s="14">
        <f t="shared" si="2"/>
        <v>7586</v>
      </c>
      <c r="H37" s="14">
        <f t="shared" si="2"/>
        <v>167551</v>
      </c>
      <c r="I37" s="14">
        <f t="shared" si="2"/>
        <v>0</v>
      </c>
      <c r="J37" s="14"/>
      <c r="K37" s="14"/>
      <c r="L37" s="14">
        <f t="shared" si="2"/>
        <v>21</v>
      </c>
      <c r="M37" s="14">
        <f t="shared" si="2"/>
        <v>240</v>
      </c>
      <c r="N37" s="14">
        <f t="shared" si="2"/>
        <v>43</v>
      </c>
      <c r="O37" s="14">
        <f t="shared" si="2"/>
        <v>304</v>
      </c>
    </row>
    <row r="38" spans="1:15" ht="18" customHeight="1" x14ac:dyDescent="0.3">
      <c r="A38" s="3" t="s">
        <v>19</v>
      </c>
      <c r="B38" s="47">
        <f>+B37+C37</f>
        <v>114634</v>
      </c>
      <c r="C38" s="47"/>
      <c r="D38" s="14">
        <f>+D37</f>
        <v>35101</v>
      </c>
      <c r="E38" s="14">
        <f>+E37</f>
        <v>4755</v>
      </c>
      <c r="F38" s="14">
        <f>+F37</f>
        <v>5475</v>
      </c>
      <c r="G38" s="14">
        <f>+G37</f>
        <v>7586</v>
      </c>
      <c r="H38" s="14">
        <f>+H37</f>
        <v>167551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ht="18" customHeight="1" x14ac:dyDescent="0.3">
      <c r="A39" s="17"/>
      <c r="B39" s="34"/>
      <c r="C39" s="34"/>
      <c r="D39" s="34"/>
      <c r="E39" s="34"/>
      <c r="F39" s="34"/>
      <c r="G39" s="34"/>
      <c r="H39" s="34"/>
      <c r="L39" s="35"/>
    </row>
    <row r="40" spans="1:15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44"/>
      <c r="L40" s="38"/>
    </row>
    <row r="41" spans="1:15" x14ac:dyDescent="0.3">
      <c r="A41" s="30"/>
      <c r="H41" s="30"/>
      <c r="K41" s="44"/>
      <c r="L41" s="38"/>
    </row>
    <row r="42" spans="1:15" x14ac:dyDescent="0.3">
      <c r="K42" s="44"/>
      <c r="L42" s="38"/>
    </row>
    <row r="43" spans="1:15" x14ac:dyDescent="0.3">
      <c r="I43" s="30"/>
      <c r="J43" s="30"/>
    </row>
    <row r="45" spans="1:15" x14ac:dyDescent="0.3">
      <c r="A45" s="42"/>
    </row>
    <row r="46" spans="1:15" x14ac:dyDescent="0.3">
      <c r="A46" s="42"/>
      <c r="B46" s="30"/>
      <c r="C46" s="30"/>
      <c r="D46" s="30"/>
      <c r="E46" s="30"/>
      <c r="F46" s="30"/>
      <c r="G46" s="30"/>
      <c r="H46" s="30"/>
      <c r="I46" s="30"/>
      <c r="J46" s="30"/>
      <c r="K46" s="45"/>
      <c r="L46" s="30"/>
      <c r="M46" s="30"/>
      <c r="N46" s="30"/>
      <c r="O46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CBB1-B427-4189-A50E-79C1FF10750E}">
  <dimension ref="A1:X46"/>
  <sheetViews>
    <sheetView topLeftCell="A21" workbookViewId="0">
      <selection activeCell="Q7" sqref="Q7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7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7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7" s="27" customFormat="1" ht="15.6" x14ac:dyDescent="0.3">
      <c r="A3" s="49" t="s">
        <v>36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7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7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7" ht="18" customHeight="1" x14ac:dyDescent="0.3">
      <c r="A6" s="4">
        <v>1</v>
      </c>
      <c r="B6" s="5">
        <f>5842+22</f>
        <v>5864</v>
      </c>
      <c r="C6" s="5">
        <v>4</v>
      </c>
      <c r="D6" s="5">
        <v>936</v>
      </c>
      <c r="E6" s="5">
        <v>79</v>
      </c>
      <c r="F6" s="5">
        <v>135</v>
      </c>
      <c r="G6" s="5">
        <v>167</v>
      </c>
      <c r="H6" s="5">
        <f>SUM(B6:G6)</f>
        <v>7185</v>
      </c>
      <c r="I6" s="5">
        <v>0</v>
      </c>
      <c r="J6" s="6"/>
      <c r="K6" s="4">
        <v>1</v>
      </c>
      <c r="L6" s="5">
        <v>0</v>
      </c>
      <c r="M6" s="5">
        <v>10</v>
      </c>
      <c r="N6" s="5">
        <v>3</v>
      </c>
      <c r="O6" s="5">
        <f>SUM(L6:N6)</f>
        <v>13</v>
      </c>
    </row>
    <row r="7" spans="1:17" ht="18" customHeight="1" x14ac:dyDescent="0.3">
      <c r="A7" s="4">
        <v>2</v>
      </c>
      <c r="B7" s="5">
        <f>5404+9</f>
        <v>5413</v>
      </c>
      <c r="C7" s="5">
        <v>2</v>
      </c>
      <c r="D7" s="5">
        <v>839</v>
      </c>
      <c r="E7" s="5">
        <v>96</v>
      </c>
      <c r="F7" s="5">
        <v>162</v>
      </c>
      <c r="G7" s="5">
        <v>261</v>
      </c>
      <c r="H7" s="5">
        <f>SUM(B7:G7)</f>
        <v>6773</v>
      </c>
      <c r="I7" s="5">
        <v>0</v>
      </c>
      <c r="J7" s="6"/>
      <c r="K7" s="4">
        <v>2</v>
      </c>
      <c r="L7" s="5">
        <v>0</v>
      </c>
      <c r="M7" s="5">
        <v>6</v>
      </c>
      <c r="N7" s="5">
        <v>0</v>
      </c>
      <c r="O7" s="5">
        <f t="shared" ref="O7:O33" si="0">SUM(L7:N7)</f>
        <v>6</v>
      </c>
    </row>
    <row r="8" spans="1:17" ht="18" customHeight="1" x14ac:dyDescent="0.3">
      <c r="A8" s="4">
        <v>3</v>
      </c>
      <c r="B8" s="5">
        <f>8440+9</f>
        <v>8449</v>
      </c>
      <c r="C8" s="5">
        <v>4</v>
      </c>
      <c r="D8" s="5">
        <v>763</v>
      </c>
      <c r="E8" s="5">
        <v>58</v>
      </c>
      <c r="F8" s="5">
        <v>59</v>
      </c>
      <c r="G8" s="5">
        <v>98</v>
      </c>
      <c r="H8" s="5">
        <f t="shared" ref="H8:H36" si="1">SUM(B8:G8)</f>
        <v>9431</v>
      </c>
      <c r="I8" s="5">
        <v>0</v>
      </c>
      <c r="J8" s="6"/>
      <c r="K8" s="4">
        <v>3</v>
      </c>
      <c r="L8" s="5">
        <v>0</v>
      </c>
      <c r="M8" s="5">
        <v>5</v>
      </c>
      <c r="N8" s="5">
        <v>0</v>
      </c>
      <c r="O8" s="5">
        <f t="shared" si="0"/>
        <v>5</v>
      </c>
      <c r="Q8" s="30"/>
    </row>
    <row r="9" spans="1:17" ht="18" customHeight="1" x14ac:dyDescent="0.3">
      <c r="A9" s="4">
        <v>4</v>
      </c>
      <c r="B9" s="5">
        <f>2169+29</f>
        <v>2198</v>
      </c>
      <c r="C9" s="5">
        <v>6</v>
      </c>
      <c r="D9" s="5">
        <v>965</v>
      </c>
      <c r="E9" s="5">
        <v>171</v>
      </c>
      <c r="F9" s="5">
        <v>126</v>
      </c>
      <c r="G9" s="5">
        <v>198</v>
      </c>
      <c r="H9" s="5">
        <f t="shared" si="1"/>
        <v>3664</v>
      </c>
      <c r="I9" s="5">
        <v>0</v>
      </c>
      <c r="J9" s="6"/>
      <c r="K9" s="4">
        <v>4</v>
      </c>
      <c r="L9" s="5">
        <v>0</v>
      </c>
      <c r="M9" s="5">
        <v>5</v>
      </c>
      <c r="N9" s="5">
        <v>0</v>
      </c>
      <c r="O9" s="5">
        <f t="shared" si="0"/>
        <v>5</v>
      </c>
    </row>
    <row r="10" spans="1:17" ht="18" customHeight="1" x14ac:dyDescent="0.3">
      <c r="A10" s="4">
        <v>5</v>
      </c>
      <c r="B10" s="5">
        <f>1690+22</f>
        <v>1712</v>
      </c>
      <c r="C10" s="5">
        <v>6</v>
      </c>
      <c r="D10" s="5">
        <v>707</v>
      </c>
      <c r="E10" s="5">
        <v>66</v>
      </c>
      <c r="F10" s="5">
        <v>26</v>
      </c>
      <c r="G10" s="5">
        <v>28</v>
      </c>
      <c r="H10" s="5">
        <f t="shared" si="1"/>
        <v>2545</v>
      </c>
      <c r="I10" s="5">
        <v>0</v>
      </c>
      <c r="J10" s="6"/>
      <c r="K10" s="4">
        <v>5</v>
      </c>
      <c r="L10" s="5">
        <v>5</v>
      </c>
      <c r="M10" s="5">
        <v>2</v>
      </c>
      <c r="N10" s="5">
        <v>0</v>
      </c>
      <c r="O10" s="5">
        <f t="shared" si="0"/>
        <v>7</v>
      </c>
    </row>
    <row r="11" spans="1:17" ht="18" customHeight="1" x14ac:dyDescent="0.3">
      <c r="A11" s="4">
        <v>6</v>
      </c>
      <c r="B11" s="5">
        <f>1811+27</f>
        <v>1838</v>
      </c>
      <c r="C11" s="5">
        <v>4</v>
      </c>
      <c r="D11" s="5">
        <v>666</v>
      </c>
      <c r="E11" s="5">
        <v>36</v>
      </c>
      <c r="F11" s="5">
        <v>16</v>
      </c>
      <c r="G11" s="5">
        <v>15</v>
      </c>
      <c r="H11" s="5">
        <f t="shared" si="1"/>
        <v>2575</v>
      </c>
      <c r="I11" s="5">
        <v>0</v>
      </c>
      <c r="J11" s="6"/>
      <c r="K11" s="4">
        <v>6</v>
      </c>
      <c r="L11" s="5">
        <v>0</v>
      </c>
      <c r="M11" s="5">
        <v>0</v>
      </c>
      <c r="N11" s="5">
        <v>2</v>
      </c>
      <c r="O11" s="5">
        <f t="shared" si="0"/>
        <v>2</v>
      </c>
    </row>
    <row r="12" spans="1:17" ht="18" customHeight="1" x14ac:dyDescent="0.3">
      <c r="A12" s="4">
        <v>7</v>
      </c>
      <c r="B12" s="5">
        <f>2455+20</f>
        <v>2475</v>
      </c>
      <c r="C12" s="5">
        <v>6</v>
      </c>
      <c r="D12" s="5">
        <v>769</v>
      </c>
      <c r="E12" s="5">
        <v>31</v>
      </c>
      <c r="F12" s="5">
        <v>17</v>
      </c>
      <c r="G12" s="5">
        <v>13</v>
      </c>
      <c r="H12" s="5">
        <f t="shared" si="1"/>
        <v>3311</v>
      </c>
      <c r="I12" s="5">
        <v>0</v>
      </c>
      <c r="J12" s="9"/>
      <c r="K12" s="4">
        <v>7</v>
      </c>
      <c r="L12" s="5">
        <v>0</v>
      </c>
      <c r="M12" s="5">
        <v>4</v>
      </c>
      <c r="N12" s="5">
        <v>1</v>
      </c>
      <c r="O12" s="5">
        <f t="shared" si="0"/>
        <v>5</v>
      </c>
    </row>
    <row r="13" spans="1:17" ht="18" customHeight="1" x14ac:dyDescent="0.3">
      <c r="A13" s="4">
        <v>8</v>
      </c>
      <c r="B13" s="5">
        <f>2600+15</f>
        <v>2615</v>
      </c>
      <c r="C13" s="5">
        <v>4</v>
      </c>
      <c r="D13" s="5">
        <v>705</v>
      </c>
      <c r="E13" s="5">
        <v>30</v>
      </c>
      <c r="F13" s="5">
        <v>20</v>
      </c>
      <c r="G13" s="5">
        <v>16</v>
      </c>
      <c r="H13" s="5">
        <f t="shared" si="1"/>
        <v>3390</v>
      </c>
      <c r="I13" s="5">
        <v>0</v>
      </c>
      <c r="J13" s="9"/>
      <c r="K13" s="4">
        <v>8</v>
      </c>
      <c r="L13" s="5">
        <v>0</v>
      </c>
      <c r="M13" s="5">
        <v>6</v>
      </c>
      <c r="N13" s="5">
        <v>0</v>
      </c>
      <c r="O13" s="5">
        <f t="shared" si="0"/>
        <v>6</v>
      </c>
    </row>
    <row r="14" spans="1:17" s="32" customFormat="1" ht="18" customHeight="1" x14ac:dyDescent="0.3">
      <c r="A14" s="4">
        <v>9</v>
      </c>
      <c r="B14" s="5">
        <f>3248+7</f>
        <v>3255</v>
      </c>
      <c r="C14" s="5">
        <v>0</v>
      </c>
      <c r="D14" s="5">
        <v>600</v>
      </c>
      <c r="E14" s="5">
        <v>24</v>
      </c>
      <c r="F14" s="5">
        <v>27</v>
      </c>
      <c r="G14" s="5">
        <v>19</v>
      </c>
      <c r="H14" s="5">
        <f t="shared" si="1"/>
        <v>3925</v>
      </c>
      <c r="I14" s="5">
        <v>0</v>
      </c>
      <c r="J14" s="9"/>
      <c r="K14" s="4">
        <v>9</v>
      </c>
      <c r="L14" s="5">
        <v>0</v>
      </c>
      <c r="M14" s="5">
        <v>0</v>
      </c>
      <c r="N14" s="5">
        <v>0</v>
      </c>
      <c r="O14" s="5">
        <f t="shared" si="0"/>
        <v>0</v>
      </c>
    </row>
    <row r="15" spans="1:17" ht="18" customHeight="1" x14ac:dyDescent="0.3">
      <c r="A15" s="4">
        <v>10</v>
      </c>
      <c r="B15" s="5">
        <f>1569+22</f>
        <v>1591</v>
      </c>
      <c r="C15" s="5">
        <v>8</v>
      </c>
      <c r="D15" s="5">
        <v>736</v>
      </c>
      <c r="E15" s="5">
        <v>62</v>
      </c>
      <c r="F15" s="5">
        <v>58</v>
      </c>
      <c r="G15" s="5">
        <v>35</v>
      </c>
      <c r="H15" s="5">
        <f t="shared" si="1"/>
        <v>2490</v>
      </c>
      <c r="I15" s="5">
        <v>0</v>
      </c>
      <c r="J15" s="9"/>
      <c r="K15" s="4">
        <v>10</v>
      </c>
      <c r="L15" s="5">
        <v>0</v>
      </c>
      <c r="M15" s="5">
        <v>3</v>
      </c>
      <c r="N15" s="5">
        <v>1</v>
      </c>
      <c r="O15" s="5">
        <f t="shared" si="0"/>
        <v>4</v>
      </c>
    </row>
    <row r="16" spans="1:17" ht="18" customHeight="1" x14ac:dyDescent="0.3">
      <c r="A16" s="4">
        <v>11</v>
      </c>
      <c r="B16" s="5">
        <f>1651+26</f>
        <v>1677</v>
      </c>
      <c r="C16" s="5">
        <v>6</v>
      </c>
      <c r="D16" s="5">
        <v>894</v>
      </c>
      <c r="E16" s="5">
        <v>64</v>
      </c>
      <c r="F16" s="5">
        <v>74</v>
      </c>
      <c r="G16" s="5">
        <v>70</v>
      </c>
      <c r="H16" s="5">
        <f t="shared" si="1"/>
        <v>2785</v>
      </c>
      <c r="I16" s="5">
        <v>0</v>
      </c>
      <c r="J16" s="9"/>
      <c r="K16" s="4">
        <v>11</v>
      </c>
      <c r="L16" s="5">
        <v>0</v>
      </c>
      <c r="M16" s="5">
        <v>6</v>
      </c>
      <c r="N16" s="5">
        <v>2</v>
      </c>
      <c r="O16" s="5">
        <f t="shared" si="0"/>
        <v>8</v>
      </c>
    </row>
    <row r="17" spans="1:24" ht="18" customHeight="1" x14ac:dyDescent="0.3">
      <c r="A17" s="4">
        <v>12</v>
      </c>
      <c r="B17" s="5">
        <f>1808+30</f>
        <v>1838</v>
      </c>
      <c r="C17" s="5">
        <v>4</v>
      </c>
      <c r="D17" s="5">
        <v>1080</v>
      </c>
      <c r="E17" s="5">
        <v>110</v>
      </c>
      <c r="F17" s="5">
        <v>164</v>
      </c>
      <c r="G17" s="5">
        <v>180</v>
      </c>
      <c r="H17" s="5">
        <f t="shared" si="1"/>
        <v>3376</v>
      </c>
      <c r="I17" s="5">
        <v>0</v>
      </c>
      <c r="J17" s="9"/>
      <c r="K17" s="4">
        <v>12</v>
      </c>
      <c r="L17" s="5">
        <v>1</v>
      </c>
      <c r="M17" s="5">
        <v>4</v>
      </c>
      <c r="N17" s="5">
        <v>3</v>
      </c>
      <c r="O17" s="5">
        <f t="shared" si="0"/>
        <v>8</v>
      </c>
    </row>
    <row r="18" spans="1:24" ht="18" customHeight="1" x14ac:dyDescent="0.3">
      <c r="A18" s="4">
        <v>13</v>
      </c>
      <c r="B18" s="5">
        <f>2410+32</f>
        <v>2442</v>
      </c>
      <c r="C18" s="5">
        <v>4</v>
      </c>
      <c r="D18" s="5">
        <v>1248</v>
      </c>
      <c r="E18" s="5">
        <v>189</v>
      </c>
      <c r="F18" s="5">
        <v>208</v>
      </c>
      <c r="G18" s="5">
        <v>287</v>
      </c>
      <c r="H18" s="5">
        <f t="shared" si="1"/>
        <v>4378</v>
      </c>
      <c r="I18" s="5">
        <v>0</v>
      </c>
      <c r="J18" s="9"/>
      <c r="K18" s="4">
        <v>13</v>
      </c>
      <c r="L18" s="5">
        <v>0</v>
      </c>
      <c r="M18" s="5">
        <v>8</v>
      </c>
      <c r="N18" s="5">
        <v>4</v>
      </c>
      <c r="O18" s="5">
        <f t="shared" si="0"/>
        <v>12</v>
      </c>
    </row>
    <row r="19" spans="1:24" ht="18" customHeight="1" x14ac:dyDescent="0.3">
      <c r="A19" s="4">
        <v>14</v>
      </c>
      <c r="B19" s="5">
        <f>4898+26</f>
        <v>4924</v>
      </c>
      <c r="C19" s="5">
        <v>6</v>
      </c>
      <c r="D19" s="5">
        <v>1286</v>
      </c>
      <c r="E19" s="5">
        <v>177</v>
      </c>
      <c r="F19" s="5">
        <v>225</v>
      </c>
      <c r="G19" s="5">
        <v>234</v>
      </c>
      <c r="H19" s="5">
        <f t="shared" si="1"/>
        <v>6852</v>
      </c>
      <c r="I19" s="5">
        <v>0</v>
      </c>
      <c r="J19" s="9"/>
      <c r="K19" s="4">
        <v>14</v>
      </c>
      <c r="L19" s="5">
        <v>1</v>
      </c>
      <c r="M19" s="5">
        <v>10</v>
      </c>
      <c r="N19" s="5">
        <v>4</v>
      </c>
      <c r="O19" s="5">
        <f t="shared" si="0"/>
        <v>15</v>
      </c>
    </row>
    <row r="20" spans="1:24" ht="18" customHeight="1" x14ac:dyDescent="0.3">
      <c r="A20" s="4">
        <v>15</v>
      </c>
      <c r="B20" s="5">
        <f>6487+18</f>
        <v>6505</v>
      </c>
      <c r="C20" s="5">
        <v>2</v>
      </c>
      <c r="D20" s="5">
        <v>944</v>
      </c>
      <c r="E20" s="5">
        <v>88</v>
      </c>
      <c r="F20" s="5">
        <v>120</v>
      </c>
      <c r="G20" s="5">
        <v>121</v>
      </c>
      <c r="H20" s="5">
        <f t="shared" si="1"/>
        <v>7780</v>
      </c>
      <c r="I20" s="5">
        <v>0</v>
      </c>
      <c r="J20" s="9"/>
      <c r="K20" s="4">
        <v>15</v>
      </c>
      <c r="L20" s="5">
        <v>0</v>
      </c>
      <c r="M20" s="5">
        <v>2</v>
      </c>
      <c r="N20" s="5">
        <v>2</v>
      </c>
      <c r="O20" s="5">
        <f t="shared" si="0"/>
        <v>4</v>
      </c>
    </row>
    <row r="21" spans="1:24" ht="18" customHeight="1" x14ac:dyDescent="0.3">
      <c r="A21" s="4">
        <v>16</v>
      </c>
      <c r="B21" s="5">
        <f>5607+11</f>
        <v>5618</v>
      </c>
      <c r="C21" s="5">
        <v>4</v>
      </c>
      <c r="D21" s="5">
        <v>988</v>
      </c>
      <c r="E21" s="5">
        <v>109</v>
      </c>
      <c r="F21" s="5">
        <v>128</v>
      </c>
      <c r="G21" s="5">
        <v>232</v>
      </c>
      <c r="H21" s="5">
        <f t="shared" si="1"/>
        <v>7079</v>
      </c>
      <c r="I21" s="5">
        <v>0</v>
      </c>
      <c r="J21" s="9"/>
      <c r="K21" s="4">
        <v>16</v>
      </c>
      <c r="L21" s="5">
        <v>0</v>
      </c>
      <c r="M21" s="5">
        <v>0</v>
      </c>
      <c r="N21" s="5">
        <v>2</v>
      </c>
      <c r="O21" s="5">
        <f t="shared" si="0"/>
        <v>2</v>
      </c>
    </row>
    <row r="22" spans="1:24" ht="18" customHeight="1" x14ac:dyDescent="0.3">
      <c r="A22" s="4">
        <v>17</v>
      </c>
      <c r="B22" s="5">
        <f>9144+15</f>
        <v>9159</v>
      </c>
      <c r="C22" s="5">
        <v>2</v>
      </c>
      <c r="D22" s="5">
        <v>756</v>
      </c>
      <c r="E22" s="5">
        <v>49</v>
      </c>
      <c r="F22" s="5">
        <v>59</v>
      </c>
      <c r="G22" s="5">
        <v>83</v>
      </c>
      <c r="H22" s="5">
        <f>SUM(B22:G22)</f>
        <v>10108</v>
      </c>
      <c r="I22" s="5">
        <v>0</v>
      </c>
      <c r="J22" s="9"/>
      <c r="K22" s="4">
        <v>17</v>
      </c>
      <c r="L22" s="5">
        <v>0</v>
      </c>
      <c r="M22" s="5">
        <v>5</v>
      </c>
      <c r="N22" s="5">
        <v>1</v>
      </c>
      <c r="O22" s="5">
        <f t="shared" si="0"/>
        <v>6</v>
      </c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8" customHeight="1" x14ac:dyDescent="0.3">
      <c r="A23" s="4">
        <v>18</v>
      </c>
      <c r="B23" s="5">
        <f>2305+12</f>
        <v>2317</v>
      </c>
      <c r="C23" s="5">
        <v>4</v>
      </c>
      <c r="D23" s="5">
        <v>1141</v>
      </c>
      <c r="E23" s="5">
        <v>167</v>
      </c>
      <c r="F23" s="5">
        <v>191</v>
      </c>
      <c r="G23" s="5">
        <v>248</v>
      </c>
      <c r="H23" s="5">
        <f t="shared" si="1"/>
        <v>4068</v>
      </c>
      <c r="I23" s="5">
        <v>0</v>
      </c>
      <c r="J23" s="9"/>
      <c r="K23" s="4">
        <v>18</v>
      </c>
      <c r="L23" s="5">
        <v>1</v>
      </c>
      <c r="M23" s="5">
        <v>16</v>
      </c>
      <c r="N23" s="5">
        <v>2</v>
      </c>
      <c r="O23" s="5">
        <f t="shared" si="0"/>
        <v>19</v>
      </c>
    </row>
    <row r="24" spans="1:24" ht="18" customHeight="1" x14ac:dyDescent="0.3">
      <c r="A24" s="4">
        <v>19</v>
      </c>
      <c r="B24" s="5">
        <f>1985+17</f>
        <v>2002</v>
      </c>
      <c r="C24" s="5">
        <v>2</v>
      </c>
      <c r="D24" s="5">
        <v>1301</v>
      </c>
      <c r="E24" s="5">
        <v>220</v>
      </c>
      <c r="F24" s="5">
        <v>234</v>
      </c>
      <c r="G24" s="5">
        <v>261</v>
      </c>
      <c r="H24" s="5">
        <f t="shared" si="1"/>
        <v>4020</v>
      </c>
      <c r="I24" s="5">
        <v>0</v>
      </c>
      <c r="J24" s="9"/>
      <c r="K24" s="4">
        <v>19</v>
      </c>
      <c r="L24" s="5">
        <v>1</v>
      </c>
      <c r="M24" s="5">
        <v>9</v>
      </c>
      <c r="N24" s="5">
        <v>3</v>
      </c>
      <c r="O24" s="5">
        <f t="shared" si="0"/>
        <v>13</v>
      </c>
    </row>
    <row r="25" spans="1:24" ht="18" customHeight="1" x14ac:dyDescent="0.3">
      <c r="A25" s="4">
        <v>20</v>
      </c>
      <c r="B25" s="5">
        <f>2192+19</f>
        <v>2211</v>
      </c>
      <c r="C25" s="5">
        <v>6</v>
      </c>
      <c r="D25" s="5">
        <v>1246</v>
      </c>
      <c r="E25" s="5">
        <v>221</v>
      </c>
      <c r="F25" s="5">
        <v>211</v>
      </c>
      <c r="G25" s="5">
        <v>291</v>
      </c>
      <c r="H25" s="5">
        <f>SUM(B25:G25)</f>
        <v>4186</v>
      </c>
      <c r="I25" s="5">
        <v>0</v>
      </c>
      <c r="J25" s="9"/>
      <c r="K25" s="4">
        <v>20</v>
      </c>
      <c r="L25" s="5">
        <v>4</v>
      </c>
      <c r="M25" s="5">
        <v>16</v>
      </c>
      <c r="N25" s="5">
        <v>2</v>
      </c>
      <c r="O25" s="5">
        <f t="shared" si="0"/>
        <v>22</v>
      </c>
    </row>
    <row r="26" spans="1:24" ht="18" customHeight="1" x14ac:dyDescent="0.3">
      <c r="A26" s="4">
        <v>21</v>
      </c>
      <c r="B26" s="5">
        <f>2998+14</f>
        <v>3012</v>
      </c>
      <c r="C26" s="5">
        <v>8</v>
      </c>
      <c r="D26" s="5">
        <v>1214</v>
      </c>
      <c r="E26" s="5">
        <f>182+22</f>
        <v>204</v>
      </c>
      <c r="F26" s="5">
        <v>199</v>
      </c>
      <c r="G26" s="5">
        <v>252</v>
      </c>
      <c r="H26" s="5">
        <f>SUM(B26:G26)</f>
        <v>4889</v>
      </c>
      <c r="I26" s="5">
        <v>0</v>
      </c>
      <c r="J26" s="9"/>
      <c r="K26" s="4">
        <v>21</v>
      </c>
      <c r="L26" s="5">
        <v>0</v>
      </c>
      <c r="M26" s="5">
        <v>25</v>
      </c>
      <c r="N26" s="5">
        <v>0</v>
      </c>
      <c r="O26" s="5">
        <f t="shared" si="0"/>
        <v>25</v>
      </c>
    </row>
    <row r="27" spans="1:24" ht="18" customHeight="1" x14ac:dyDescent="0.3">
      <c r="A27" s="4">
        <v>22</v>
      </c>
      <c r="B27" s="5">
        <f>3205+10</f>
        <v>3215</v>
      </c>
      <c r="C27" s="5">
        <v>2</v>
      </c>
      <c r="D27" s="5">
        <v>1103</v>
      </c>
      <c r="E27" s="5">
        <v>106</v>
      </c>
      <c r="F27" s="5">
        <v>146</v>
      </c>
      <c r="G27" s="5">
        <v>215</v>
      </c>
      <c r="H27" s="5">
        <f t="shared" si="1"/>
        <v>4787</v>
      </c>
      <c r="I27" s="5">
        <v>0</v>
      </c>
      <c r="J27" s="9"/>
      <c r="K27" s="4">
        <v>22</v>
      </c>
      <c r="L27" s="5">
        <v>1</v>
      </c>
      <c r="M27" s="5">
        <v>2</v>
      </c>
      <c r="N27" s="5">
        <v>2</v>
      </c>
      <c r="O27" s="5">
        <f t="shared" si="0"/>
        <v>5</v>
      </c>
    </row>
    <row r="28" spans="1:24" ht="18" customHeight="1" x14ac:dyDescent="0.3">
      <c r="A28" s="4">
        <v>23</v>
      </c>
      <c r="B28" s="5">
        <f>3945+4</f>
        <v>3949</v>
      </c>
      <c r="C28" s="5">
        <v>6</v>
      </c>
      <c r="D28" s="5">
        <v>907</v>
      </c>
      <c r="E28" s="5">
        <v>111</v>
      </c>
      <c r="F28" s="5">
        <v>101</v>
      </c>
      <c r="G28" s="5">
        <v>180</v>
      </c>
      <c r="H28" s="5">
        <f t="shared" si="1"/>
        <v>5254</v>
      </c>
      <c r="I28" s="5">
        <v>0</v>
      </c>
      <c r="J28" s="9"/>
      <c r="K28" s="4">
        <v>23</v>
      </c>
      <c r="L28" s="5">
        <v>2</v>
      </c>
      <c r="M28" s="5">
        <v>2</v>
      </c>
      <c r="N28" s="5">
        <v>0</v>
      </c>
      <c r="O28" s="5">
        <f t="shared" si="0"/>
        <v>4</v>
      </c>
    </row>
    <row r="29" spans="1:24" ht="18" customHeight="1" x14ac:dyDescent="0.3">
      <c r="A29" s="4">
        <v>24</v>
      </c>
      <c r="B29" s="5">
        <f>2156+20</f>
        <v>2176</v>
      </c>
      <c r="C29" s="5">
        <v>6</v>
      </c>
      <c r="D29" s="5">
        <v>1081</v>
      </c>
      <c r="E29" s="5">
        <v>167</v>
      </c>
      <c r="F29" s="5">
        <v>187</v>
      </c>
      <c r="G29" s="5">
        <v>305</v>
      </c>
      <c r="H29" s="5">
        <f t="shared" si="1"/>
        <v>3922</v>
      </c>
      <c r="I29" s="5">
        <v>0</v>
      </c>
      <c r="J29" s="9"/>
      <c r="K29" s="4">
        <v>24</v>
      </c>
      <c r="L29" s="5">
        <v>3</v>
      </c>
      <c r="M29" s="5">
        <v>12</v>
      </c>
      <c r="N29" s="5">
        <v>1</v>
      </c>
      <c r="O29" s="5">
        <f t="shared" si="0"/>
        <v>16</v>
      </c>
    </row>
    <row r="30" spans="1:24" ht="18" customHeight="1" x14ac:dyDescent="0.3">
      <c r="A30" s="4">
        <v>25</v>
      </c>
      <c r="B30" s="5">
        <f>2134+20</f>
        <v>2154</v>
      </c>
      <c r="C30" s="5">
        <v>6</v>
      </c>
      <c r="D30" s="5">
        <v>1242</v>
      </c>
      <c r="E30" s="5">
        <v>180</v>
      </c>
      <c r="F30" s="5">
        <v>209</v>
      </c>
      <c r="G30" s="5">
        <v>263</v>
      </c>
      <c r="H30" s="5">
        <f t="shared" si="1"/>
        <v>4054</v>
      </c>
      <c r="I30" s="5">
        <v>0</v>
      </c>
      <c r="J30" s="9"/>
      <c r="K30" s="4">
        <v>25</v>
      </c>
      <c r="L30" s="5">
        <v>3</v>
      </c>
      <c r="M30" s="5">
        <v>10</v>
      </c>
      <c r="N30" s="5">
        <v>3</v>
      </c>
      <c r="O30" s="5">
        <f t="shared" si="0"/>
        <v>16</v>
      </c>
    </row>
    <row r="31" spans="1:24" ht="18" customHeight="1" x14ac:dyDescent="0.3">
      <c r="A31" s="4">
        <v>26</v>
      </c>
      <c r="B31" s="5">
        <f>2367+17</f>
        <v>2384</v>
      </c>
      <c r="C31" s="5">
        <v>6</v>
      </c>
      <c r="D31" s="5">
        <v>1300</v>
      </c>
      <c r="E31" s="5">
        <v>176</v>
      </c>
      <c r="F31" s="5">
        <v>218</v>
      </c>
      <c r="G31" s="5">
        <v>298</v>
      </c>
      <c r="H31" s="5">
        <f t="shared" si="1"/>
        <v>4382</v>
      </c>
      <c r="I31" s="5">
        <v>0</v>
      </c>
      <c r="J31" s="9"/>
      <c r="K31" s="4">
        <v>26</v>
      </c>
      <c r="L31" s="5">
        <v>0</v>
      </c>
      <c r="M31" s="5">
        <v>11</v>
      </c>
      <c r="N31" s="5">
        <v>4</v>
      </c>
      <c r="O31" s="5">
        <f t="shared" si="0"/>
        <v>15</v>
      </c>
    </row>
    <row r="32" spans="1:24" ht="18" customHeight="1" x14ac:dyDescent="0.3">
      <c r="A32" s="4">
        <v>27</v>
      </c>
      <c r="B32" s="5">
        <f>2577+14</f>
        <v>2591</v>
      </c>
      <c r="C32" s="5">
        <v>8</v>
      </c>
      <c r="D32" s="5">
        <v>1273</v>
      </c>
      <c r="E32" s="5">
        <v>202</v>
      </c>
      <c r="F32" s="5">
        <v>190</v>
      </c>
      <c r="G32" s="5">
        <v>280</v>
      </c>
      <c r="H32" s="5">
        <f t="shared" si="1"/>
        <v>4544</v>
      </c>
      <c r="I32" s="5">
        <v>0</v>
      </c>
      <c r="J32" s="9"/>
      <c r="K32" s="4">
        <v>27</v>
      </c>
      <c r="L32" s="5">
        <v>0</v>
      </c>
      <c r="M32" s="5">
        <v>12</v>
      </c>
      <c r="N32" s="5">
        <v>2</v>
      </c>
      <c r="O32" s="5">
        <f t="shared" si="0"/>
        <v>14</v>
      </c>
    </row>
    <row r="33" spans="1:15" ht="18" customHeight="1" x14ac:dyDescent="0.3">
      <c r="A33" s="4">
        <v>28</v>
      </c>
      <c r="B33" s="5">
        <f>3446+19</f>
        <v>3465</v>
      </c>
      <c r="C33" s="5">
        <v>10</v>
      </c>
      <c r="D33" s="5">
        <v>1308</v>
      </c>
      <c r="E33" s="5">
        <v>190</v>
      </c>
      <c r="F33" s="5">
        <v>205</v>
      </c>
      <c r="G33" s="5">
        <v>240</v>
      </c>
      <c r="H33" s="5">
        <f t="shared" si="1"/>
        <v>5418</v>
      </c>
      <c r="I33" s="5">
        <v>0</v>
      </c>
      <c r="J33" s="9"/>
      <c r="K33" s="4">
        <v>28</v>
      </c>
      <c r="L33" s="5">
        <v>0</v>
      </c>
      <c r="M33" s="5">
        <v>4</v>
      </c>
      <c r="N33" s="5">
        <v>5</v>
      </c>
      <c r="O33" s="5">
        <f t="shared" si="0"/>
        <v>9</v>
      </c>
    </row>
    <row r="34" spans="1:15" ht="18" customHeight="1" x14ac:dyDescent="0.3">
      <c r="A34" s="4">
        <v>29</v>
      </c>
      <c r="B34" s="5">
        <f>3524+15</f>
        <v>3539</v>
      </c>
      <c r="C34" s="5">
        <v>6</v>
      </c>
      <c r="D34" s="5">
        <v>1150</v>
      </c>
      <c r="E34" s="5">
        <v>141</v>
      </c>
      <c r="F34" s="5">
        <v>182</v>
      </c>
      <c r="G34" s="5">
        <v>247</v>
      </c>
      <c r="H34" s="5">
        <f t="shared" si="1"/>
        <v>5265</v>
      </c>
      <c r="I34" s="5">
        <v>0</v>
      </c>
      <c r="J34" s="9"/>
      <c r="K34" s="4">
        <v>29</v>
      </c>
      <c r="L34" s="5">
        <v>0</v>
      </c>
      <c r="M34" s="5">
        <v>8</v>
      </c>
      <c r="N34" s="5">
        <v>0</v>
      </c>
      <c r="O34" s="5">
        <f>SUM(L34:N34)</f>
        <v>8</v>
      </c>
    </row>
    <row r="35" spans="1:15" ht="18" customHeight="1" x14ac:dyDescent="0.3">
      <c r="A35" s="4">
        <v>30</v>
      </c>
      <c r="B35" s="5">
        <f>4585+3</f>
        <v>4588</v>
      </c>
      <c r="C35" s="5">
        <v>24</v>
      </c>
      <c r="D35" s="5">
        <v>955</v>
      </c>
      <c r="E35" s="5">
        <v>117</v>
      </c>
      <c r="F35" s="5">
        <v>108</v>
      </c>
      <c r="G35" s="5">
        <v>182</v>
      </c>
      <c r="H35" s="5">
        <f t="shared" si="1"/>
        <v>5974</v>
      </c>
      <c r="I35" s="5">
        <v>0</v>
      </c>
      <c r="J35" s="9"/>
      <c r="K35" s="4">
        <v>30</v>
      </c>
      <c r="L35" s="5">
        <v>1</v>
      </c>
      <c r="M35" s="5">
        <v>0</v>
      </c>
      <c r="N35" s="5">
        <v>2</v>
      </c>
      <c r="O35" s="5">
        <f>SUM(L35:N35)</f>
        <v>3</v>
      </c>
    </row>
    <row r="36" spans="1:15" ht="18" hidden="1" customHeight="1" x14ac:dyDescent="0.3">
      <c r="A36" s="4">
        <v>31</v>
      </c>
      <c r="B36" s="5"/>
      <c r="C36" s="5"/>
      <c r="D36" s="5"/>
      <c r="E36" s="5"/>
      <c r="F36" s="5"/>
      <c r="G36" s="5"/>
      <c r="H36" s="5">
        <f t="shared" si="1"/>
        <v>0</v>
      </c>
      <c r="I36" s="5">
        <v>0</v>
      </c>
      <c r="J36" s="9"/>
      <c r="K36" s="4">
        <v>31</v>
      </c>
      <c r="L36" s="5"/>
      <c r="M36" s="5"/>
      <c r="N36" s="5"/>
      <c r="O36" s="5">
        <f>SUM(L36:N36)</f>
        <v>0</v>
      </c>
    </row>
    <row r="37" spans="1:15" ht="18" customHeight="1" x14ac:dyDescent="0.3">
      <c r="A37" s="3" t="s">
        <v>19</v>
      </c>
      <c r="B37" s="14">
        <f>SUM(B6:B36)</f>
        <v>105176</v>
      </c>
      <c r="C37" s="14">
        <f t="shared" ref="C37:O37" si="2">SUM(C6:C36)</f>
        <v>166</v>
      </c>
      <c r="D37" s="14">
        <f t="shared" si="2"/>
        <v>30103</v>
      </c>
      <c r="E37" s="14">
        <f t="shared" si="2"/>
        <v>3641</v>
      </c>
      <c r="F37" s="14">
        <f t="shared" si="2"/>
        <v>4005</v>
      </c>
      <c r="G37" s="14">
        <f t="shared" si="2"/>
        <v>5319</v>
      </c>
      <c r="H37" s="14">
        <f t="shared" si="2"/>
        <v>148410</v>
      </c>
      <c r="I37" s="14">
        <f t="shared" si="2"/>
        <v>0</v>
      </c>
      <c r="J37" s="14"/>
      <c r="K37" s="14"/>
      <c r="L37" s="14">
        <f t="shared" si="2"/>
        <v>23</v>
      </c>
      <c r="M37" s="14">
        <f t="shared" si="2"/>
        <v>203</v>
      </c>
      <c r="N37" s="14">
        <f t="shared" si="2"/>
        <v>51</v>
      </c>
      <c r="O37" s="14">
        <f t="shared" si="2"/>
        <v>277</v>
      </c>
    </row>
    <row r="38" spans="1:15" ht="18" customHeight="1" x14ac:dyDescent="0.3">
      <c r="A38" s="3" t="s">
        <v>19</v>
      </c>
      <c r="B38" s="47">
        <f>+B37+C37</f>
        <v>105342</v>
      </c>
      <c r="C38" s="47"/>
      <c r="D38" s="14">
        <f>+D37</f>
        <v>30103</v>
      </c>
      <c r="E38" s="14">
        <f>+E37</f>
        <v>3641</v>
      </c>
      <c r="F38" s="14">
        <f>+F37</f>
        <v>4005</v>
      </c>
      <c r="G38" s="14">
        <f>+G37</f>
        <v>5319</v>
      </c>
      <c r="H38" s="14">
        <f>+H37</f>
        <v>148410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ht="18" customHeight="1" x14ac:dyDescent="0.3">
      <c r="A39" s="17"/>
      <c r="B39" s="34"/>
      <c r="C39" s="34"/>
      <c r="D39" s="34"/>
      <c r="E39" s="34"/>
      <c r="F39" s="34"/>
      <c r="G39" s="34"/>
      <c r="H39" s="34"/>
      <c r="L39" s="35"/>
    </row>
    <row r="40" spans="1:15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44"/>
      <c r="L40" s="38"/>
    </row>
    <row r="41" spans="1:15" x14ac:dyDescent="0.3">
      <c r="A41" s="30"/>
      <c r="H41" s="30"/>
      <c r="K41" s="44"/>
      <c r="L41" s="38"/>
    </row>
    <row r="42" spans="1:15" x14ac:dyDescent="0.3">
      <c r="K42" s="44"/>
      <c r="L42" s="38"/>
    </row>
    <row r="43" spans="1:15" x14ac:dyDescent="0.3">
      <c r="I43" s="30"/>
      <c r="J43" s="30"/>
    </row>
    <row r="45" spans="1:15" x14ac:dyDescent="0.3">
      <c r="A45" s="42"/>
    </row>
    <row r="46" spans="1:15" x14ac:dyDescent="0.3">
      <c r="A46" s="42"/>
      <c r="B46" s="30"/>
      <c r="C46" s="30"/>
      <c r="D46" s="30"/>
      <c r="E46" s="30"/>
      <c r="F46" s="30"/>
      <c r="G46" s="30"/>
      <c r="H46" s="30"/>
      <c r="I46" s="30"/>
      <c r="J46" s="30"/>
      <c r="K46" s="45"/>
      <c r="L46" s="30"/>
      <c r="M46" s="30"/>
      <c r="N46" s="30"/>
      <c r="O46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94EA-2332-4897-AF70-CAF245E7E2F5}">
  <dimension ref="A1:Y46"/>
  <sheetViews>
    <sheetView tabSelected="1" workbookViewId="0">
      <selection activeCell="Q4" sqref="Q4"/>
    </sheetView>
  </sheetViews>
  <sheetFormatPr baseColWidth="10" defaultColWidth="11.44140625" defaultRowHeight="13.8" x14ac:dyDescent="0.3"/>
  <cols>
    <col min="1" max="9" width="11.44140625" style="28"/>
    <col min="10" max="10" width="4.6640625" style="28" customWidth="1"/>
    <col min="11" max="11" width="11.44140625" style="43"/>
    <col min="12" max="16384" width="11.44140625" style="28"/>
  </cols>
  <sheetData>
    <row r="1" spans="1:18" s="27" customFormat="1" ht="15.6" x14ac:dyDescent="0.3">
      <c r="A1" s="48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s="27" customFormat="1" ht="15.6" x14ac:dyDescent="0.3">
      <c r="A2" s="48" t="s">
        <v>24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8" s="27" customFormat="1" ht="15.6" x14ac:dyDescent="0.3">
      <c r="A3" s="49" t="s">
        <v>37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8" ht="78" customHeight="1" x14ac:dyDescent="0.3">
      <c r="A4" s="50" t="s">
        <v>1</v>
      </c>
      <c r="B4" s="46" t="s">
        <v>2</v>
      </c>
      <c r="C4" s="46"/>
      <c r="D4" s="1" t="s">
        <v>3</v>
      </c>
      <c r="E4" s="1" t="s">
        <v>4</v>
      </c>
      <c r="F4" s="1" t="s">
        <v>5</v>
      </c>
      <c r="G4" s="1" t="s">
        <v>6</v>
      </c>
      <c r="H4" s="46" t="s">
        <v>7</v>
      </c>
      <c r="I4" s="46" t="s">
        <v>8</v>
      </c>
      <c r="J4" s="2"/>
      <c r="K4" s="52" t="s">
        <v>1</v>
      </c>
      <c r="L4" s="46" t="s">
        <v>9</v>
      </c>
      <c r="M4" s="46" t="s">
        <v>10</v>
      </c>
      <c r="N4" s="46" t="s">
        <v>11</v>
      </c>
      <c r="O4" s="46" t="s">
        <v>12</v>
      </c>
    </row>
    <row r="5" spans="1:18" ht="18" customHeight="1" x14ac:dyDescent="0.3">
      <c r="A5" s="51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6"/>
      <c r="I5" s="46"/>
      <c r="J5" s="2"/>
      <c r="K5" s="52"/>
      <c r="L5" s="46"/>
      <c r="M5" s="46"/>
      <c r="N5" s="46"/>
      <c r="O5" s="46"/>
    </row>
    <row r="6" spans="1:18" ht="18" customHeight="1" x14ac:dyDescent="0.3">
      <c r="A6" s="4">
        <v>1</v>
      </c>
      <c r="B6" s="5">
        <f>2535+16</f>
        <v>2551</v>
      </c>
      <c r="C6" s="5">
        <v>6</v>
      </c>
      <c r="D6" s="5">
        <v>1120</v>
      </c>
      <c r="E6" s="5">
        <v>176</v>
      </c>
      <c r="F6" s="5">
        <v>212</v>
      </c>
      <c r="G6" s="5">
        <v>283</v>
      </c>
      <c r="H6" s="5">
        <f>SUM(B6:G6)</f>
        <v>4348</v>
      </c>
      <c r="I6" s="5">
        <v>0</v>
      </c>
      <c r="J6" s="6"/>
      <c r="K6" s="4">
        <v>1</v>
      </c>
      <c r="L6" s="5">
        <v>2</v>
      </c>
      <c r="M6" s="5">
        <v>6</v>
      </c>
      <c r="N6" s="5">
        <v>2</v>
      </c>
      <c r="O6" s="5">
        <f>SUM(L6:N6)</f>
        <v>10</v>
      </c>
    </row>
    <row r="7" spans="1:18" ht="18" customHeight="1" x14ac:dyDescent="0.3">
      <c r="A7" s="4">
        <v>2</v>
      </c>
      <c r="B7" s="5">
        <f>2677+21</f>
        <v>2698</v>
      </c>
      <c r="C7" s="5">
        <v>4</v>
      </c>
      <c r="D7" s="5">
        <v>1364</v>
      </c>
      <c r="E7" s="5">
        <f>168+36</f>
        <v>204</v>
      </c>
      <c r="F7" s="5">
        <v>192</v>
      </c>
      <c r="G7" s="5">
        <v>272</v>
      </c>
      <c r="H7" s="5">
        <f>SUM(B7:G7)</f>
        <v>4734</v>
      </c>
      <c r="I7" s="5">
        <v>0</v>
      </c>
      <c r="J7" s="6"/>
      <c r="K7" s="4">
        <v>2</v>
      </c>
      <c r="L7" s="5">
        <v>5</v>
      </c>
      <c r="M7" s="5">
        <v>10</v>
      </c>
      <c r="N7" s="5">
        <v>5</v>
      </c>
      <c r="O7" s="5">
        <f t="shared" ref="O7:O33" si="0">SUM(L7:N7)</f>
        <v>20</v>
      </c>
    </row>
    <row r="8" spans="1:18" ht="18" customHeight="1" x14ac:dyDescent="0.3">
      <c r="A8" s="4">
        <v>3</v>
      </c>
      <c r="B8" s="5">
        <f>2663+19</f>
        <v>2682</v>
      </c>
      <c r="C8" s="5">
        <v>4</v>
      </c>
      <c r="D8" s="5">
        <v>1301</v>
      </c>
      <c r="E8" s="5">
        <v>181</v>
      </c>
      <c r="F8" s="5">
        <v>264</v>
      </c>
      <c r="G8" s="5">
        <v>338</v>
      </c>
      <c r="H8" s="5">
        <f t="shared" ref="H8:H36" si="1">SUM(B8:G8)</f>
        <v>4770</v>
      </c>
      <c r="I8" s="5">
        <v>0</v>
      </c>
      <c r="J8" s="6"/>
      <c r="K8" s="4">
        <v>3</v>
      </c>
      <c r="L8" s="5">
        <v>1</v>
      </c>
      <c r="M8" s="5">
        <v>7</v>
      </c>
      <c r="N8" s="5">
        <v>1</v>
      </c>
      <c r="O8" s="5">
        <f t="shared" si="0"/>
        <v>9</v>
      </c>
      <c r="R8" s="30"/>
    </row>
    <row r="9" spans="1:18" ht="18" customHeight="1" x14ac:dyDescent="0.3">
      <c r="A9" s="4">
        <v>4</v>
      </c>
      <c r="B9" s="5">
        <f>3190+27</f>
        <v>3217</v>
      </c>
      <c r="C9" s="5">
        <v>2</v>
      </c>
      <c r="D9" s="5">
        <v>1491</v>
      </c>
      <c r="E9" s="5">
        <v>226</v>
      </c>
      <c r="F9" s="5">
        <v>235</v>
      </c>
      <c r="G9" s="5">
        <v>295</v>
      </c>
      <c r="H9" s="5">
        <f t="shared" si="1"/>
        <v>5466</v>
      </c>
      <c r="I9" s="5">
        <v>0</v>
      </c>
      <c r="J9" s="6"/>
      <c r="K9" s="4">
        <v>4</v>
      </c>
      <c r="L9" s="5">
        <v>1</v>
      </c>
      <c r="M9" s="5">
        <v>12</v>
      </c>
      <c r="N9" s="5">
        <v>1</v>
      </c>
      <c r="O9" s="5">
        <f t="shared" si="0"/>
        <v>14</v>
      </c>
    </row>
    <row r="10" spans="1:18" ht="18" customHeight="1" x14ac:dyDescent="0.3">
      <c r="A10" s="4">
        <v>5</v>
      </c>
      <c r="B10" s="5">
        <f>5629+21</f>
        <v>5650</v>
      </c>
      <c r="C10" s="5">
        <v>10</v>
      </c>
      <c r="D10" s="5">
        <v>1388</v>
      </c>
      <c r="E10" s="5">
        <v>166</v>
      </c>
      <c r="F10" s="5">
        <v>239</v>
      </c>
      <c r="G10" s="5">
        <v>282</v>
      </c>
      <c r="H10" s="5">
        <f t="shared" si="1"/>
        <v>7735</v>
      </c>
      <c r="I10" s="5">
        <v>0</v>
      </c>
      <c r="J10" s="6"/>
      <c r="K10" s="4">
        <v>5</v>
      </c>
      <c r="L10" s="5">
        <v>1</v>
      </c>
      <c r="M10" s="5">
        <v>7</v>
      </c>
      <c r="N10" s="5">
        <v>4</v>
      </c>
      <c r="O10" s="5">
        <f t="shared" si="0"/>
        <v>12</v>
      </c>
    </row>
    <row r="11" spans="1:18" ht="18" customHeight="1" x14ac:dyDescent="0.3">
      <c r="A11" s="4">
        <v>6</v>
      </c>
      <c r="B11" s="5">
        <f>6034+20</f>
        <v>6054</v>
      </c>
      <c r="C11" s="5">
        <v>0</v>
      </c>
      <c r="D11" s="5">
        <v>1059</v>
      </c>
      <c r="E11" s="5">
        <v>106</v>
      </c>
      <c r="F11" s="5">
        <v>176</v>
      </c>
      <c r="G11" s="5">
        <v>114</v>
      </c>
      <c r="H11" s="5">
        <f t="shared" si="1"/>
        <v>7509</v>
      </c>
      <c r="I11" s="5">
        <v>0</v>
      </c>
      <c r="J11" s="6"/>
      <c r="K11" s="4">
        <v>6</v>
      </c>
      <c r="L11" s="5">
        <v>1</v>
      </c>
      <c r="M11" s="5">
        <v>2</v>
      </c>
      <c r="N11" s="5">
        <v>1</v>
      </c>
      <c r="O11" s="5">
        <f t="shared" si="0"/>
        <v>4</v>
      </c>
    </row>
    <row r="12" spans="1:18" ht="18" customHeight="1" x14ac:dyDescent="0.3">
      <c r="A12" s="4">
        <v>7</v>
      </c>
      <c r="B12" s="5">
        <f>4050+7</f>
        <v>4057</v>
      </c>
      <c r="C12" s="5">
        <v>6</v>
      </c>
      <c r="D12" s="5">
        <v>872</v>
      </c>
      <c r="E12" s="5">
        <v>80</v>
      </c>
      <c r="F12" s="5">
        <v>157</v>
      </c>
      <c r="G12" s="5">
        <v>213</v>
      </c>
      <c r="H12" s="5">
        <f t="shared" si="1"/>
        <v>5385</v>
      </c>
      <c r="I12" s="5">
        <v>0</v>
      </c>
      <c r="J12" s="9"/>
      <c r="K12" s="4">
        <v>7</v>
      </c>
      <c r="L12" s="5">
        <v>1</v>
      </c>
      <c r="M12" s="5">
        <v>4</v>
      </c>
      <c r="N12" s="5">
        <v>0</v>
      </c>
      <c r="O12" s="5">
        <f t="shared" si="0"/>
        <v>5</v>
      </c>
    </row>
    <row r="13" spans="1:18" ht="18" customHeight="1" x14ac:dyDescent="0.3">
      <c r="A13" s="4">
        <v>8</v>
      </c>
      <c r="B13" s="5">
        <f>8354+13</f>
        <v>8367</v>
      </c>
      <c r="C13" s="5">
        <v>5</v>
      </c>
      <c r="D13" s="5">
        <v>786</v>
      </c>
      <c r="E13" s="5">
        <v>54</v>
      </c>
      <c r="F13" s="5">
        <v>45</v>
      </c>
      <c r="G13" s="5">
        <v>71</v>
      </c>
      <c r="H13" s="5">
        <f t="shared" si="1"/>
        <v>9328</v>
      </c>
      <c r="I13" s="5">
        <v>0</v>
      </c>
      <c r="J13" s="9"/>
      <c r="K13" s="4">
        <v>8</v>
      </c>
      <c r="L13" s="5">
        <v>0</v>
      </c>
      <c r="M13" s="5">
        <v>0</v>
      </c>
      <c r="N13" s="5">
        <v>0</v>
      </c>
      <c r="O13" s="5">
        <f t="shared" si="0"/>
        <v>0</v>
      </c>
    </row>
    <row r="14" spans="1:18" s="32" customFormat="1" ht="18" customHeight="1" x14ac:dyDescent="0.3">
      <c r="A14" s="4">
        <v>9</v>
      </c>
      <c r="B14" s="5">
        <f>3324+20</f>
        <v>3344</v>
      </c>
      <c r="C14" s="5">
        <v>6</v>
      </c>
      <c r="D14" s="5">
        <v>1307</v>
      </c>
      <c r="E14" s="5">
        <v>203</v>
      </c>
      <c r="F14" s="5">
        <v>207</v>
      </c>
      <c r="G14" s="5">
        <v>323</v>
      </c>
      <c r="H14" s="5">
        <f t="shared" si="1"/>
        <v>5390</v>
      </c>
      <c r="I14" s="5">
        <v>0</v>
      </c>
      <c r="J14" s="9"/>
      <c r="K14" s="4">
        <v>9</v>
      </c>
      <c r="L14" s="5">
        <v>6</v>
      </c>
      <c r="M14" s="5">
        <v>4</v>
      </c>
      <c r="N14" s="5">
        <v>2</v>
      </c>
      <c r="O14" s="5">
        <f t="shared" si="0"/>
        <v>12</v>
      </c>
    </row>
    <row r="15" spans="1:18" ht="18" customHeight="1" x14ac:dyDescent="0.3">
      <c r="A15" s="4">
        <v>10</v>
      </c>
      <c r="B15" s="5">
        <v>2743</v>
      </c>
      <c r="C15" s="5">
        <v>4</v>
      </c>
      <c r="D15" s="5">
        <v>1330</v>
      </c>
      <c r="E15" s="5">
        <v>209</v>
      </c>
      <c r="F15" s="5">
        <v>220</v>
      </c>
      <c r="G15" s="5">
        <v>336</v>
      </c>
      <c r="H15" s="5">
        <f t="shared" si="1"/>
        <v>4842</v>
      </c>
      <c r="I15" s="5">
        <v>0</v>
      </c>
      <c r="J15" s="9"/>
      <c r="K15" s="4">
        <v>10</v>
      </c>
      <c r="L15" s="5">
        <v>4</v>
      </c>
      <c r="M15" s="5">
        <v>5</v>
      </c>
      <c r="N15" s="5">
        <v>6</v>
      </c>
      <c r="O15" s="5">
        <f t="shared" si="0"/>
        <v>15</v>
      </c>
    </row>
    <row r="16" spans="1:18" ht="18" customHeight="1" x14ac:dyDescent="0.3">
      <c r="A16" s="4">
        <v>11</v>
      </c>
      <c r="B16" s="5">
        <v>2854</v>
      </c>
      <c r="C16" s="5">
        <v>4</v>
      </c>
      <c r="D16" s="5">
        <v>1432</v>
      </c>
      <c r="E16" s="5">
        <v>217</v>
      </c>
      <c r="F16" s="5">
        <v>279</v>
      </c>
      <c r="G16" s="5">
        <v>363</v>
      </c>
      <c r="H16" s="5">
        <f t="shared" si="1"/>
        <v>5149</v>
      </c>
      <c r="I16" s="5">
        <v>0</v>
      </c>
      <c r="J16" s="9"/>
      <c r="K16" s="4">
        <v>11</v>
      </c>
      <c r="L16" s="5">
        <v>1</v>
      </c>
      <c r="M16" s="5">
        <v>12</v>
      </c>
      <c r="N16" s="5">
        <v>2</v>
      </c>
      <c r="O16" s="5">
        <f t="shared" si="0"/>
        <v>15</v>
      </c>
    </row>
    <row r="17" spans="1:25" ht="18" customHeight="1" x14ac:dyDescent="0.3">
      <c r="A17" s="4">
        <v>12</v>
      </c>
      <c r="B17" s="5">
        <v>3933</v>
      </c>
      <c r="C17" s="5">
        <v>8</v>
      </c>
      <c r="D17" s="5">
        <v>1389</v>
      </c>
      <c r="E17" s="5">
        <v>203</v>
      </c>
      <c r="F17" s="5">
        <v>241</v>
      </c>
      <c r="G17" s="5">
        <v>284</v>
      </c>
      <c r="H17" s="5">
        <f t="shared" si="1"/>
        <v>6058</v>
      </c>
      <c r="I17" s="5">
        <v>0</v>
      </c>
      <c r="J17" s="9"/>
      <c r="K17" s="4">
        <v>12</v>
      </c>
      <c r="L17" s="5">
        <v>0</v>
      </c>
      <c r="M17" s="5">
        <v>8</v>
      </c>
      <c r="N17" s="5">
        <v>4</v>
      </c>
      <c r="O17" s="5">
        <f t="shared" si="0"/>
        <v>12</v>
      </c>
    </row>
    <row r="18" spans="1:25" ht="18" customHeight="1" x14ac:dyDescent="0.3">
      <c r="A18" s="4">
        <v>13</v>
      </c>
      <c r="B18" s="5">
        <v>4105</v>
      </c>
      <c r="C18" s="5">
        <v>6</v>
      </c>
      <c r="D18" s="5">
        <v>1163</v>
      </c>
      <c r="E18" s="5">
        <v>160</v>
      </c>
      <c r="F18" s="5">
        <v>204</v>
      </c>
      <c r="G18" s="5">
        <v>266</v>
      </c>
      <c r="H18" s="5">
        <f t="shared" si="1"/>
        <v>5904</v>
      </c>
      <c r="I18" s="5">
        <v>0</v>
      </c>
      <c r="J18" s="9"/>
      <c r="K18" s="4">
        <v>13</v>
      </c>
      <c r="L18" s="5">
        <v>2</v>
      </c>
      <c r="M18" s="5">
        <v>5</v>
      </c>
      <c r="N18" s="5">
        <v>2</v>
      </c>
      <c r="O18" s="5">
        <f t="shared" si="0"/>
        <v>9</v>
      </c>
    </row>
    <row r="19" spans="1:25" ht="18" customHeight="1" x14ac:dyDescent="0.3">
      <c r="A19" s="4">
        <v>14</v>
      </c>
      <c r="B19" s="5">
        <v>4921</v>
      </c>
      <c r="C19" s="5">
        <v>12</v>
      </c>
      <c r="D19" s="5">
        <v>1017</v>
      </c>
      <c r="E19" s="5">
        <v>105</v>
      </c>
      <c r="F19" s="5">
        <v>132</v>
      </c>
      <c r="G19" s="5">
        <v>212</v>
      </c>
      <c r="H19" s="5">
        <f t="shared" si="1"/>
        <v>6399</v>
      </c>
      <c r="I19" s="5">
        <v>0</v>
      </c>
      <c r="J19" s="9"/>
      <c r="K19" s="4">
        <v>14</v>
      </c>
      <c r="L19" s="5">
        <v>0</v>
      </c>
      <c r="M19" s="5">
        <v>5</v>
      </c>
      <c r="N19" s="5">
        <v>0</v>
      </c>
      <c r="O19" s="5">
        <f t="shared" si="0"/>
        <v>5</v>
      </c>
    </row>
    <row r="20" spans="1:25" ht="18" customHeight="1" x14ac:dyDescent="0.3">
      <c r="A20" s="4">
        <v>15</v>
      </c>
      <c r="B20" s="5">
        <v>3048</v>
      </c>
      <c r="C20" s="5">
        <v>7</v>
      </c>
      <c r="D20" s="5">
        <v>1192</v>
      </c>
      <c r="E20" s="5">
        <v>170</v>
      </c>
      <c r="F20" s="5">
        <v>195</v>
      </c>
      <c r="G20" s="5">
        <v>324</v>
      </c>
      <c r="H20" s="5">
        <f t="shared" si="1"/>
        <v>4936</v>
      </c>
      <c r="I20" s="5">
        <v>0</v>
      </c>
      <c r="J20" s="9"/>
      <c r="K20" s="4">
        <v>15</v>
      </c>
      <c r="L20" s="5">
        <v>0</v>
      </c>
      <c r="M20" s="5">
        <v>12</v>
      </c>
      <c r="N20" s="5">
        <v>2</v>
      </c>
      <c r="O20" s="5">
        <f t="shared" si="0"/>
        <v>14</v>
      </c>
    </row>
    <row r="21" spans="1:25" ht="18" customHeight="1" x14ac:dyDescent="0.3">
      <c r="A21" s="4">
        <v>16</v>
      </c>
      <c r="B21" s="5">
        <v>2923</v>
      </c>
      <c r="C21" s="5">
        <v>6</v>
      </c>
      <c r="D21" s="5">
        <v>1352</v>
      </c>
      <c r="E21" s="5">
        <v>189</v>
      </c>
      <c r="F21" s="5">
        <v>206</v>
      </c>
      <c r="G21" s="5">
        <v>310</v>
      </c>
      <c r="H21" s="5">
        <f t="shared" si="1"/>
        <v>4986</v>
      </c>
      <c r="I21" s="5">
        <v>0</v>
      </c>
      <c r="J21" s="9"/>
      <c r="K21" s="4">
        <v>16</v>
      </c>
      <c r="L21" s="5">
        <v>0</v>
      </c>
      <c r="M21" s="5">
        <v>3</v>
      </c>
      <c r="N21" s="5">
        <v>5</v>
      </c>
      <c r="O21" s="5">
        <f t="shared" si="0"/>
        <v>8</v>
      </c>
    </row>
    <row r="22" spans="1:25" ht="18" customHeight="1" x14ac:dyDescent="0.3">
      <c r="A22" s="4">
        <v>17</v>
      </c>
      <c r="B22" s="5">
        <v>3230</v>
      </c>
      <c r="C22" s="5">
        <v>6</v>
      </c>
      <c r="D22" s="5">
        <v>1411</v>
      </c>
      <c r="E22" s="5">
        <v>210</v>
      </c>
      <c r="F22" s="5">
        <v>230</v>
      </c>
      <c r="G22" s="5">
        <v>355</v>
      </c>
      <c r="H22" s="5">
        <f>SUM(B22:G22)</f>
        <v>5442</v>
      </c>
      <c r="I22" s="5">
        <v>0</v>
      </c>
      <c r="J22" s="9"/>
      <c r="K22" s="4">
        <v>17</v>
      </c>
      <c r="L22" s="5">
        <v>0</v>
      </c>
      <c r="M22" s="5">
        <v>6</v>
      </c>
      <c r="N22" s="5">
        <v>2</v>
      </c>
      <c r="O22" s="5">
        <f t="shared" si="0"/>
        <v>8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8" customHeight="1" x14ac:dyDescent="0.3">
      <c r="A23" s="4">
        <v>18</v>
      </c>
      <c r="B23" s="5">
        <v>3606</v>
      </c>
      <c r="C23" s="5">
        <v>10</v>
      </c>
      <c r="D23" s="5">
        <v>1394</v>
      </c>
      <c r="E23" s="5">
        <v>198</v>
      </c>
      <c r="F23" s="5">
        <v>215</v>
      </c>
      <c r="G23" s="5">
        <v>399</v>
      </c>
      <c r="H23" s="5">
        <f t="shared" si="1"/>
        <v>5822</v>
      </c>
      <c r="I23" s="5">
        <v>0</v>
      </c>
      <c r="J23" s="9"/>
      <c r="K23" s="4">
        <v>18</v>
      </c>
      <c r="L23" s="5">
        <v>0</v>
      </c>
      <c r="M23" s="5">
        <v>6</v>
      </c>
      <c r="N23" s="5">
        <v>8</v>
      </c>
      <c r="O23" s="5">
        <f t="shared" si="0"/>
        <v>14</v>
      </c>
    </row>
    <row r="24" spans="1:25" ht="18" customHeight="1" x14ac:dyDescent="0.3">
      <c r="A24" s="4">
        <v>19</v>
      </c>
      <c r="B24" s="5">
        <v>5195</v>
      </c>
      <c r="C24" s="5">
        <v>8</v>
      </c>
      <c r="D24" s="5">
        <v>1410</v>
      </c>
      <c r="E24" s="5">
        <v>181</v>
      </c>
      <c r="F24" s="5">
        <v>215</v>
      </c>
      <c r="G24" s="5">
        <v>349</v>
      </c>
      <c r="H24" s="5">
        <f t="shared" si="1"/>
        <v>7358</v>
      </c>
      <c r="I24" s="5">
        <v>0</v>
      </c>
      <c r="J24" s="9"/>
      <c r="K24" s="4">
        <v>19</v>
      </c>
      <c r="L24" s="5">
        <v>4</v>
      </c>
      <c r="M24" s="5">
        <v>8</v>
      </c>
      <c r="N24" s="5">
        <v>3</v>
      </c>
      <c r="O24" s="5">
        <f t="shared" si="0"/>
        <v>15</v>
      </c>
    </row>
    <row r="25" spans="1:25" ht="18" customHeight="1" x14ac:dyDescent="0.3">
      <c r="A25" s="4">
        <v>20</v>
      </c>
      <c r="B25" s="5">
        <v>6175</v>
      </c>
      <c r="C25" s="5">
        <v>8</v>
      </c>
      <c r="D25" s="5">
        <v>1289</v>
      </c>
      <c r="E25" s="5">
        <v>174</v>
      </c>
      <c r="F25" s="5">
        <v>207</v>
      </c>
      <c r="G25" s="5">
        <v>276</v>
      </c>
      <c r="H25" s="5">
        <f>SUM(B25:G25)</f>
        <v>8129</v>
      </c>
      <c r="I25" s="5">
        <v>0</v>
      </c>
      <c r="J25" s="9"/>
      <c r="K25" s="4">
        <v>20</v>
      </c>
      <c r="L25" s="5">
        <v>1</v>
      </c>
      <c r="M25" s="5">
        <v>5</v>
      </c>
      <c r="N25" s="5">
        <v>0</v>
      </c>
      <c r="O25" s="5">
        <f t="shared" si="0"/>
        <v>6</v>
      </c>
    </row>
    <row r="26" spans="1:25" ht="18" customHeight="1" x14ac:dyDescent="0.3">
      <c r="A26" s="4">
        <v>21</v>
      </c>
      <c r="B26" s="5">
        <v>6558</v>
      </c>
      <c r="C26" s="5">
        <v>4</v>
      </c>
      <c r="D26" s="5">
        <v>1602</v>
      </c>
      <c r="E26" s="5">
        <v>195</v>
      </c>
      <c r="F26" s="5">
        <v>213</v>
      </c>
      <c r="G26" s="5">
        <v>385</v>
      </c>
      <c r="H26" s="5">
        <f>SUM(B26:G26)</f>
        <v>8957</v>
      </c>
      <c r="I26" s="5">
        <v>0</v>
      </c>
      <c r="J26" s="9"/>
      <c r="K26" s="4">
        <v>21</v>
      </c>
      <c r="L26" s="5">
        <v>0</v>
      </c>
      <c r="M26" s="5">
        <v>2</v>
      </c>
      <c r="N26" s="5">
        <v>2</v>
      </c>
      <c r="O26" s="5">
        <f t="shared" si="0"/>
        <v>4</v>
      </c>
    </row>
    <row r="27" spans="1:25" ht="18" customHeight="1" x14ac:dyDescent="0.3">
      <c r="A27" s="4">
        <v>22</v>
      </c>
      <c r="B27" s="5">
        <v>5104</v>
      </c>
      <c r="C27" s="5">
        <v>2</v>
      </c>
      <c r="D27" s="5">
        <v>1582</v>
      </c>
      <c r="E27" s="5">
        <v>202</v>
      </c>
      <c r="F27" s="5">
        <v>204</v>
      </c>
      <c r="G27" s="5">
        <v>293</v>
      </c>
      <c r="H27" s="5">
        <f t="shared" si="1"/>
        <v>7387</v>
      </c>
      <c r="I27" s="5">
        <v>0</v>
      </c>
      <c r="J27" s="9"/>
      <c r="K27" s="4">
        <v>22</v>
      </c>
      <c r="L27" s="5">
        <v>3</v>
      </c>
      <c r="M27" s="5">
        <v>3</v>
      </c>
      <c r="N27" s="5">
        <v>4</v>
      </c>
      <c r="O27" s="5">
        <f t="shared" si="0"/>
        <v>10</v>
      </c>
    </row>
    <row r="28" spans="1:25" ht="18" customHeight="1" x14ac:dyDescent="0.3">
      <c r="A28" s="4">
        <v>23</v>
      </c>
      <c r="B28" s="5">
        <v>6891</v>
      </c>
      <c r="C28" s="5">
        <v>12</v>
      </c>
      <c r="D28" s="5">
        <v>1493</v>
      </c>
      <c r="E28" s="5">
        <v>146</v>
      </c>
      <c r="F28" s="5">
        <v>218</v>
      </c>
      <c r="G28" s="5">
        <v>232</v>
      </c>
      <c r="H28" s="5">
        <f t="shared" si="1"/>
        <v>8992</v>
      </c>
      <c r="I28" s="5">
        <v>0</v>
      </c>
      <c r="J28" s="9"/>
      <c r="K28" s="4">
        <v>23</v>
      </c>
      <c r="L28" s="5">
        <v>1</v>
      </c>
      <c r="M28" s="5">
        <v>7</v>
      </c>
      <c r="N28" s="5">
        <v>2</v>
      </c>
      <c r="O28" s="5">
        <f t="shared" si="0"/>
        <v>10</v>
      </c>
    </row>
    <row r="29" spans="1:25" ht="18" customHeight="1" x14ac:dyDescent="0.3">
      <c r="A29" s="4">
        <v>24</v>
      </c>
      <c r="B29" s="5">
        <v>5572</v>
      </c>
      <c r="C29" s="5">
        <v>6</v>
      </c>
      <c r="D29" s="5">
        <v>735</v>
      </c>
      <c r="E29" s="5">
        <v>31</v>
      </c>
      <c r="F29" s="5">
        <v>41</v>
      </c>
      <c r="G29" s="5">
        <v>51</v>
      </c>
      <c r="H29" s="5">
        <f t="shared" si="1"/>
        <v>6436</v>
      </c>
      <c r="I29" s="5">
        <v>0</v>
      </c>
      <c r="J29" s="9"/>
      <c r="K29" s="4">
        <v>24</v>
      </c>
      <c r="L29" s="5">
        <v>0</v>
      </c>
      <c r="M29" s="5">
        <v>0</v>
      </c>
      <c r="N29" s="5">
        <v>0</v>
      </c>
      <c r="O29" s="5">
        <f t="shared" si="0"/>
        <v>0</v>
      </c>
    </row>
    <row r="30" spans="1:25" ht="18" customHeight="1" x14ac:dyDescent="0.3">
      <c r="A30" s="4">
        <v>25</v>
      </c>
      <c r="B30" s="5">
        <v>6916</v>
      </c>
      <c r="C30" s="5">
        <v>2</v>
      </c>
      <c r="D30" s="5">
        <v>550</v>
      </c>
      <c r="E30" s="5">
        <v>36</v>
      </c>
      <c r="F30" s="5">
        <v>39</v>
      </c>
      <c r="G30" s="5">
        <v>82</v>
      </c>
      <c r="H30" s="5">
        <f t="shared" si="1"/>
        <v>7625</v>
      </c>
      <c r="I30" s="5">
        <v>0</v>
      </c>
      <c r="J30" s="9"/>
      <c r="K30" s="4">
        <v>25</v>
      </c>
      <c r="L30" s="5">
        <v>0</v>
      </c>
      <c r="M30" s="5">
        <v>4</v>
      </c>
      <c r="N30" s="5">
        <v>0</v>
      </c>
      <c r="O30" s="5">
        <f t="shared" si="0"/>
        <v>4</v>
      </c>
    </row>
    <row r="31" spans="1:25" ht="18" customHeight="1" x14ac:dyDescent="0.3">
      <c r="A31" s="4">
        <v>26</v>
      </c>
      <c r="B31" s="5">
        <v>8976</v>
      </c>
      <c r="C31" s="5">
        <v>8</v>
      </c>
      <c r="D31" s="5">
        <v>1188</v>
      </c>
      <c r="E31" s="5">
        <v>117</v>
      </c>
      <c r="F31" s="5">
        <v>166</v>
      </c>
      <c r="G31" s="5">
        <v>277</v>
      </c>
      <c r="H31" s="5">
        <f t="shared" si="1"/>
        <v>10732</v>
      </c>
      <c r="I31" s="5">
        <v>0</v>
      </c>
      <c r="J31" s="9"/>
      <c r="K31" s="4">
        <v>26</v>
      </c>
      <c r="L31" s="5">
        <v>0</v>
      </c>
      <c r="M31" s="5">
        <v>10</v>
      </c>
      <c r="N31" s="5">
        <v>3</v>
      </c>
      <c r="O31" s="5">
        <f t="shared" si="0"/>
        <v>13</v>
      </c>
    </row>
    <row r="32" spans="1:25" ht="18" customHeight="1" x14ac:dyDescent="0.3">
      <c r="A32" s="4">
        <v>27</v>
      </c>
      <c r="B32" s="5">
        <v>9517</v>
      </c>
      <c r="C32" s="5">
        <v>6</v>
      </c>
      <c r="D32" s="5">
        <v>1159</v>
      </c>
      <c r="E32" s="5">
        <v>99</v>
      </c>
      <c r="F32" s="5">
        <v>165</v>
      </c>
      <c r="G32" s="5">
        <v>211</v>
      </c>
      <c r="H32" s="5">
        <f t="shared" si="1"/>
        <v>11157</v>
      </c>
      <c r="I32" s="5">
        <v>0</v>
      </c>
      <c r="J32" s="9"/>
      <c r="K32" s="4">
        <v>27</v>
      </c>
      <c r="L32" s="5">
        <v>0</v>
      </c>
      <c r="M32" s="5">
        <v>8</v>
      </c>
      <c r="N32" s="5">
        <v>2</v>
      </c>
      <c r="O32" s="5">
        <f t="shared" si="0"/>
        <v>10</v>
      </c>
    </row>
    <row r="33" spans="1:15" ht="18" customHeight="1" x14ac:dyDescent="0.3">
      <c r="A33" s="4">
        <v>28</v>
      </c>
      <c r="B33" s="5">
        <v>10386</v>
      </c>
      <c r="C33" s="5">
        <v>6</v>
      </c>
      <c r="D33" s="5">
        <v>1085</v>
      </c>
      <c r="E33" s="5">
        <v>92</v>
      </c>
      <c r="F33" s="5">
        <v>109</v>
      </c>
      <c r="G33" s="5">
        <v>169</v>
      </c>
      <c r="H33" s="5">
        <f t="shared" si="1"/>
        <v>11847</v>
      </c>
      <c r="I33" s="5">
        <v>0</v>
      </c>
      <c r="J33" s="9"/>
      <c r="K33" s="4">
        <v>28</v>
      </c>
      <c r="L33" s="5">
        <v>0</v>
      </c>
      <c r="M33" s="5">
        <v>5</v>
      </c>
      <c r="N33" s="5">
        <v>1</v>
      </c>
      <c r="O33" s="5">
        <f t="shared" si="0"/>
        <v>6</v>
      </c>
    </row>
    <row r="34" spans="1:15" ht="18" customHeight="1" x14ac:dyDescent="0.3">
      <c r="A34" s="4">
        <v>29</v>
      </c>
      <c r="B34" s="5">
        <f>7925+14</f>
        <v>7939</v>
      </c>
      <c r="C34" s="5">
        <v>8</v>
      </c>
      <c r="D34" s="5">
        <v>1293</v>
      </c>
      <c r="E34" s="5">
        <v>119</v>
      </c>
      <c r="F34" s="5">
        <v>142</v>
      </c>
      <c r="G34" s="5">
        <v>156</v>
      </c>
      <c r="H34" s="5">
        <f t="shared" si="1"/>
        <v>9657</v>
      </c>
      <c r="I34" s="5">
        <v>0</v>
      </c>
      <c r="J34" s="9"/>
      <c r="K34" s="4">
        <v>29</v>
      </c>
      <c r="L34" s="5">
        <v>0</v>
      </c>
      <c r="M34" s="5">
        <v>4</v>
      </c>
      <c r="N34" s="5">
        <v>7</v>
      </c>
      <c r="O34" s="5">
        <f>SUM(L34:N34)</f>
        <v>11</v>
      </c>
    </row>
    <row r="35" spans="1:15" ht="18" customHeight="1" x14ac:dyDescent="0.3">
      <c r="A35" s="4">
        <v>30</v>
      </c>
      <c r="B35" s="5">
        <f>11893+15</f>
        <v>11908</v>
      </c>
      <c r="C35" s="5">
        <v>6</v>
      </c>
      <c r="D35" s="5">
        <v>1304</v>
      </c>
      <c r="E35" s="5">
        <v>93</v>
      </c>
      <c r="F35" s="5">
        <v>144</v>
      </c>
      <c r="G35" s="5">
        <v>164</v>
      </c>
      <c r="H35" s="5">
        <f t="shared" si="1"/>
        <v>13619</v>
      </c>
      <c r="I35" s="5">
        <v>0</v>
      </c>
      <c r="J35" s="9"/>
      <c r="K35" s="4">
        <v>30</v>
      </c>
      <c r="L35" s="5">
        <v>0</v>
      </c>
      <c r="M35" s="5">
        <v>4</v>
      </c>
      <c r="N35" s="5">
        <v>1</v>
      </c>
      <c r="O35" s="5">
        <f>SUM(L35:N35)</f>
        <v>5</v>
      </c>
    </row>
    <row r="36" spans="1:15" ht="18" customHeight="1" x14ac:dyDescent="0.3">
      <c r="A36" s="4">
        <v>31</v>
      </c>
      <c r="B36" s="5">
        <f>9247+8</f>
        <v>9255</v>
      </c>
      <c r="C36" s="5">
        <v>2</v>
      </c>
      <c r="D36" s="5">
        <v>626</v>
      </c>
      <c r="E36" s="5">
        <v>10</v>
      </c>
      <c r="F36" s="5">
        <v>22</v>
      </c>
      <c r="G36" s="5">
        <v>32</v>
      </c>
      <c r="H36" s="5">
        <f t="shared" si="1"/>
        <v>9947</v>
      </c>
      <c r="I36" s="5">
        <v>0</v>
      </c>
      <c r="J36" s="9"/>
      <c r="K36" s="4">
        <v>31</v>
      </c>
      <c r="L36" s="5">
        <v>0</v>
      </c>
      <c r="M36" s="5">
        <v>2</v>
      </c>
      <c r="N36" s="5">
        <v>0</v>
      </c>
      <c r="O36" s="5">
        <f>SUM(L36:N36)</f>
        <v>2</v>
      </c>
    </row>
    <row r="37" spans="1:15" ht="18" customHeight="1" x14ac:dyDescent="0.3">
      <c r="A37" s="3" t="s">
        <v>19</v>
      </c>
      <c r="B37" s="14">
        <f>SUM(B6:B36)</f>
        <v>170375</v>
      </c>
      <c r="C37" s="14">
        <f t="shared" ref="C37:O37" si="2">SUM(C6:C36)</f>
        <v>184</v>
      </c>
      <c r="D37" s="14">
        <f t="shared" si="2"/>
        <v>37684</v>
      </c>
      <c r="E37" s="14">
        <f t="shared" si="2"/>
        <v>4552</v>
      </c>
      <c r="F37" s="14">
        <f t="shared" si="2"/>
        <v>5534</v>
      </c>
      <c r="G37" s="14">
        <f t="shared" si="2"/>
        <v>7717</v>
      </c>
      <c r="H37" s="14">
        <f t="shared" si="2"/>
        <v>226046</v>
      </c>
      <c r="I37" s="14">
        <f t="shared" si="2"/>
        <v>0</v>
      </c>
      <c r="J37" s="14"/>
      <c r="K37" s="14"/>
      <c r="L37" s="14">
        <f t="shared" si="2"/>
        <v>34</v>
      </c>
      <c r="M37" s="14">
        <f t="shared" si="2"/>
        <v>176</v>
      </c>
      <c r="N37" s="14">
        <f t="shared" si="2"/>
        <v>72</v>
      </c>
      <c r="O37" s="14">
        <f t="shared" si="2"/>
        <v>282</v>
      </c>
    </row>
    <row r="38" spans="1:15" ht="18" customHeight="1" x14ac:dyDescent="0.3">
      <c r="A38" s="3" t="s">
        <v>19</v>
      </c>
      <c r="B38" s="47">
        <f>+B37+C37</f>
        <v>170559</v>
      </c>
      <c r="C38" s="47"/>
      <c r="D38" s="14">
        <f>+D37</f>
        <v>37684</v>
      </c>
      <c r="E38" s="14">
        <f>+E37</f>
        <v>4552</v>
      </c>
      <c r="F38" s="14">
        <f>+F37</f>
        <v>5534</v>
      </c>
      <c r="G38" s="14">
        <f>+G37</f>
        <v>7717</v>
      </c>
      <c r="H38" s="14">
        <f>+H37</f>
        <v>226046</v>
      </c>
      <c r="I38" s="14">
        <v>0</v>
      </c>
      <c r="J38" s="15"/>
      <c r="K38" s="3"/>
      <c r="L38" s="16" t="s">
        <v>21</v>
      </c>
      <c r="M38" s="16" t="s">
        <v>22</v>
      </c>
      <c r="N38" s="16" t="s">
        <v>21</v>
      </c>
      <c r="O38" s="16" t="s">
        <v>22</v>
      </c>
    </row>
    <row r="39" spans="1:15" ht="18" customHeight="1" x14ac:dyDescent="0.3">
      <c r="A39" s="17"/>
      <c r="B39" s="34"/>
      <c r="C39" s="34"/>
      <c r="D39" s="34"/>
      <c r="E39" s="34"/>
      <c r="F39" s="34"/>
      <c r="G39" s="34"/>
      <c r="H39" s="34"/>
      <c r="L39" s="35"/>
    </row>
    <row r="40" spans="1:15" x14ac:dyDescent="0.3">
      <c r="A40" s="36"/>
      <c r="B40" s="37"/>
      <c r="C40" s="37"/>
      <c r="D40" s="37"/>
      <c r="E40" s="37"/>
      <c r="F40" s="37"/>
      <c r="G40" s="37"/>
      <c r="H40" s="37"/>
      <c r="I40" s="37"/>
      <c r="J40" s="35"/>
      <c r="K40" s="44"/>
      <c r="L40" s="38" t="s">
        <v>22</v>
      </c>
    </row>
    <row r="41" spans="1:15" x14ac:dyDescent="0.3">
      <c r="A41" s="30"/>
      <c r="H41" s="30"/>
      <c r="K41" s="44"/>
      <c r="L41" s="38"/>
    </row>
    <row r="42" spans="1:15" x14ac:dyDescent="0.3">
      <c r="K42" s="44"/>
      <c r="L42" s="38"/>
    </row>
    <row r="43" spans="1:15" x14ac:dyDescent="0.3">
      <c r="I43" s="30"/>
      <c r="J43" s="30"/>
    </row>
    <row r="45" spans="1:15" x14ac:dyDescent="0.3">
      <c r="A45" s="42"/>
    </row>
    <row r="46" spans="1:15" x14ac:dyDescent="0.3">
      <c r="A46" s="42"/>
      <c r="B46" s="30"/>
      <c r="C46" s="30"/>
      <c r="D46" s="30"/>
      <c r="E46" s="30"/>
      <c r="F46" s="30"/>
      <c r="G46" s="30"/>
      <c r="H46" s="30"/>
      <c r="I46" s="30"/>
      <c r="J46" s="30"/>
      <c r="K46" s="45"/>
      <c r="L46" s="30"/>
      <c r="M46" s="30"/>
      <c r="N46" s="30"/>
      <c r="O46" s="3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2014</vt:lpstr>
      <vt:lpstr>FEBRERO 2014</vt:lpstr>
      <vt:lpstr>MARZO 2014</vt:lpstr>
      <vt:lpstr>ABRIL 2014</vt:lpstr>
      <vt:lpstr>MAYO 2014</vt:lpstr>
      <vt:lpstr>JUNIO 2014</vt:lpstr>
      <vt:lpstr>JULIO 2014</vt:lpstr>
      <vt:lpstr>AGOSTO 2014</vt:lpstr>
      <vt:lpstr>SEPTIEMBRE 2014</vt:lpstr>
      <vt:lpstr>OCTUBRE 2014</vt:lpstr>
      <vt:lpstr>NOVIEMBRE 2014</vt:lpstr>
      <vt:lpstr>DICIEMBRE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2026-01-14T19:20:37Z</dcterms:created>
  <dcterms:modified xsi:type="dcterms:W3CDTF">2026-01-27T23:07:05Z</dcterms:modified>
</cp:coreProperties>
</file>