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FDFF7D1C-EE26-467D-9BE4-34EDB7C9805B}" xr6:coauthVersionLast="47" xr6:coauthVersionMax="47" xr10:uidLastSave="{00000000-0000-0000-0000-000000000000}"/>
  <bookViews>
    <workbookView xWindow="-108" yWindow="-108" windowWidth="23256" windowHeight="12456" activeTab="4" xr2:uid="{70F02E92-19DC-4325-989B-90AE14A6E3B3}"/>
  </bookViews>
  <sheets>
    <sheet name="ENERO 2020" sheetId="1" r:id="rId1"/>
    <sheet name="FEBRERO 2020" sheetId="2" r:id="rId2"/>
    <sheet name="MARZO 2020" sheetId="3" r:id="rId3"/>
    <sheet name="ABRIL 2020" sheetId="4" r:id="rId4"/>
    <sheet name="MAYO 2020" sheetId="5" r:id="rId5"/>
    <sheet name="JUNIO 2020" sheetId="6" r:id="rId6"/>
    <sheet name="JULIO 2020" sheetId="7" r:id="rId7"/>
    <sheet name="AGOSTO 2020" sheetId="8" r:id="rId8"/>
    <sheet name="SEPTIEMBRE 2020" sheetId="9" r:id="rId9"/>
    <sheet name="OCTUBRE 2020" sheetId="10" r:id="rId10"/>
    <sheet name="NOVIEMBRE 2020" sheetId="11" r:id="rId11"/>
    <sheet name="DICIEMBRE 2020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C37" i="3"/>
  <c r="D37" i="3"/>
  <c r="E37" i="3"/>
  <c r="F37" i="3"/>
  <c r="G37" i="3"/>
  <c r="B37" i="3"/>
  <c r="E38" i="3"/>
  <c r="F38" i="3"/>
  <c r="G38" i="3"/>
  <c r="D38" i="3"/>
  <c r="B38" i="3"/>
  <c r="H38" i="3" s="1"/>
  <c r="H33" i="3"/>
  <c r="H34" i="3"/>
  <c r="H35" i="3"/>
  <c r="H36" i="3"/>
  <c r="H32" i="3"/>
  <c r="H38" i="4"/>
  <c r="H38" i="5"/>
  <c r="G37" i="5"/>
  <c r="G38" i="5" s="1"/>
  <c r="D37" i="5"/>
  <c r="D38" i="5" s="1"/>
  <c r="C37" i="5"/>
  <c r="E37" i="5"/>
  <c r="E38" i="5" s="1"/>
  <c r="F37" i="5"/>
  <c r="F38" i="5" s="1"/>
  <c r="H37" i="5"/>
  <c r="I37" i="5"/>
  <c r="H37" i="4"/>
  <c r="I37" i="4"/>
  <c r="C37" i="4"/>
  <c r="D37" i="4"/>
  <c r="D38" i="4" s="1"/>
  <c r="E37" i="4"/>
  <c r="E38" i="4" s="1"/>
  <c r="F37" i="4"/>
  <c r="F38" i="4" s="1"/>
  <c r="G37" i="4"/>
  <c r="G38" i="4" s="1"/>
  <c r="B37" i="4"/>
  <c r="B38" i="4" l="1"/>
  <c r="B37" i="5"/>
  <c r="B38" i="5" s="1"/>
  <c r="F38" i="1"/>
  <c r="D38" i="1"/>
  <c r="N37" i="1"/>
  <c r="M37" i="1"/>
  <c r="L37" i="1"/>
  <c r="I37" i="1"/>
  <c r="G37" i="1"/>
  <c r="G38" i="1" s="1"/>
  <c r="F37" i="1"/>
  <c r="E37" i="1"/>
  <c r="E38" i="1" s="1"/>
  <c r="D37" i="1"/>
  <c r="C37" i="1"/>
  <c r="B37" i="1"/>
  <c r="B38" i="1" s="1"/>
  <c r="O36" i="1"/>
  <c r="H36" i="1"/>
  <c r="O35" i="1"/>
  <c r="H35" i="1"/>
  <c r="O34" i="1"/>
  <c r="H34" i="1"/>
  <c r="O33" i="1"/>
  <c r="H33" i="1"/>
  <c r="O32" i="1"/>
  <c r="H32" i="1"/>
  <c r="O31" i="1"/>
  <c r="H31" i="1"/>
  <c r="O30" i="1"/>
  <c r="H30" i="1"/>
  <c r="O29" i="1"/>
  <c r="H29" i="1"/>
  <c r="O28" i="1"/>
  <c r="H28" i="1"/>
  <c r="O27" i="1"/>
  <c r="H27" i="1"/>
  <c r="O26" i="1"/>
  <c r="H26" i="1"/>
  <c r="O25" i="1"/>
  <c r="H25" i="1"/>
  <c r="O24" i="1"/>
  <c r="H24" i="1"/>
  <c r="O23" i="1"/>
  <c r="H23" i="1"/>
  <c r="O22" i="1"/>
  <c r="H22" i="1"/>
  <c r="O21" i="1"/>
  <c r="H21" i="1"/>
  <c r="O20" i="1"/>
  <c r="H20" i="1"/>
  <c r="O19" i="1"/>
  <c r="H19" i="1"/>
  <c r="O18" i="1"/>
  <c r="H18" i="1"/>
  <c r="O17" i="1"/>
  <c r="H17" i="1"/>
  <c r="O16" i="1"/>
  <c r="H16" i="1"/>
  <c r="O15" i="1"/>
  <c r="H15" i="1"/>
  <c r="O14" i="1"/>
  <c r="H14" i="1"/>
  <c r="O13" i="1"/>
  <c r="H13" i="1"/>
  <c r="O12" i="1"/>
  <c r="H12" i="1"/>
  <c r="O11" i="1"/>
  <c r="H11" i="1"/>
  <c r="O10" i="1"/>
  <c r="H10" i="1"/>
  <c r="O9" i="1"/>
  <c r="H9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O8" i="1"/>
  <c r="H8" i="1"/>
  <c r="P7" i="1"/>
  <c r="O7" i="1"/>
  <c r="H7" i="1"/>
  <c r="O6" i="1"/>
  <c r="O37" i="1" s="1"/>
  <c r="H6" i="1"/>
  <c r="H37" i="1" s="1"/>
  <c r="H38" i="1" s="1"/>
</calcChain>
</file>

<file path=xl/sharedStrings.xml><?xml version="1.0" encoding="utf-8"?>
<sst xmlns="http://schemas.openxmlformats.org/spreadsheetml/2006/main" count="349" uniqueCount="36">
  <si>
    <t>ENERO 2020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</si>
  <si>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</si>
  <si>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</si>
  <si>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</si>
  <si>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</si>
  <si>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</si>
  <si>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</si>
  <si>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</si>
  <si>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</si>
  <si>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</si>
  <si>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</si>
  <si>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</si>
  <si>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</si>
  <si>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</si>
  <si>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</si>
  <si>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</si>
  <si>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</si>
  <si>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</si>
  <si>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</si>
  <si>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</si>
  <si>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</si>
  <si>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</si>
  <si>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</si>
  <si>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</si>
  <si>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</si>
  <si>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</si>
  <si>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</si>
  <si>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</si>
  <si>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</si>
  <si>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</si>
  <si>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</si>
  <si>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</si>
  <si>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</si>
  <si>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 2020</t>
  </si>
  <si>
    <t>CONCESIÓN SABANA DE OCCIDENTE S.A.S.</t>
  </si>
  <si>
    <t>TRÁFICO POR CATEGORÍAS, ESTACIÓN DE PEAJE SIBERIA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</si>
</sst>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#,##0_ ;\-#,##0\ "/>
    <numFmt numFmtId="165" formatCode="_(* #,##0_);_(* \(#,##0\);_(* &quot;-&quot;??_);_(@_)"/>
    <numFmt numFmtId="166" formatCode="_([$$-240A]\ * #,##0_);_([$$-240A]\ * \(#,##0\);_([$$-240A]\ * &quot;-&quot;??_);_(@_)"/>
    <numFmt numFmtId="167" formatCode="_(&quot;N$&quot;* #,##0.00_);_(&quot;N$&quot;* \(#,##0.00\);_(&quot;N$&quot;* &quot;-&quot;??_);_(@_)"/>
    <numFmt numFmtId="168" formatCode="_ [$$-240A]\ * #,##0_ ;_ [$$-240A]\ * \-#,##0_ ;_ [$$-240A]\ * &quot;-&quot;_ ;_ @_ "/>
    <numFmt numFmtId="169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>
      <alignment vertical="top"/>
    </xf>
    <xf numFmtId="166" fontId="6" fillId="0" borderId="0"/>
    <xf numFmtId="166" fontId="6" fillId="0" borderId="0"/>
    <xf numFmtId="166" fontId="7" fillId="0" borderId="0">
      <alignment vertical="top"/>
    </xf>
    <xf numFmtId="166" fontId="8" fillId="0" borderId="0"/>
    <xf numFmtId="166" fontId="8" fillId="0" borderId="0"/>
    <xf numFmtId="166" fontId="7" fillId="0" borderId="0">
      <alignment vertical="top"/>
    </xf>
    <xf numFmtId="166" fontId="7" fillId="0" borderId="0">
      <alignment vertical="top"/>
    </xf>
    <xf numFmtId="166" fontId="7" fillId="0" borderId="0">
      <alignment vertical="top"/>
    </xf>
    <xf numFmtId="166" fontId="7" fillId="0" borderId="0">
      <alignment vertical="top"/>
    </xf>
    <xf numFmtId="166" fontId="6" fillId="0" borderId="0"/>
    <xf numFmtId="166" fontId="8" fillId="3" borderId="0" applyNumberFormat="0" applyBorder="0" applyAlignment="0" applyProtection="0"/>
    <xf numFmtId="166" fontId="8" fillId="4" borderId="0" applyNumberFormat="0" applyBorder="0" applyAlignment="0" applyProtection="0"/>
    <xf numFmtId="166" fontId="8" fillId="5" borderId="0" applyNumberFormat="0" applyBorder="0" applyAlignment="0" applyProtection="0"/>
    <xf numFmtId="166" fontId="8" fillId="6" borderId="0" applyNumberFormat="0" applyBorder="0" applyAlignment="0" applyProtection="0"/>
    <xf numFmtId="166" fontId="8" fillId="7" borderId="0" applyNumberFormat="0" applyBorder="0" applyAlignment="0" applyProtection="0"/>
    <xf numFmtId="166" fontId="8" fillId="8" borderId="0" applyNumberFormat="0" applyBorder="0" applyAlignment="0" applyProtection="0"/>
    <xf numFmtId="166" fontId="8" fillId="9" borderId="0" applyNumberFormat="0" applyBorder="0" applyAlignment="0" applyProtection="0"/>
    <xf numFmtId="166" fontId="8" fillId="10" borderId="0" applyNumberFormat="0" applyBorder="0" applyAlignment="0" applyProtection="0"/>
    <xf numFmtId="166" fontId="8" fillId="11" borderId="0" applyNumberFormat="0" applyBorder="0" applyAlignment="0" applyProtection="0"/>
    <xf numFmtId="166" fontId="8" fillId="6" borderId="0" applyNumberFormat="0" applyBorder="0" applyAlignment="0" applyProtection="0"/>
    <xf numFmtId="166" fontId="8" fillId="9" borderId="0" applyNumberFormat="0" applyBorder="0" applyAlignment="0" applyProtection="0"/>
    <xf numFmtId="166" fontId="8" fillId="12" borderId="0" applyNumberFormat="0" applyBorder="0" applyAlignment="0" applyProtection="0"/>
    <xf numFmtId="166" fontId="9" fillId="13" borderId="0" applyNumberFormat="0" applyBorder="0" applyAlignment="0" applyProtection="0"/>
    <xf numFmtId="166" fontId="9" fillId="10" borderId="0" applyNumberFormat="0" applyBorder="0" applyAlignment="0" applyProtection="0"/>
    <xf numFmtId="166" fontId="9" fillId="11" borderId="0" applyNumberFormat="0" applyBorder="0" applyAlignment="0" applyProtection="0"/>
    <xf numFmtId="166" fontId="9" fillId="14" borderId="0" applyNumberFormat="0" applyBorder="0" applyAlignment="0" applyProtection="0"/>
    <xf numFmtId="166" fontId="9" fillId="15" borderId="0" applyNumberFormat="0" applyBorder="0" applyAlignment="0" applyProtection="0"/>
    <xf numFmtId="166" fontId="9" fillId="16" borderId="0" applyNumberFormat="0" applyBorder="0" applyAlignment="0" applyProtection="0"/>
    <xf numFmtId="166" fontId="10" fillId="5" borderId="0" applyNumberFormat="0" applyBorder="0" applyAlignment="0" applyProtection="0"/>
    <xf numFmtId="166" fontId="11" fillId="8" borderId="5" applyNumberFormat="0" applyAlignment="0" applyProtection="0"/>
    <xf numFmtId="166" fontId="12" fillId="17" borderId="6" applyNumberFormat="0" applyAlignment="0" applyProtection="0"/>
    <xf numFmtId="166" fontId="13" fillId="0" borderId="7" applyNumberFormat="0" applyFill="0" applyAlignment="0" applyProtection="0"/>
    <xf numFmtId="166" fontId="14" fillId="0" borderId="0" applyNumberFormat="0" applyFill="0" applyBorder="0" applyAlignment="0" applyProtection="0"/>
    <xf numFmtId="166" fontId="9" fillId="18" borderId="0" applyNumberFormat="0" applyBorder="0" applyAlignment="0" applyProtection="0"/>
    <xf numFmtId="166" fontId="9" fillId="19" borderId="0" applyNumberFormat="0" applyBorder="0" applyAlignment="0" applyProtection="0"/>
    <xf numFmtId="166" fontId="9" fillId="20" borderId="0" applyNumberFormat="0" applyBorder="0" applyAlignment="0" applyProtection="0"/>
    <xf numFmtId="166" fontId="9" fillId="14" borderId="0" applyNumberFormat="0" applyBorder="0" applyAlignment="0" applyProtection="0"/>
    <xf numFmtId="166" fontId="9" fillId="15" borderId="0" applyNumberFormat="0" applyBorder="0" applyAlignment="0" applyProtection="0"/>
    <xf numFmtId="166" fontId="9" fillId="21" borderId="0" applyNumberFormat="0" applyBorder="0" applyAlignment="0" applyProtection="0"/>
    <xf numFmtId="166" fontId="15" fillId="8" borderId="5" applyNumberFormat="0" applyAlignment="0" applyProtection="0"/>
    <xf numFmtId="166" fontId="6" fillId="0" borderId="0" applyFont="0" applyFill="0" applyBorder="0" applyAlignment="0" applyProtection="0"/>
    <xf numFmtId="166" fontId="16" fillId="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17" fillId="22" borderId="0" applyNumberFormat="0" applyBorder="0" applyAlignment="0" applyProtection="0"/>
    <xf numFmtId="166" fontId="8" fillId="23" borderId="8" applyNumberFormat="0" applyFont="0" applyAlignment="0" applyProtection="0"/>
    <xf numFmtId="9" fontId="6" fillId="0" borderId="0" applyFont="0" applyFill="0" applyBorder="0" applyAlignment="0" applyProtection="0"/>
    <xf numFmtId="166" fontId="18" fillId="8" borderId="9" applyNumberFormat="0" applyAlignment="0" applyProtection="0"/>
    <xf numFmtId="166" fontId="19" fillId="0" borderId="0" applyNumberFormat="0" applyFill="0" applyBorder="0" applyAlignment="0" applyProtection="0"/>
    <xf numFmtId="166" fontId="20" fillId="0" borderId="0" applyNumberFormat="0" applyFill="0" applyBorder="0" applyAlignment="0" applyProtection="0"/>
    <xf numFmtId="166" fontId="21" fillId="0" borderId="0" applyNumberFormat="0" applyFill="0" applyBorder="0" applyAlignment="0" applyProtection="0"/>
    <xf numFmtId="166" fontId="22" fillId="0" borderId="10" applyNumberFormat="0" applyFill="0" applyAlignment="0" applyProtection="0"/>
    <xf numFmtId="166" fontId="23" fillId="0" borderId="11" applyNumberFormat="0" applyFill="0" applyAlignment="0" applyProtection="0"/>
    <xf numFmtId="166" fontId="14" fillId="0" borderId="12" applyNumberFormat="0" applyFill="0" applyAlignment="0" applyProtection="0"/>
    <xf numFmtId="166" fontId="24" fillId="0" borderId="13" applyNumberFormat="0" applyFill="0" applyAlignment="0" applyProtection="0"/>
    <xf numFmtId="168" fontId="6" fillId="0" borderId="0">
      <alignment vertical="top"/>
    </xf>
    <xf numFmtId="168" fontId="6" fillId="0" borderId="0"/>
    <xf numFmtId="168" fontId="6" fillId="0" borderId="0"/>
    <xf numFmtId="168" fontId="7" fillId="0" borderId="0">
      <alignment vertical="top"/>
    </xf>
    <xf numFmtId="168" fontId="8" fillId="0" borderId="0"/>
    <xf numFmtId="168" fontId="8" fillId="0" borderId="0"/>
    <xf numFmtId="168" fontId="7" fillId="0" borderId="0">
      <alignment vertical="top"/>
    </xf>
    <xf numFmtId="168" fontId="7" fillId="0" borderId="0">
      <alignment vertical="top"/>
    </xf>
    <xf numFmtId="168" fontId="7" fillId="0" borderId="0">
      <alignment vertical="top"/>
    </xf>
    <xf numFmtId="168" fontId="7" fillId="0" borderId="0">
      <alignment vertical="top"/>
    </xf>
    <xf numFmtId="168" fontId="6" fillId="0" borderId="0"/>
    <xf numFmtId="168" fontId="8" fillId="3" borderId="0" applyNumberFormat="0" applyBorder="0" applyAlignment="0" applyProtection="0"/>
    <xf numFmtId="168" fontId="8" fillId="4" borderId="0" applyNumberFormat="0" applyBorder="0" applyAlignment="0" applyProtection="0"/>
    <xf numFmtId="168" fontId="8" fillId="5" borderId="0" applyNumberFormat="0" applyBorder="0" applyAlignment="0" applyProtection="0"/>
    <xf numFmtId="168" fontId="8" fillId="6" borderId="0" applyNumberFormat="0" applyBorder="0" applyAlignment="0" applyProtection="0"/>
    <xf numFmtId="168" fontId="8" fillId="7" borderId="0" applyNumberFormat="0" applyBorder="0" applyAlignment="0" applyProtection="0"/>
    <xf numFmtId="168" fontId="8" fillId="8" borderId="0" applyNumberFormat="0" applyBorder="0" applyAlignment="0" applyProtection="0"/>
    <xf numFmtId="168" fontId="8" fillId="9" borderId="0" applyNumberFormat="0" applyBorder="0" applyAlignment="0" applyProtection="0"/>
    <xf numFmtId="168" fontId="8" fillId="10" borderId="0" applyNumberFormat="0" applyBorder="0" applyAlignment="0" applyProtection="0"/>
    <xf numFmtId="168" fontId="8" fillId="11" borderId="0" applyNumberFormat="0" applyBorder="0" applyAlignment="0" applyProtection="0"/>
    <xf numFmtId="168" fontId="8" fillId="6" borderId="0" applyNumberFormat="0" applyBorder="0" applyAlignment="0" applyProtection="0"/>
    <xf numFmtId="168" fontId="8" fillId="9" borderId="0" applyNumberFormat="0" applyBorder="0" applyAlignment="0" applyProtection="0"/>
    <xf numFmtId="168" fontId="8" fillId="12" borderId="0" applyNumberFormat="0" applyBorder="0" applyAlignment="0" applyProtection="0"/>
    <xf numFmtId="168" fontId="9" fillId="13" borderId="0" applyNumberFormat="0" applyBorder="0" applyAlignment="0" applyProtection="0"/>
    <xf numFmtId="168" fontId="9" fillId="10" borderId="0" applyNumberFormat="0" applyBorder="0" applyAlignment="0" applyProtection="0"/>
    <xf numFmtId="168" fontId="9" fillId="11" borderId="0" applyNumberFormat="0" applyBorder="0" applyAlignment="0" applyProtection="0"/>
    <xf numFmtId="168" fontId="9" fillId="14" borderId="0" applyNumberFormat="0" applyBorder="0" applyAlignment="0" applyProtection="0"/>
    <xf numFmtId="168" fontId="9" fillId="15" borderId="0" applyNumberFormat="0" applyBorder="0" applyAlignment="0" applyProtection="0"/>
    <xf numFmtId="168" fontId="9" fillId="16" borderId="0" applyNumberFormat="0" applyBorder="0" applyAlignment="0" applyProtection="0"/>
    <xf numFmtId="168" fontId="10" fillId="5" borderId="0" applyNumberFormat="0" applyBorder="0" applyAlignment="0" applyProtection="0"/>
    <xf numFmtId="168" fontId="11" fillId="8" borderId="5" applyNumberFormat="0" applyAlignment="0" applyProtection="0"/>
    <xf numFmtId="168" fontId="12" fillId="17" borderId="6" applyNumberFormat="0" applyAlignment="0" applyProtection="0"/>
    <xf numFmtId="168" fontId="13" fillId="0" borderId="7" applyNumberFormat="0" applyFill="0" applyAlignment="0" applyProtection="0"/>
    <xf numFmtId="168" fontId="14" fillId="0" borderId="0" applyNumberFormat="0" applyFill="0" applyBorder="0" applyAlignment="0" applyProtection="0"/>
    <xf numFmtId="168" fontId="9" fillId="18" borderId="0" applyNumberFormat="0" applyBorder="0" applyAlignment="0" applyProtection="0"/>
    <xf numFmtId="168" fontId="9" fillId="19" borderId="0" applyNumberFormat="0" applyBorder="0" applyAlignment="0" applyProtection="0"/>
    <xf numFmtId="168" fontId="9" fillId="20" borderId="0" applyNumberFormat="0" applyBorder="0" applyAlignment="0" applyProtection="0"/>
    <xf numFmtId="168" fontId="9" fillId="14" borderId="0" applyNumberFormat="0" applyBorder="0" applyAlignment="0" applyProtection="0"/>
    <xf numFmtId="168" fontId="9" fillId="15" borderId="0" applyNumberFormat="0" applyBorder="0" applyAlignment="0" applyProtection="0"/>
    <xf numFmtId="168" fontId="9" fillId="21" borderId="0" applyNumberFormat="0" applyBorder="0" applyAlignment="0" applyProtection="0"/>
    <xf numFmtId="168" fontId="15" fillId="8" borderId="5" applyNumberFormat="0" applyAlignment="0" applyProtection="0"/>
    <xf numFmtId="168" fontId="6" fillId="0" borderId="0" applyFont="0" applyFill="0" applyBorder="0" applyAlignment="0" applyProtection="0"/>
    <xf numFmtId="168" fontId="16" fillId="4" borderId="0" applyNumberFormat="0" applyBorder="0" applyAlignment="0" applyProtection="0"/>
    <xf numFmtId="43" fontId="6" fillId="0" borderId="0" applyFont="0" applyFill="0" applyBorder="0" applyAlignment="0" applyProtection="0"/>
    <xf numFmtId="168" fontId="17" fillId="22" borderId="0" applyNumberFormat="0" applyBorder="0" applyAlignment="0" applyProtection="0"/>
    <xf numFmtId="168" fontId="8" fillId="23" borderId="8" applyNumberFormat="0" applyFont="0" applyAlignment="0" applyProtection="0"/>
    <xf numFmtId="168" fontId="18" fillId="8" borderId="9" applyNumberFormat="0" applyAlignment="0" applyProtection="0"/>
    <xf numFmtId="168" fontId="19" fillId="0" borderId="0" applyNumberFormat="0" applyFill="0" applyBorder="0" applyAlignment="0" applyProtection="0"/>
    <xf numFmtId="168" fontId="20" fillId="0" borderId="0" applyNumberForma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10" applyNumberFormat="0" applyFill="0" applyAlignment="0" applyProtection="0"/>
    <xf numFmtId="168" fontId="23" fillId="0" borderId="11" applyNumberFormat="0" applyFill="0" applyAlignment="0" applyProtection="0"/>
    <xf numFmtId="168" fontId="14" fillId="0" borderId="12" applyNumberFormat="0" applyFill="0" applyAlignment="0" applyProtection="0"/>
    <xf numFmtId="168" fontId="24" fillId="0" borderId="13" applyNumberFormat="0" applyFill="0" applyAlignment="0" applyProtection="0"/>
    <xf numFmtId="0" fontId="1" fillId="0" borderId="0"/>
    <xf numFmtId="166" fontId="6" fillId="0" borderId="0">
      <alignment vertical="top"/>
    </xf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37" fontId="4" fillId="0" borderId="2" xfId="1" applyNumberFormat="1" applyFont="1" applyFill="1" applyBorder="1" applyAlignment="1" applyProtection="1">
      <alignment horizontal="center" vertical="center"/>
    </xf>
    <xf numFmtId="37" fontId="5" fillId="0" borderId="2" xfId="1" applyNumberFormat="1" applyFont="1" applyFill="1" applyBorder="1" applyAlignment="1" applyProtection="1">
      <alignment horizontal="center" vertical="center"/>
    </xf>
    <xf numFmtId="37" fontId="5" fillId="0" borderId="0" xfId="1" applyNumberFormat="1" applyFont="1" applyFill="1" applyBorder="1" applyAlignment="1" applyProtection="1">
      <alignment horizontal="center" vertical="center" wrapText="1"/>
    </xf>
    <xf numFmtId="164" fontId="5" fillId="0" borderId="2" xfId="1" applyNumberFormat="1" applyFont="1" applyFill="1" applyBorder="1" applyAlignment="1" applyProtection="1">
      <alignment horizontal="center" vertical="center"/>
    </xf>
    <xf numFmtId="165" fontId="5" fillId="0" borderId="4" xfId="1" applyNumberFormat="1" applyFont="1" applyFill="1" applyBorder="1" applyAlignment="1" applyProtection="1"/>
    <xf numFmtId="3" fontId="5" fillId="0" borderId="0" xfId="0" applyNumberFormat="1" applyFont="1"/>
    <xf numFmtId="37" fontId="5" fillId="0" borderId="0" xfId="1" applyNumberFormat="1" applyFont="1" applyFill="1" applyBorder="1" applyAlignment="1" applyProtection="1">
      <alignment horizontal="center" vertical="center"/>
    </xf>
    <xf numFmtId="165" fontId="5" fillId="2" borderId="4" xfId="1" applyNumberFormat="1" applyFont="1" applyFill="1" applyBorder="1" applyAlignment="1" applyProtection="1"/>
    <xf numFmtId="0" fontId="5" fillId="2" borderId="0" xfId="0" applyFont="1" applyFill="1"/>
    <xf numFmtId="166" fontId="5" fillId="0" borderId="0" xfId="3" applyNumberFormat="1" applyFont="1" applyFill="1" applyProtection="1"/>
    <xf numFmtId="3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0" fontId="4" fillId="0" borderId="0" xfId="2" applyNumberFormat="1" applyFont="1" applyAlignment="1" applyProtection="1">
      <alignment horizontal="right"/>
    </xf>
    <xf numFmtId="10" fontId="5" fillId="0" borderId="0" xfId="2" applyNumberFormat="1" applyFont="1" applyAlignment="1" applyProtection="1">
      <alignment horizontal="right"/>
    </xf>
    <xf numFmtId="17" fontId="5" fillId="0" borderId="0" xfId="0" applyNumberFormat="1" applyFont="1"/>
    <xf numFmtId="3" fontId="4" fillId="0" borderId="0" xfId="0" applyNumberFormat="1" applyFont="1"/>
    <xf numFmtId="166" fontId="6" fillId="0" borderId="0" xfId="4" applyAlignment="1"/>
    <xf numFmtId="166" fontId="4" fillId="0" borderId="0" xfId="4" applyFont="1" applyAlignment="1">
      <alignment horizontal="center" vertical="center" wrapText="1"/>
    </xf>
    <xf numFmtId="37" fontId="4" fillId="0" borderId="2" xfId="47" applyNumberFormat="1" applyFont="1" applyFill="1" applyBorder="1" applyAlignment="1" applyProtection="1">
      <alignment horizontal="center" vertical="center"/>
    </xf>
    <xf numFmtId="37" fontId="5" fillId="0" borderId="2" xfId="47" applyNumberFormat="1" applyFont="1" applyFill="1" applyBorder="1" applyAlignment="1" applyProtection="1">
      <alignment horizontal="center" vertical="center"/>
    </xf>
    <xf numFmtId="37" fontId="5" fillId="0" borderId="0" xfId="47" applyNumberFormat="1" applyFont="1" applyFill="1" applyBorder="1" applyAlignment="1" applyProtection="1">
      <alignment horizontal="center" vertical="center" wrapText="1"/>
    </xf>
    <xf numFmtId="37" fontId="5" fillId="0" borderId="0" xfId="47" applyNumberFormat="1" applyFont="1" applyFill="1" applyBorder="1" applyAlignment="1" applyProtection="1">
      <alignment horizontal="center" vertical="center"/>
    </xf>
    <xf numFmtId="166" fontId="4" fillId="0" borderId="0" xfId="4" applyFont="1" applyAlignment="1">
      <alignment horizontal="center" vertical="center"/>
    </xf>
    <xf numFmtId="166" fontId="4" fillId="0" borderId="0" xfId="4" applyFont="1" applyAlignment="1">
      <alignment horizontal="left" vertical="center"/>
    </xf>
    <xf numFmtId="166" fontId="4" fillId="0" borderId="2" xfId="4" applyFont="1" applyBorder="1" applyAlignment="1">
      <alignment horizontal="center" vertical="center" wrapText="1"/>
    </xf>
    <xf numFmtId="166" fontId="4" fillId="0" borderId="2" xfId="4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3" fontId="5" fillId="0" borderId="0" xfId="4" applyNumberFormat="1" applyFont="1" applyAlignment="1"/>
    <xf numFmtId="166" fontId="4" fillId="0" borderId="0" xfId="4" applyFont="1" applyAlignment="1">
      <alignment horizontal="center"/>
    </xf>
    <xf numFmtId="166" fontId="3" fillId="0" borderId="0" xfId="4" applyFont="1" applyAlignment="1"/>
    <xf numFmtId="166" fontId="5" fillId="2" borderId="0" xfId="4" applyFont="1" applyFill="1" applyAlignment="1"/>
    <xf numFmtId="3" fontId="5" fillId="0" borderId="0" xfId="4" applyNumberFormat="1" applyFont="1" applyAlignment="1">
      <alignment horizontal="right"/>
    </xf>
    <xf numFmtId="3" fontId="4" fillId="0" borderId="0" xfId="4" applyNumberFormat="1" applyFont="1" applyAlignment="1"/>
    <xf numFmtId="165" fontId="5" fillId="0" borderId="4" xfId="47" applyNumberFormat="1" applyFont="1" applyFill="1" applyBorder="1" applyAlignment="1" applyProtection="1"/>
    <xf numFmtId="165" fontId="5" fillId="2" borderId="4" xfId="47" applyNumberFormat="1" applyFont="1" applyFill="1" applyBorder="1" applyAlignment="1" applyProtection="1"/>
    <xf numFmtId="166" fontId="5" fillId="0" borderId="0" xfId="48" applyNumberFormat="1" applyFont="1" applyFill="1" applyProtection="1"/>
    <xf numFmtId="17" fontId="5" fillId="0" borderId="0" xfId="4" applyNumberFormat="1" applyFont="1" applyAlignment="1"/>
    <xf numFmtId="166" fontId="4" fillId="0" borderId="0" xfId="4" applyFont="1" applyAlignment="1">
      <alignment horizontal="left"/>
    </xf>
    <xf numFmtId="166" fontId="5" fillId="0" borderId="0" xfId="4" applyFont="1" applyAlignment="1">
      <alignment horizontal="right"/>
    </xf>
    <xf numFmtId="10" fontId="5" fillId="0" borderId="0" xfId="52" applyNumberFormat="1" applyFont="1" applyAlignment="1" applyProtection="1">
      <alignment horizontal="right"/>
    </xf>
    <xf numFmtId="10" fontId="4" fillId="0" borderId="0" xfId="52" applyNumberFormat="1" applyFont="1" applyAlignment="1" applyProtection="1">
      <alignment horizontal="right"/>
    </xf>
    <xf numFmtId="164" fontId="5" fillId="0" borderId="2" xfId="47" applyNumberFormat="1" applyFont="1" applyFill="1" applyBorder="1" applyAlignment="1" applyProtection="1">
      <alignment horizontal="center" vertical="center"/>
    </xf>
    <xf numFmtId="166" fontId="4" fillId="0" borderId="2" xfId="116" applyFont="1" applyBorder="1" applyAlignment="1">
      <alignment horizontal="center" vertical="center" wrapText="1"/>
    </xf>
    <xf numFmtId="166" fontId="4" fillId="0" borderId="2" xfId="116" applyFont="1" applyBorder="1" applyAlignment="1">
      <alignment horizontal="center" vertical="center"/>
    </xf>
    <xf numFmtId="3" fontId="4" fillId="0" borderId="2" xfId="116" applyNumberFormat="1" applyFont="1" applyBorder="1" applyAlignment="1">
      <alignment horizontal="center" vertical="center"/>
    </xf>
    <xf numFmtId="166" fontId="6" fillId="0" borderId="0" xfId="116" applyAlignment="1"/>
    <xf numFmtId="166" fontId="4" fillId="0" borderId="0" xfId="116" applyFont="1" applyAlignment="1">
      <alignment horizontal="center" vertical="center" wrapText="1"/>
    </xf>
    <xf numFmtId="166" fontId="5" fillId="0" borderId="0" xfId="116" applyFont="1" applyAlignment="1">
      <alignment horizontal="center" vertical="center"/>
    </xf>
    <xf numFmtId="166" fontId="4" fillId="0" borderId="0" xfId="116" applyFont="1" applyAlignment="1">
      <alignment horizontal="center" vertical="center"/>
    </xf>
    <xf numFmtId="166" fontId="4" fillId="0" borderId="0" xfId="116" applyFont="1" applyAlignment="1">
      <alignment horizontal="left" vertical="center"/>
    </xf>
    <xf numFmtId="3" fontId="5" fillId="0" borderId="0" xfId="116" applyNumberFormat="1" applyFont="1" applyAlignment="1"/>
    <xf numFmtId="166" fontId="4" fillId="0" borderId="0" xfId="116" applyFont="1" applyAlignment="1">
      <alignment horizontal="center"/>
    </xf>
    <xf numFmtId="166" fontId="3" fillId="0" borderId="0" xfId="116" applyFont="1" applyAlignment="1"/>
    <xf numFmtId="166" fontId="5" fillId="2" borderId="0" xfId="116" applyFont="1" applyFill="1" applyAlignment="1"/>
    <xf numFmtId="3" fontId="5" fillId="0" borderId="0" xfId="116" applyNumberFormat="1" applyFont="1" applyAlignment="1">
      <alignment horizontal="right"/>
    </xf>
    <xf numFmtId="3" fontId="4" fillId="0" borderId="0" xfId="116" applyNumberFormat="1" applyFont="1" applyAlignment="1"/>
    <xf numFmtId="17" fontId="5" fillId="0" borderId="0" xfId="116" applyNumberFormat="1" applyFont="1" applyAlignment="1"/>
    <xf numFmtId="166" fontId="4" fillId="0" borderId="0" xfId="116" applyFont="1" applyAlignment="1">
      <alignment horizontal="left"/>
    </xf>
    <xf numFmtId="166" fontId="5" fillId="0" borderId="0" xfId="116" applyFont="1" applyAlignment="1">
      <alignment horizontal="right"/>
    </xf>
    <xf numFmtId="37" fontId="4" fillId="0" borderId="2" xfId="126" applyNumberFormat="1" applyFont="1" applyFill="1" applyBorder="1" applyAlignment="1" applyProtection="1">
      <alignment horizontal="center" vertical="center"/>
    </xf>
    <xf numFmtId="37" fontId="5" fillId="0" borderId="2" xfId="126" applyNumberFormat="1" applyFont="1" applyFill="1" applyBorder="1" applyAlignment="1" applyProtection="1">
      <alignment horizontal="center" vertical="center"/>
    </xf>
    <xf numFmtId="165" fontId="5" fillId="0" borderId="4" xfId="126" applyNumberFormat="1" applyFont="1" applyFill="1" applyBorder="1" applyAlignment="1" applyProtection="1"/>
    <xf numFmtId="165" fontId="5" fillId="2" borderId="4" xfId="126" applyNumberFormat="1" applyFont="1" applyFill="1" applyBorder="1" applyAlignment="1" applyProtection="1"/>
    <xf numFmtId="164" fontId="5" fillId="0" borderId="2" xfId="126" applyNumberFormat="1" applyFont="1" applyFill="1" applyBorder="1" applyAlignment="1" applyProtection="1">
      <alignment horizontal="center" vertical="center"/>
    </xf>
    <xf numFmtId="37" fontId="5" fillId="2" borderId="2" xfId="126" applyNumberFormat="1" applyFont="1" applyFill="1" applyBorder="1" applyAlignment="1" applyProtection="1">
      <alignment horizontal="center" vertical="center"/>
    </xf>
    <xf numFmtId="37" fontId="4" fillId="0" borderId="2" xfId="127" applyNumberFormat="1" applyFont="1" applyFill="1" applyBorder="1" applyAlignment="1" applyProtection="1">
      <alignment horizontal="center" vertical="center"/>
    </xf>
    <xf numFmtId="37" fontId="5" fillId="0" borderId="2" xfId="127" applyNumberFormat="1" applyFont="1" applyFill="1" applyBorder="1" applyAlignment="1" applyProtection="1">
      <alignment horizontal="center" vertical="center"/>
    </xf>
    <xf numFmtId="37" fontId="5" fillId="0" borderId="0" xfId="127" applyNumberFormat="1" applyFont="1" applyFill="1" applyBorder="1" applyAlignment="1" applyProtection="1">
      <alignment horizontal="center" vertical="center" wrapText="1"/>
    </xf>
    <xf numFmtId="37" fontId="5" fillId="0" borderId="0" xfId="127" applyNumberFormat="1" applyFont="1" applyFill="1" applyBorder="1" applyAlignment="1" applyProtection="1">
      <alignment horizontal="center" vertical="center"/>
    </xf>
    <xf numFmtId="165" fontId="5" fillId="0" borderId="4" xfId="127" applyNumberFormat="1" applyFont="1" applyFill="1" applyBorder="1" applyAlignment="1" applyProtection="1"/>
    <xf numFmtId="165" fontId="5" fillId="2" borderId="4" xfId="127" applyNumberFormat="1" applyFont="1" applyFill="1" applyBorder="1" applyAlignment="1" applyProtection="1"/>
    <xf numFmtId="164" fontId="5" fillId="0" borderId="2" xfId="127" applyNumberFormat="1" applyFont="1" applyFill="1" applyBorder="1" applyAlignment="1" applyProtection="1">
      <alignment horizontal="center" vertical="center"/>
    </xf>
    <xf numFmtId="37" fontId="5" fillId="2" borderId="2" xfId="127" applyNumberFormat="1" applyFont="1" applyFill="1" applyBorder="1" applyAlignment="1" applyProtection="1">
      <alignment horizontal="center" vertical="center"/>
    </xf>
    <xf numFmtId="37" fontId="4" fillId="0" borderId="2" xfId="129" applyNumberFormat="1" applyFont="1" applyFill="1" applyBorder="1" applyAlignment="1" applyProtection="1">
      <alignment horizontal="center" vertical="center"/>
    </xf>
    <xf numFmtId="37" fontId="5" fillId="0" borderId="2" xfId="129" applyNumberFormat="1" applyFont="1" applyFill="1" applyBorder="1" applyAlignment="1" applyProtection="1">
      <alignment horizontal="center" vertical="center"/>
    </xf>
    <xf numFmtId="37" fontId="5" fillId="0" borderId="0" xfId="129" applyNumberFormat="1" applyFont="1" applyFill="1" applyBorder="1" applyAlignment="1" applyProtection="1">
      <alignment horizontal="center" vertical="center" wrapText="1"/>
    </xf>
    <xf numFmtId="37" fontId="5" fillId="0" borderId="0" xfId="129" applyNumberFormat="1" applyFont="1" applyFill="1" applyBorder="1" applyAlignment="1" applyProtection="1">
      <alignment horizontal="center" vertical="center"/>
    </xf>
    <xf numFmtId="165" fontId="5" fillId="0" borderId="4" xfId="129" applyNumberFormat="1" applyFont="1" applyFill="1" applyBorder="1" applyAlignment="1" applyProtection="1"/>
    <xf numFmtId="165" fontId="5" fillId="2" borderId="4" xfId="129" applyNumberFormat="1" applyFont="1" applyFill="1" applyBorder="1" applyAlignment="1" applyProtection="1"/>
    <xf numFmtId="164" fontId="5" fillId="0" borderId="2" xfId="129" applyNumberFormat="1" applyFont="1" applyFill="1" applyBorder="1" applyAlignment="1" applyProtection="1">
      <alignment horizontal="center" vertical="center"/>
    </xf>
    <xf numFmtId="37" fontId="5" fillId="2" borderId="2" xfId="129" applyNumberFormat="1" applyFont="1" applyFill="1" applyBorder="1" applyAlignment="1" applyProtection="1">
      <alignment horizontal="center" vertical="center"/>
    </xf>
    <xf numFmtId="37" fontId="4" fillId="0" borderId="2" xfId="125" applyNumberFormat="1" applyFont="1" applyFill="1" applyBorder="1" applyAlignment="1" applyProtection="1">
      <alignment horizontal="center" vertical="center"/>
    </xf>
    <xf numFmtId="37" fontId="5" fillId="0" borderId="2" xfId="125" applyNumberFormat="1" applyFont="1" applyFill="1" applyBorder="1" applyAlignment="1" applyProtection="1">
      <alignment horizontal="center" vertical="center"/>
    </xf>
    <xf numFmtId="37" fontId="5" fillId="0" borderId="0" xfId="125" applyNumberFormat="1" applyFont="1" applyFill="1" applyBorder="1" applyAlignment="1" applyProtection="1">
      <alignment horizontal="center" vertical="center" wrapText="1"/>
    </xf>
    <xf numFmtId="37" fontId="5" fillId="0" borderId="0" xfId="125" applyNumberFormat="1" applyFont="1" applyFill="1" applyBorder="1" applyAlignment="1" applyProtection="1">
      <alignment horizontal="center" vertical="center"/>
    </xf>
    <xf numFmtId="165" fontId="5" fillId="0" borderId="4" xfId="125" applyNumberFormat="1" applyFont="1" applyFill="1" applyBorder="1" applyAlignment="1" applyProtection="1"/>
    <xf numFmtId="165" fontId="5" fillId="2" borderId="4" xfId="125" applyNumberFormat="1" applyFont="1" applyFill="1" applyBorder="1" applyAlignment="1" applyProtection="1"/>
    <xf numFmtId="164" fontId="5" fillId="0" borderId="2" xfId="125" applyNumberFormat="1" applyFont="1" applyFill="1" applyBorder="1" applyAlignment="1" applyProtection="1">
      <alignment horizontal="center" vertical="center"/>
    </xf>
    <xf numFmtId="37" fontId="5" fillId="2" borderId="2" xfId="125" applyNumberFormat="1" applyFont="1" applyFill="1" applyBorder="1" applyAlignment="1" applyProtection="1">
      <alignment horizontal="center" vertical="center"/>
    </xf>
    <xf numFmtId="37" fontId="4" fillId="0" borderId="2" xfId="128" applyNumberFormat="1" applyFont="1" applyFill="1" applyBorder="1" applyAlignment="1" applyProtection="1">
      <alignment horizontal="center" vertical="center"/>
    </xf>
    <xf numFmtId="37" fontId="5" fillId="0" borderId="2" xfId="128" applyNumberFormat="1" applyFont="1" applyFill="1" applyBorder="1" applyAlignment="1" applyProtection="1">
      <alignment horizontal="center" vertical="center"/>
    </xf>
    <xf numFmtId="37" fontId="5" fillId="0" borderId="0" xfId="128" applyNumberFormat="1" applyFont="1" applyFill="1" applyBorder="1" applyAlignment="1" applyProtection="1">
      <alignment horizontal="center" vertical="center" wrapText="1"/>
    </xf>
    <xf numFmtId="37" fontId="5" fillId="0" borderId="0" xfId="128" applyNumberFormat="1" applyFont="1" applyFill="1" applyBorder="1" applyAlignment="1" applyProtection="1">
      <alignment horizontal="center" vertical="center"/>
    </xf>
    <xf numFmtId="165" fontId="5" fillId="0" borderId="4" xfId="128" applyNumberFormat="1" applyFont="1" applyFill="1" applyBorder="1" applyAlignment="1" applyProtection="1"/>
    <xf numFmtId="165" fontId="5" fillId="2" borderId="4" xfId="128" applyNumberFormat="1" applyFont="1" applyFill="1" applyBorder="1" applyAlignment="1" applyProtection="1"/>
    <xf numFmtId="164" fontId="5" fillId="0" borderId="2" xfId="128" applyNumberFormat="1" applyFont="1" applyFill="1" applyBorder="1" applyAlignment="1" applyProtection="1">
      <alignment horizontal="center" vertical="center"/>
    </xf>
    <xf numFmtId="37" fontId="5" fillId="2" borderId="2" xfId="128" applyNumberFormat="1" applyFont="1" applyFill="1" applyBorder="1" applyAlignment="1" applyProtection="1">
      <alignment horizontal="center" vertical="center"/>
    </xf>
    <xf numFmtId="3" fontId="4" fillId="24" borderId="2" xfId="0" applyNumberFormat="1" applyFont="1" applyFill="1" applyBorder="1" applyAlignment="1">
      <alignment horizontal="center" vertical="center"/>
    </xf>
    <xf numFmtId="3" fontId="4" fillId="24" borderId="2" xfId="4" applyNumberFormat="1" applyFont="1" applyFill="1" applyBorder="1" applyAlignment="1">
      <alignment horizontal="center" vertical="center"/>
    </xf>
    <xf numFmtId="3" fontId="4" fillId="24" borderId="2" xfId="116" applyNumberFormat="1" applyFont="1" applyFill="1" applyBorder="1" applyAlignment="1">
      <alignment horizontal="center" vertical="center"/>
    </xf>
    <xf numFmtId="10" fontId="5" fillId="0" borderId="0" xfId="2" applyNumberFormat="1" applyFont="1" applyFill="1" applyBorder="1" applyAlignment="1" applyProtection="1">
      <alignment horizontal="center" vertical="center" wrapText="1"/>
    </xf>
    <xf numFmtId="3" fontId="4" fillId="0" borderId="0" xfId="116" applyNumberFormat="1" applyFont="1" applyAlignment="1">
      <alignment horizontal="center" vertical="center"/>
    </xf>
    <xf numFmtId="3" fontId="4" fillId="0" borderId="0" xfId="4" applyNumberFormat="1" applyFont="1" applyAlignment="1">
      <alignment horizontal="center" vertical="center"/>
    </xf>
    <xf numFmtId="2" fontId="6" fillId="0" borderId="0" xfId="116" applyNumberFormat="1" applyAlignment="1"/>
    <xf numFmtId="10" fontId="5" fillId="0" borderId="0" xfId="2" applyNumberFormat="1" applyFont="1" applyFill="1" applyBorder="1" applyAlignment="1" applyProtection="1">
      <alignment horizontal="center" vertical="center"/>
    </xf>
    <xf numFmtId="4" fontId="4" fillId="0" borderId="2" xfId="116" applyNumberFormat="1" applyFont="1" applyBorder="1" applyAlignment="1">
      <alignment horizontal="center" vertical="center"/>
    </xf>
    <xf numFmtId="169" fontId="5" fillId="24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4" fillId="0" borderId="1" xfId="4" applyFont="1" applyBorder="1" applyAlignment="1">
      <alignment horizontal="center" vertical="center"/>
    </xf>
    <xf numFmtId="166" fontId="4" fillId="0" borderId="3" xfId="4" applyFont="1" applyBorder="1" applyAlignment="1">
      <alignment horizontal="center" vertical="center"/>
    </xf>
    <xf numFmtId="49" fontId="2" fillId="0" borderId="0" xfId="4" applyNumberFormat="1" applyFont="1" applyAlignment="1">
      <alignment horizontal="center" vertical="center"/>
    </xf>
    <xf numFmtId="166" fontId="4" fillId="0" borderId="2" xfId="4" applyFont="1" applyBorder="1" applyAlignment="1">
      <alignment horizontal="center" vertical="center" wrapText="1"/>
    </xf>
    <xf numFmtId="3" fontId="4" fillId="0" borderId="2" xfId="4" applyNumberFormat="1" applyFont="1" applyBorder="1" applyAlignment="1">
      <alignment horizontal="center" vertical="center"/>
    </xf>
    <xf numFmtId="166" fontId="4" fillId="0" borderId="2" xfId="4" applyFont="1" applyBorder="1" applyAlignment="1">
      <alignment horizontal="center" vertical="center"/>
    </xf>
    <xf numFmtId="166" fontId="4" fillId="0" borderId="1" xfId="116" applyFont="1" applyBorder="1" applyAlignment="1">
      <alignment horizontal="center" vertical="center"/>
    </xf>
    <xf numFmtId="166" fontId="4" fillId="0" borderId="3" xfId="116" applyFont="1" applyBorder="1" applyAlignment="1">
      <alignment horizontal="center" vertical="center"/>
    </xf>
    <xf numFmtId="49" fontId="2" fillId="0" borderId="0" xfId="116" applyNumberFormat="1" applyFont="1" applyAlignment="1">
      <alignment horizontal="center" vertical="center"/>
    </xf>
    <xf numFmtId="166" fontId="4" fillId="0" borderId="2" xfId="116" applyFont="1" applyBorder="1" applyAlignment="1">
      <alignment horizontal="center" vertical="center" wrapText="1"/>
    </xf>
    <xf numFmtId="3" fontId="4" fillId="0" borderId="2" xfId="116" applyNumberFormat="1" applyFont="1" applyBorder="1" applyAlignment="1">
      <alignment horizontal="center" vertical="center"/>
    </xf>
    <xf numFmtId="166" fontId="4" fillId="0" borderId="2" xfId="116" applyFont="1" applyBorder="1" applyAlignment="1">
      <alignment horizontal="center" vertical="center"/>
    </xf>
    <xf numFmtId="4" fontId="4" fillId="0" borderId="2" xfId="116" applyNumberFormat="1" applyFont="1" applyBorder="1" applyAlignment="1">
      <alignment horizontal="center" vertical="center"/>
    </xf>
    <xf numFmtId="2" fontId="0" fillId="0" borderId="0" xfId="0" applyNumberFormat="1"/>
    <xf numFmtId="2" fontId="5" fillId="0" borderId="0" xfId="116" applyNumberFormat="1" applyFont="1" applyAlignment="1"/>
  </cellXfs>
  <cellStyles count="141">
    <cellStyle name="_ALCATRAZ RESUMEN  CEBRA MAYO DE 2008" xfId="5" xr:uid="{99E0ADF1-02D1-4D5C-8463-21C44532BAB5}"/>
    <cellStyle name="_ALCATRAZ RESUMEN  CEBRA MAYO DE 2008 2" xfId="62" xr:uid="{DBEAF80F-AB06-4101-95A5-83FA94EB613F}"/>
    <cellStyle name="_CEBRA_CAIQUERO_MAYO(1)" xfId="6" xr:uid="{857323B9-88C9-4B97-A83F-1F723E6CF65D}"/>
    <cellStyle name="_CEBRA_CAIQUERO_MAYO(1) 2" xfId="63" xr:uid="{BE888D12-C84E-4B9B-B371-A84C919963E5}"/>
    <cellStyle name="_informe servicios mes de mayo" xfId="7" xr:uid="{8B5EDD0D-43E2-46ED-948B-274CC8D867F5}"/>
    <cellStyle name="_informe servicios mes de mayo 2" xfId="64" xr:uid="{5DAB471A-0703-4FAE-8D48-46DC81AB45C6}"/>
    <cellStyle name="_INV" xfId="8" xr:uid="{95DBBF99-F2A6-483A-B9ED-135AF91B8D09}"/>
    <cellStyle name="_INV 2" xfId="65" xr:uid="{92CEFEF8-913F-416C-B1F4-59E24E6CA6A0}"/>
    <cellStyle name="_INV MAYO" xfId="9" xr:uid="{3680E28D-EE03-4272-86F4-6F2DD6870453}"/>
    <cellStyle name="_INV MAYO 2" xfId="66" xr:uid="{F5792E31-2CD6-4AE2-A30E-90247E7B05DF}"/>
    <cellStyle name="_INVIAS SERVICIOS UNIDADES" xfId="10" xr:uid="{9DE2DB70-952E-4EA9-98A5-57EFF07C6D44}"/>
    <cellStyle name="_INVIAS SERVICIOS UNIDADES 2" xfId="67" xr:uid="{B13548BB-421B-4E04-B0AC-8DCAE077605B}"/>
    <cellStyle name="_SER CT INV" xfId="11" xr:uid="{5E55883C-AD3B-4B99-B6D4-476FDC9454B5}"/>
    <cellStyle name="_SER CT INV 2" xfId="68" xr:uid="{6C2B5380-A48D-429A-8933-D308A1633C15}"/>
    <cellStyle name="_SER GRUA INV" xfId="12" xr:uid="{2F78E56E-B2CB-4FD9-A89F-9BBA50B8ABDF}"/>
    <cellStyle name="_SER GRUA INV 2" xfId="69" xr:uid="{9BC54963-BEDB-42D9-A94D-3AE79A29477B}"/>
    <cellStyle name="_SER. POS" xfId="13" xr:uid="{13701666-FCD5-4F48-AF92-389BA423BD17}"/>
    <cellStyle name="_SER. POS 2" xfId="70" xr:uid="{31082F20-E497-4C33-B39B-5DCA07A8C7E0}"/>
    <cellStyle name="_servicios de 2007 a 2008" xfId="14" xr:uid="{0B3FF673-473F-4247-A99E-573B576DD9D0}"/>
    <cellStyle name="_servicios de 2007 a 2008 2" xfId="71" xr:uid="{C9F35BDF-2131-4E2B-9FE8-A40C454323CA}"/>
    <cellStyle name="20% - Énfasis1 2" xfId="72" xr:uid="{961EC3D3-254A-455C-9180-01A7E3FA8CEB}"/>
    <cellStyle name="20% - Énfasis1 3" xfId="15" xr:uid="{4D4D36BE-0208-42DC-9BC3-A1847B8726E6}"/>
    <cellStyle name="20% - Énfasis2 2" xfId="73" xr:uid="{6B47E3BC-567C-437A-8DA4-3EA78524EB3B}"/>
    <cellStyle name="20% - Énfasis2 3" xfId="16" xr:uid="{5E22D920-92E0-4204-A7D4-8F0A2FA31F2D}"/>
    <cellStyle name="20% - Énfasis3 2" xfId="74" xr:uid="{BC1F7343-0364-42FA-BA31-AD4827EF074B}"/>
    <cellStyle name="20% - Énfasis3 3" xfId="17" xr:uid="{694D6BC5-FC22-48F1-B768-3BE4CFDA11BE}"/>
    <cellStyle name="20% - Énfasis4 2" xfId="75" xr:uid="{13A1297A-A2D1-466A-959A-4D91046D466A}"/>
    <cellStyle name="20% - Énfasis4 3" xfId="18" xr:uid="{99958784-CE7B-4246-BB31-22C193B3EE7D}"/>
    <cellStyle name="20% - Énfasis5 2" xfId="76" xr:uid="{DDF32671-2A08-4E05-BD9B-F2D220F29965}"/>
    <cellStyle name="20% - Énfasis5 3" xfId="19" xr:uid="{D4B1C3CA-457C-49DA-A21F-CC6DEF350F63}"/>
    <cellStyle name="20% - Énfasis6 2" xfId="77" xr:uid="{CCA7810B-7DC3-4288-A107-40161DA47A52}"/>
    <cellStyle name="20% - Énfasis6 3" xfId="20" xr:uid="{F2E220D9-EF95-44AF-B415-E732AB8975E1}"/>
    <cellStyle name="40% - Énfasis1 2" xfId="78" xr:uid="{6FE59995-0423-462F-8F42-A4675DC723D2}"/>
    <cellStyle name="40% - Énfasis1 3" xfId="21" xr:uid="{6AD6C56D-2EC7-4DF6-BF99-5078AE0F94B1}"/>
    <cellStyle name="40% - Énfasis2 2" xfId="79" xr:uid="{CC2B4BCE-E7BF-4710-BBFD-B34EA33D6557}"/>
    <cellStyle name="40% - Énfasis2 3" xfId="22" xr:uid="{31B560A0-D0E4-4C9F-8D3B-4C8AD8B46C8D}"/>
    <cellStyle name="40% - Énfasis3 2" xfId="80" xr:uid="{AFAC2EAA-C44C-4F17-AB23-2EEB94393680}"/>
    <cellStyle name="40% - Énfasis3 3" xfId="23" xr:uid="{29887C9E-FA31-4B2E-BCEC-FB19E517CCD6}"/>
    <cellStyle name="40% - Énfasis4 2" xfId="81" xr:uid="{353E7D70-CA0C-4A28-AF84-BE1F39FF392E}"/>
    <cellStyle name="40% - Énfasis4 3" xfId="24" xr:uid="{A4BB6DC6-8102-410B-9642-EDE65594F7A7}"/>
    <cellStyle name="40% - Énfasis5 2" xfId="82" xr:uid="{C2691AC8-4C0A-45A1-8939-DC1937DA2DF6}"/>
    <cellStyle name="40% - Énfasis5 3" xfId="25" xr:uid="{00E76044-6EDE-4989-B0D5-6A5BB64EB115}"/>
    <cellStyle name="40% - Énfasis6 2" xfId="83" xr:uid="{55E22E17-B063-47D2-B35F-37E5002D25A5}"/>
    <cellStyle name="40% - Énfasis6 3" xfId="26" xr:uid="{974BA83C-59C6-4D63-AB01-ACC5EACAC678}"/>
    <cellStyle name="60% - Énfasis1 2" xfId="84" xr:uid="{B66747A4-DFB0-4AE2-AA22-173C022107F4}"/>
    <cellStyle name="60% - Énfasis1 3" xfId="27" xr:uid="{FA2A3B72-DBD1-4F9A-A79B-B16AEF421FC1}"/>
    <cellStyle name="60% - Énfasis2 2" xfId="85" xr:uid="{7615DB15-D945-4DE5-960A-64D2B7963A22}"/>
    <cellStyle name="60% - Énfasis2 3" xfId="28" xr:uid="{67BEDAF7-852E-4CDE-8C0B-8C2A8F84C3F4}"/>
    <cellStyle name="60% - Énfasis3 2" xfId="86" xr:uid="{64761C98-6B75-4013-80D7-50134AC5C729}"/>
    <cellStyle name="60% - Énfasis3 3" xfId="29" xr:uid="{B1BA2A0A-55F5-495D-880B-70DAB9A35773}"/>
    <cellStyle name="60% - Énfasis4 2" xfId="87" xr:uid="{A0E81886-2E68-4C1F-A7EC-55EC8AC89C99}"/>
    <cellStyle name="60% - Énfasis4 3" xfId="30" xr:uid="{0452FAD3-FE1A-4777-89E5-028051814DAB}"/>
    <cellStyle name="60% - Énfasis5 2" xfId="88" xr:uid="{C42446B3-642D-428C-B3E4-1A23AB31BB5E}"/>
    <cellStyle name="60% - Énfasis5 3" xfId="31" xr:uid="{1CB877BD-266A-4747-8E65-A9703D7DC670}"/>
    <cellStyle name="60% - Énfasis6 2" xfId="89" xr:uid="{CE4E93CE-1A0C-4A03-AF58-9126B129D34D}"/>
    <cellStyle name="60% - Énfasis6 3" xfId="32" xr:uid="{88B639FA-CDFE-4511-B50B-4B6050CAA2F3}"/>
    <cellStyle name="Buena 2" xfId="90" xr:uid="{466A1810-1251-4231-B894-291339F48DCA}"/>
    <cellStyle name="Bueno 2" xfId="33" xr:uid="{736A6222-1F35-4E50-BEA7-05F0ABB36555}"/>
    <cellStyle name="Cálculo 2" xfId="91" xr:uid="{8BDC1392-3AFF-4BF9-ADD3-6CF08ABD092E}"/>
    <cellStyle name="Cálculo 3" xfId="34" xr:uid="{3075F0F4-5D8B-4E00-98AE-6A778AEE6B95}"/>
    <cellStyle name="Celda de comprobación 2" xfId="92" xr:uid="{A2A72FD0-87A4-4E02-9D23-5ECEEA421FCA}"/>
    <cellStyle name="Celda de comprobación 3" xfId="35" xr:uid="{34214D74-FCCE-4829-A21C-8608A0AB9E0C}"/>
    <cellStyle name="Celda vinculada 2" xfId="93" xr:uid="{8D9DFF4F-E97F-47FB-9DF3-6BBE3D753C76}"/>
    <cellStyle name="Celda vinculada 3" xfId="36" xr:uid="{CFD83DA1-55C8-4426-BF0F-230959F056F9}"/>
    <cellStyle name="Encabezado 1 2" xfId="111" xr:uid="{CEAF1E1C-4D8D-43F5-8C2C-B5FCB297AC71}"/>
    <cellStyle name="Encabezado 1 3" xfId="57" xr:uid="{3CBDA6EE-9EC9-405C-9CE2-7A80A2B6C3A7}"/>
    <cellStyle name="Encabezado 4 2" xfId="94" xr:uid="{23870C6C-3A85-43F6-805D-BD1711FCDD4A}"/>
    <cellStyle name="Encabezado 4 3" xfId="37" xr:uid="{643F9B07-BB0B-43AD-BE84-3AAF0DD00159}"/>
    <cellStyle name="Énfasis1 2" xfId="95" xr:uid="{3E0C65C1-5AA2-43B4-B047-72A214CB1030}"/>
    <cellStyle name="Énfasis1 3" xfId="38" xr:uid="{10628DE9-3AE4-4FE3-AAFE-A3A03F7122EC}"/>
    <cellStyle name="Énfasis2 2" xfId="96" xr:uid="{81E90B1F-2628-4124-919A-6BD40828FC34}"/>
    <cellStyle name="Énfasis2 3" xfId="39" xr:uid="{C058D01A-076A-46B7-8986-0FE3AA32B87B}"/>
    <cellStyle name="Énfasis3 2" xfId="97" xr:uid="{6ECA0158-BE67-4108-B562-407331840A4A}"/>
    <cellStyle name="Énfasis3 3" xfId="40" xr:uid="{293D0ADC-9062-481F-A81C-A82917E18661}"/>
    <cellStyle name="Énfasis4 2" xfId="98" xr:uid="{853B51EE-A6E6-47E4-989C-E06C1552CC80}"/>
    <cellStyle name="Énfasis4 3" xfId="41" xr:uid="{117FDDF1-BB6A-4449-A81E-D7DBE98E664C}"/>
    <cellStyle name="Énfasis5 2" xfId="99" xr:uid="{41F32548-76BC-4B5D-B161-2FC5E78C8BBA}"/>
    <cellStyle name="Énfasis5 3" xfId="42" xr:uid="{73B88892-E2E6-4CD4-8213-511789D3AD27}"/>
    <cellStyle name="Énfasis6 2" xfId="100" xr:uid="{14A38C71-3C91-4EEB-A300-EA71CA268018}"/>
    <cellStyle name="Énfasis6 3" xfId="43" xr:uid="{7C9CF808-E5AC-4D91-927C-5BE6B44D0C38}"/>
    <cellStyle name="Entrada 2" xfId="101" xr:uid="{26C326DF-BED2-4CAA-AFD0-24531617C817}"/>
    <cellStyle name="Entrada 3" xfId="44" xr:uid="{DA221662-52AF-4C27-A747-44DC55F3AD89}"/>
    <cellStyle name="Euro" xfId="45" xr:uid="{A43C8CD4-16D8-4040-870F-57B6B542D20E}"/>
    <cellStyle name="Euro 2" xfId="102" xr:uid="{C6CE0C83-ECD3-4BF9-9723-0A3D6F1A1B54}"/>
    <cellStyle name="Incorrecto 2" xfId="103" xr:uid="{B30FE7EC-BDC5-4195-941F-9D29402FF535}"/>
    <cellStyle name="Incorrecto 3" xfId="46" xr:uid="{19650D02-F8A9-495C-8F21-EE52F3949943}"/>
    <cellStyle name="Millares" xfId="1" builtinId="3"/>
    <cellStyle name="Millares [0] 2" xfId="139" xr:uid="{52B62F2C-65A7-48DA-98C0-C032EF9DCD36}"/>
    <cellStyle name="Millares 2" xfId="104" xr:uid="{D1B5976E-CBD7-409A-9EC7-89DEB7AB81FC}"/>
    <cellStyle name="Millares 2 2" xfId="119" xr:uid="{C3FD2D6E-0912-480B-B669-1DA630F926D5}"/>
    <cellStyle name="Millares 2 2 2" xfId="133" xr:uid="{1EE36190-3CA6-4A29-A0BC-95C8B64D3CE3}"/>
    <cellStyle name="Millares 2 3" xfId="122" xr:uid="{DF4777F4-CE3E-4A55-AEFF-E8B7EEA9E72E}"/>
    <cellStyle name="Millares 2 3 2" xfId="136" xr:uid="{7B32143F-C66B-4423-9C30-A497836D547E}"/>
    <cellStyle name="Millares 2 4" xfId="130" xr:uid="{3B9BB1CE-8D44-474E-A088-DEEBDC4BA443}"/>
    <cellStyle name="Millares 3" xfId="47" xr:uid="{8F5E1E74-4256-45D9-ADB1-F52221D42DBA}"/>
    <cellStyle name="Millares 3 2" xfId="140" xr:uid="{A52914BD-AE76-42AB-A37D-2092AB1A0E3D}"/>
    <cellStyle name="Millares 4" xfId="126" xr:uid="{69D9DEDD-2CDB-494D-8501-4F0992AF3DCF}"/>
    <cellStyle name="Millares 5" xfId="127" xr:uid="{33C3EDEA-5A3F-4B23-9FFF-8973900CB94B}"/>
    <cellStyle name="Millares 6" xfId="129" xr:uid="{9DA3F61E-9ABF-4DE5-A41F-93A1366F0CE6}"/>
    <cellStyle name="Millares 7" xfId="125" xr:uid="{B95AE8EE-EAF0-4703-AABB-938A78BEE376}"/>
    <cellStyle name="Millares 8" xfId="128" xr:uid="{D1441728-715A-439F-9227-3B15B7D4E9E9}"/>
    <cellStyle name="Millares_TRAFICO CAIQUERO_1" xfId="3" xr:uid="{A9CDEC95-7A1A-4C4A-8844-EE0587FC24EA}"/>
    <cellStyle name="Millares_TRAFICO CAIQUERO_1 2" xfId="48" xr:uid="{155A562B-F269-4E65-9B13-14B19F2083A4}"/>
    <cellStyle name="Moneda 2" xfId="49" xr:uid="{0BF32386-3534-4D78-B2DA-98D4D26CBF16}"/>
    <cellStyle name="Neutral 2" xfId="105" xr:uid="{421EE337-204A-48FC-9FCA-CB574AB09C88}"/>
    <cellStyle name="Neutral 3" xfId="50" xr:uid="{08B599E3-B93C-46AB-89DF-83910F7FAE81}"/>
    <cellStyle name="Normal" xfId="0" builtinId="0"/>
    <cellStyle name="Normal 2" xfId="61" xr:uid="{671D7B80-2184-4793-B7C5-91B97F6C8D53}"/>
    <cellStyle name="Normal 3" xfId="115" xr:uid="{A494E8B8-2C24-44CD-8796-94FE34A75EDC}"/>
    <cellStyle name="Normal 3 2" xfId="120" xr:uid="{61ABA66B-BB10-486C-87AB-64A4F164A7FD}"/>
    <cellStyle name="Normal 3 2 2" xfId="134" xr:uid="{D05592C9-C310-4222-AD84-FB11F3C615FF}"/>
    <cellStyle name="Normal 3 3" xfId="118" xr:uid="{09EC468A-E13D-410E-9729-618B0FC8E410}"/>
    <cellStyle name="Normal 3 4" xfId="123" xr:uid="{0C5FD00B-B55E-42C6-96B2-ED2AFA49192A}"/>
    <cellStyle name="Normal 3 4 2" xfId="137" xr:uid="{65E2764D-9EF4-43EB-993A-F18AD4C0A6E6}"/>
    <cellStyle name="Normal 3 5" xfId="131" xr:uid="{89B1A7EE-AE67-4BAA-AF2F-A5A3CEDB0FE3}"/>
    <cellStyle name="Normal 4" xfId="116" xr:uid="{E88C2AC2-C2E3-42A2-B91C-FDBDD77118B4}"/>
    <cellStyle name="Normal 4 2" xfId="117" xr:uid="{EB97A03E-7926-4F3D-BDE0-4341261EC2B3}"/>
    <cellStyle name="Normal 4 2 2" xfId="121" xr:uid="{619BA95A-4967-42A6-861A-066849D37C69}"/>
    <cellStyle name="Normal 4 2 2 2" xfId="135" xr:uid="{612D594A-E237-4E2A-AD8F-E1FA1D2C8EC9}"/>
    <cellStyle name="Normal 4 2 3" xfId="124" xr:uid="{48598177-EA65-4639-B325-15955C2A60F8}"/>
    <cellStyle name="Normal 4 2 3 2" xfId="138" xr:uid="{E6C52CD9-568D-41E3-8798-9DCF2E9BD9C5}"/>
    <cellStyle name="Normal 4 2 4" xfId="132" xr:uid="{D6F058E6-3413-4631-AFA9-80D5E6D6E17A}"/>
    <cellStyle name="Normal 5" xfId="4" xr:uid="{2BC0ABDC-F412-47FC-B093-DB07415E0CC0}"/>
    <cellStyle name="Notas 2" xfId="106" xr:uid="{DDBE3133-66F1-47A9-81B3-01FA0E7324D9}"/>
    <cellStyle name="Notas 3" xfId="51" xr:uid="{0FB46F77-C50D-4FC5-885B-B49B385707BC}"/>
    <cellStyle name="Porcentaje" xfId="2" builtinId="5"/>
    <cellStyle name="Porcentaje 2" xfId="52" xr:uid="{3B688246-AAAB-498A-B168-721BC305C0C7}"/>
    <cellStyle name="Salida 2" xfId="107" xr:uid="{B9898402-AA31-47C6-9CAB-082683EA4B13}"/>
    <cellStyle name="Salida 3" xfId="53" xr:uid="{76276C92-D5F2-4A69-81D7-A83B601CA14C}"/>
    <cellStyle name="Texto de advertencia 2" xfId="108" xr:uid="{E54B752B-B5C9-4C2E-8C5A-1725C85A3F6E}"/>
    <cellStyle name="Texto de advertencia 3" xfId="54" xr:uid="{1035D361-7B3D-4597-9055-389AB0C54B7A}"/>
    <cellStyle name="Texto explicativo 2" xfId="109" xr:uid="{DCD8EFE1-1321-43E8-82FA-0E79382D20AE}"/>
    <cellStyle name="Texto explicativo 3" xfId="55" xr:uid="{08E34154-A699-47A8-B037-6626798E5293}"/>
    <cellStyle name="Título 2 2" xfId="112" xr:uid="{3D42420F-1BDC-4DEF-B94E-2F61987DA76A}"/>
    <cellStyle name="Título 2 3" xfId="58" xr:uid="{FCD62511-5286-4EB5-8A22-B615B8508FE6}"/>
    <cellStyle name="Título 3 2" xfId="113" xr:uid="{B4714C11-B3BA-4A8B-8158-FB862CBDC744}"/>
    <cellStyle name="Título 3 3" xfId="59" xr:uid="{D37E9364-0526-45BD-8B33-C0E26B6665D9}"/>
    <cellStyle name="Título 4" xfId="110" xr:uid="{5159CAE4-F797-478A-95E3-7530A1E8D739}"/>
    <cellStyle name="Título 5" xfId="56" xr:uid="{6F3F5D1A-37A8-4163-B4CD-6F83A6CF7AB2}"/>
    <cellStyle name="Total 2" xfId="114" xr:uid="{C845DBF4-CEA7-49B9-9A7C-27A31520537C}"/>
    <cellStyle name="Total 3" xfId="60" xr:uid="{4ACB4A40-B163-4B4A-944E-B9D194CA2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3988-B7C2-489F-BC44-63AC33CC22E7}">
  <dimension ref="A1:Z46"/>
  <sheetViews>
    <sheetView workbookViewId="0">
      <selection activeCell="G42" sqref="G42"/>
    </sheetView>
  </sheetViews>
  <sheetFormatPr baseColWidth="10" defaultColWidth="11.44140625" defaultRowHeight="13.8" x14ac:dyDescent="0.3"/>
  <cols>
    <col min="1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9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9" s="1" customFormat="1" ht="15.6" x14ac:dyDescent="0.3">
      <c r="A3" s="123" t="s">
        <v>0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</row>
    <row r="4" spans="1:19" ht="78" customHeight="1" x14ac:dyDescent="0.3">
      <c r="A4" s="124" t="s">
        <v>1</v>
      </c>
      <c r="B4" s="120" t="s">
        <v>2</v>
      </c>
      <c r="C4" s="120"/>
      <c r="D4" s="2" t="s">
        <v>3</v>
      </c>
      <c r="E4" s="2" t="s">
        <v>4</v>
      </c>
      <c r="F4" s="2" t="s">
        <v>5</v>
      </c>
      <c r="G4" s="2" t="s">
        <v>6</v>
      </c>
      <c r="H4" s="120" t="s">
        <v>7</v>
      </c>
      <c r="I4" s="120" t="s">
        <v>8</v>
      </c>
      <c r="J4" s="3"/>
      <c r="K4" s="126" t="s">
        <v>1</v>
      </c>
      <c r="L4" s="120" t="s">
        <v>9</v>
      </c>
      <c r="M4" s="120" t="s">
        <v>10</v>
      </c>
      <c r="N4" s="120" t="s">
        <v>11</v>
      </c>
      <c r="O4" s="120" t="s">
        <v>12</v>
      </c>
    </row>
    <row r="5" spans="1:19" ht="18" customHeight="1" x14ac:dyDescent="0.3">
      <c r="A5" s="125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120"/>
      <c r="I5" s="120"/>
      <c r="J5" s="3"/>
      <c r="K5" s="126"/>
      <c r="L5" s="120"/>
      <c r="M5" s="120"/>
      <c r="N5" s="120"/>
      <c r="O5" s="120"/>
    </row>
    <row r="6" spans="1:19" ht="18" customHeight="1" thickBot="1" x14ac:dyDescent="0.35">
      <c r="A6" s="6">
        <v>1</v>
      </c>
      <c r="B6" s="7">
        <v>12474</v>
      </c>
      <c r="C6" s="7">
        <v>0</v>
      </c>
      <c r="D6" s="7">
        <v>492</v>
      </c>
      <c r="E6" s="7">
        <v>54</v>
      </c>
      <c r="F6" s="7">
        <v>43</v>
      </c>
      <c r="G6" s="7">
        <v>61</v>
      </c>
      <c r="H6" s="7">
        <f>SUM(B6:G6)</f>
        <v>13124</v>
      </c>
      <c r="I6" s="7">
        <v>0</v>
      </c>
      <c r="J6" s="8"/>
      <c r="K6" s="6">
        <v>1</v>
      </c>
      <c r="L6" s="9">
        <v>0</v>
      </c>
      <c r="M6" s="9">
        <v>4</v>
      </c>
      <c r="N6" s="9">
        <v>1</v>
      </c>
      <c r="O6" s="7">
        <f>SUM(L6:N6)</f>
        <v>5</v>
      </c>
      <c r="P6" s="10">
        <v>6135</v>
      </c>
    </row>
    <row r="7" spans="1:19" ht="18" customHeight="1" thickTop="1" thickBot="1" x14ac:dyDescent="0.35">
      <c r="A7" s="6">
        <v>2</v>
      </c>
      <c r="B7" s="7">
        <v>14252</v>
      </c>
      <c r="C7" s="7">
        <v>0</v>
      </c>
      <c r="D7" s="7">
        <v>1210</v>
      </c>
      <c r="E7" s="7">
        <v>131</v>
      </c>
      <c r="F7" s="7">
        <v>154</v>
      </c>
      <c r="G7" s="7">
        <v>272</v>
      </c>
      <c r="H7" s="7">
        <f>SUM(B7:G7)</f>
        <v>16019</v>
      </c>
      <c r="I7" s="7">
        <v>0</v>
      </c>
      <c r="J7" s="8"/>
      <c r="K7" s="6">
        <v>2</v>
      </c>
      <c r="L7" s="9">
        <v>1</v>
      </c>
      <c r="M7" s="9">
        <v>8</v>
      </c>
      <c r="N7" s="9">
        <v>2</v>
      </c>
      <c r="O7" s="7">
        <f t="shared" ref="O7:O36" si="0">SUM(L7:N7)</f>
        <v>11</v>
      </c>
      <c r="P7" s="10">
        <f>+P6</f>
        <v>6135</v>
      </c>
    </row>
    <row r="8" spans="1:19" ht="18" customHeight="1" thickTop="1" thickBot="1" x14ac:dyDescent="0.35">
      <c r="A8" s="6">
        <v>3</v>
      </c>
      <c r="B8" s="7">
        <v>15349</v>
      </c>
      <c r="C8" s="7">
        <v>0</v>
      </c>
      <c r="D8" s="7">
        <v>1258</v>
      </c>
      <c r="E8" s="7">
        <v>108</v>
      </c>
      <c r="F8" s="7">
        <v>168</v>
      </c>
      <c r="G8" s="7">
        <v>183</v>
      </c>
      <c r="H8" s="7">
        <f t="shared" ref="H8:H36" si="1">SUM(B8:G8)</f>
        <v>17066</v>
      </c>
      <c r="I8" s="7">
        <v>0</v>
      </c>
      <c r="J8" s="8"/>
      <c r="K8" s="6">
        <v>3</v>
      </c>
      <c r="L8" s="9">
        <v>0</v>
      </c>
      <c r="M8" s="9">
        <v>13</v>
      </c>
      <c r="N8" s="9">
        <v>5</v>
      </c>
      <c r="O8" s="7">
        <f t="shared" si="0"/>
        <v>18</v>
      </c>
      <c r="P8" s="10">
        <f t="shared" ref="P8:P36" si="2">+P7</f>
        <v>6135</v>
      </c>
      <c r="S8" s="11"/>
    </row>
    <row r="9" spans="1:19" ht="18" customHeight="1" thickTop="1" thickBot="1" x14ac:dyDescent="0.35">
      <c r="A9" s="6">
        <v>4</v>
      </c>
      <c r="B9" s="7">
        <v>16178</v>
      </c>
      <c r="C9" s="7">
        <v>0</v>
      </c>
      <c r="D9" s="7">
        <v>1071</v>
      </c>
      <c r="E9" s="7">
        <v>53</v>
      </c>
      <c r="F9" s="7">
        <v>133</v>
      </c>
      <c r="G9" s="7">
        <v>153</v>
      </c>
      <c r="H9" s="7">
        <f t="shared" si="1"/>
        <v>17588</v>
      </c>
      <c r="I9" s="7">
        <v>0</v>
      </c>
      <c r="J9" s="8"/>
      <c r="K9" s="6">
        <v>4</v>
      </c>
      <c r="L9" s="9">
        <v>0</v>
      </c>
      <c r="M9" s="9">
        <v>2</v>
      </c>
      <c r="N9" s="9">
        <v>1</v>
      </c>
      <c r="O9" s="7">
        <f t="shared" si="0"/>
        <v>3</v>
      </c>
      <c r="P9" s="10">
        <f t="shared" si="2"/>
        <v>6135</v>
      </c>
    </row>
    <row r="10" spans="1:19" ht="18" customHeight="1" thickTop="1" thickBot="1" x14ac:dyDescent="0.35">
      <c r="A10" s="6">
        <v>5</v>
      </c>
      <c r="B10" s="7">
        <v>19566</v>
      </c>
      <c r="C10" s="7">
        <v>0</v>
      </c>
      <c r="D10" s="7">
        <v>1208</v>
      </c>
      <c r="E10" s="7">
        <v>106</v>
      </c>
      <c r="F10" s="7">
        <v>108</v>
      </c>
      <c r="G10" s="7">
        <v>163</v>
      </c>
      <c r="H10" s="7">
        <f t="shared" si="1"/>
        <v>21151</v>
      </c>
      <c r="I10" s="7">
        <v>0</v>
      </c>
      <c r="J10" s="8"/>
      <c r="K10" s="6">
        <v>5</v>
      </c>
      <c r="L10" s="9">
        <v>0</v>
      </c>
      <c r="M10" s="9">
        <v>6</v>
      </c>
      <c r="N10" s="9">
        <v>1</v>
      </c>
      <c r="O10" s="7">
        <f t="shared" si="0"/>
        <v>7</v>
      </c>
      <c r="P10" s="10">
        <f t="shared" si="2"/>
        <v>6135</v>
      </c>
    </row>
    <row r="11" spans="1:19" ht="18" customHeight="1" thickTop="1" thickBot="1" x14ac:dyDescent="0.35">
      <c r="A11" s="6">
        <v>6</v>
      </c>
      <c r="B11" s="7">
        <v>17948</v>
      </c>
      <c r="C11" s="7">
        <v>0</v>
      </c>
      <c r="D11" s="7">
        <v>1089</v>
      </c>
      <c r="E11" s="7">
        <v>51</v>
      </c>
      <c r="F11" s="7">
        <v>49</v>
      </c>
      <c r="G11" s="7">
        <v>93</v>
      </c>
      <c r="H11" s="7">
        <f t="shared" si="1"/>
        <v>19230</v>
      </c>
      <c r="I11" s="7">
        <v>0</v>
      </c>
      <c r="J11" s="8"/>
      <c r="K11" s="6">
        <v>6</v>
      </c>
      <c r="L11" s="9">
        <v>0</v>
      </c>
      <c r="M11" s="9">
        <v>2</v>
      </c>
      <c r="N11" s="9">
        <v>0</v>
      </c>
      <c r="O11" s="7">
        <f t="shared" si="0"/>
        <v>2</v>
      </c>
      <c r="P11" s="10">
        <f t="shared" si="2"/>
        <v>6135</v>
      </c>
    </row>
    <row r="12" spans="1:19" ht="18" customHeight="1" thickTop="1" thickBot="1" x14ac:dyDescent="0.35">
      <c r="A12" s="6">
        <v>7</v>
      </c>
      <c r="B12" s="7">
        <v>11007</v>
      </c>
      <c r="C12" s="7">
        <v>0</v>
      </c>
      <c r="D12" s="7">
        <v>1501</v>
      </c>
      <c r="E12" s="7">
        <v>212</v>
      </c>
      <c r="F12" s="7">
        <v>173</v>
      </c>
      <c r="G12" s="7">
        <v>369</v>
      </c>
      <c r="H12" s="7">
        <f t="shared" si="1"/>
        <v>13262</v>
      </c>
      <c r="I12" s="7">
        <v>0</v>
      </c>
      <c r="J12" s="12"/>
      <c r="K12" s="6">
        <v>7</v>
      </c>
      <c r="L12" s="9">
        <v>2</v>
      </c>
      <c r="M12" s="9">
        <v>13</v>
      </c>
      <c r="N12" s="9">
        <v>8</v>
      </c>
      <c r="O12" s="7">
        <f t="shared" si="0"/>
        <v>23</v>
      </c>
      <c r="P12" s="10">
        <f t="shared" si="2"/>
        <v>6135</v>
      </c>
    </row>
    <row r="13" spans="1:19" ht="18" customHeight="1" thickTop="1" thickBot="1" x14ac:dyDescent="0.35">
      <c r="A13" s="6">
        <v>8</v>
      </c>
      <c r="B13" s="7">
        <v>8395</v>
      </c>
      <c r="C13" s="7">
        <v>0</v>
      </c>
      <c r="D13" s="7">
        <v>1559</v>
      </c>
      <c r="E13" s="7">
        <v>173</v>
      </c>
      <c r="F13" s="7">
        <v>239</v>
      </c>
      <c r="G13" s="7">
        <v>396</v>
      </c>
      <c r="H13" s="7">
        <f t="shared" si="1"/>
        <v>10762</v>
      </c>
      <c r="I13" s="7">
        <v>0</v>
      </c>
      <c r="J13" s="12"/>
      <c r="K13" s="6">
        <v>8</v>
      </c>
      <c r="L13" s="9">
        <v>2</v>
      </c>
      <c r="M13" s="9">
        <v>6</v>
      </c>
      <c r="N13" s="9">
        <v>4</v>
      </c>
      <c r="O13" s="7">
        <f t="shared" si="0"/>
        <v>12</v>
      </c>
      <c r="P13" s="10">
        <f t="shared" si="2"/>
        <v>6135</v>
      </c>
    </row>
    <row r="14" spans="1:19" s="14" customFormat="1" ht="18" customHeight="1" thickTop="1" thickBot="1" x14ac:dyDescent="0.35">
      <c r="A14" s="6">
        <v>9</v>
      </c>
      <c r="B14" s="7">
        <v>7678</v>
      </c>
      <c r="C14" s="7">
        <v>0</v>
      </c>
      <c r="D14" s="7">
        <v>1686</v>
      </c>
      <c r="E14" s="7">
        <v>218</v>
      </c>
      <c r="F14" s="7">
        <v>230</v>
      </c>
      <c r="G14" s="7">
        <v>360</v>
      </c>
      <c r="H14" s="7">
        <f t="shared" si="1"/>
        <v>10172</v>
      </c>
      <c r="I14" s="7">
        <v>0</v>
      </c>
      <c r="J14" s="12"/>
      <c r="K14" s="6">
        <v>9</v>
      </c>
      <c r="L14" s="9">
        <v>2</v>
      </c>
      <c r="M14" s="9">
        <v>12</v>
      </c>
      <c r="N14" s="9">
        <v>9</v>
      </c>
      <c r="O14" s="7">
        <f t="shared" si="0"/>
        <v>23</v>
      </c>
      <c r="P14" s="13">
        <f t="shared" si="2"/>
        <v>6135</v>
      </c>
    </row>
    <row r="15" spans="1:19" ht="18" customHeight="1" thickTop="1" thickBot="1" x14ac:dyDescent="0.35">
      <c r="A15" s="6">
        <v>10</v>
      </c>
      <c r="B15" s="7">
        <v>8593</v>
      </c>
      <c r="C15" s="7">
        <v>0</v>
      </c>
      <c r="D15" s="7">
        <v>1531</v>
      </c>
      <c r="E15" s="7">
        <v>189</v>
      </c>
      <c r="F15" s="7">
        <v>201</v>
      </c>
      <c r="G15" s="7">
        <v>346</v>
      </c>
      <c r="H15" s="7">
        <f t="shared" si="1"/>
        <v>10860</v>
      </c>
      <c r="I15" s="7">
        <v>0</v>
      </c>
      <c r="J15" s="12"/>
      <c r="K15" s="6">
        <v>10</v>
      </c>
      <c r="L15" s="9">
        <v>1</v>
      </c>
      <c r="M15" s="9">
        <v>17</v>
      </c>
      <c r="N15" s="9">
        <v>1</v>
      </c>
      <c r="O15" s="7">
        <f t="shared" si="0"/>
        <v>19</v>
      </c>
      <c r="P15" s="10">
        <f t="shared" si="2"/>
        <v>6135</v>
      </c>
    </row>
    <row r="16" spans="1:19" ht="18" customHeight="1" thickTop="1" thickBot="1" x14ac:dyDescent="0.35">
      <c r="A16" s="6">
        <v>11</v>
      </c>
      <c r="B16" s="7">
        <v>9650</v>
      </c>
      <c r="C16" s="7">
        <v>0</v>
      </c>
      <c r="D16" s="7">
        <v>1388</v>
      </c>
      <c r="E16" s="7">
        <v>152</v>
      </c>
      <c r="F16" s="7">
        <v>167</v>
      </c>
      <c r="G16" s="7">
        <v>285</v>
      </c>
      <c r="H16" s="7">
        <f t="shared" si="1"/>
        <v>11642</v>
      </c>
      <c r="I16" s="7">
        <v>0</v>
      </c>
      <c r="J16" s="12"/>
      <c r="K16" s="6">
        <v>11</v>
      </c>
      <c r="L16" s="9">
        <v>0</v>
      </c>
      <c r="M16" s="9">
        <v>5</v>
      </c>
      <c r="N16" s="9">
        <v>4</v>
      </c>
      <c r="O16" s="7">
        <f t="shared" si="0"/>
        <v>9</v>
      </c>
      <c r="P16" s="10">
        <f t="shared" si="2"/>
        <v>6135</v>
      </c>
    </row>
    <row r="17" spans="1:26" ht="18" customHeight="1" thickTop="1" thickBot="1" x14ac:dyDescent="0.35">
      <c r="A17" s="6">
        <v>12</v>
      </c>
      <c r="B17" s="7">
        <v>10945</v>
      </c>
      <c r="C17" s="7">
        <v>0</v>
      </c>
      <c r="D17" s="7">
        <v>1226</v>
      </c>
      <c r="E17" s="7">
        <v>130</v>
      </c>
      <c r="F17" s="7">
        <v>100</v>
      </c>
      <c r="G17" s="7">
        <v>309</v>
      </c>
      <c r="H17" s="7">
        <f t="shared" si="1"/>
        <v>12710</v>
      </c>
      <c r="I17" s="7">
        <v>0</v>
      </c>
      <c r="J17" s="12"/>
      <c r="K17" s="6">
        <v>12</v>
      </c>
      <c r="L17" s="9">
        <v>1</v>
      </c>
      <c r="M17" s="9">
        <v>3</v>
      </c>
      <c r="N17" s="9">
        <v>5</v>
      </c>
      <c r="O17" s="7">
        <f t="shared" si="0"/>
        <v>9</v>
      </c>
      <c r="P17" s="10">
        <f t="shared" si="2"/>
        <v>6135</v>
      </c>
    </row>
    <row r="18" spans="1:26" ht="18" customHeight="1" thickTop="1" thickBot="1" x14ac:dyDescent="0.35">
      <c r="A18" s="6">
        <v>13</v>
      </c>
      <c r="B18" s="7">
        <v>5856</v>
      </c>
      <c r="C18" s="7">
        <v>0</v>
      </c>
      <c r="D18" s="7">
        <v>1361</v>
      </c>
      <c r="E18" s="7">
        <v>209</v>
      </c>
      <c r="F18" s="7">
        <v>216</v>
      </c>
      <c r="G18" s="7">
        <v>299</v>
      </c>
      <c r="H18" s="7">
        <f t="shared" si="1"/>
        <v>7941</v>
      </c>
      <c r="I18" s="7">
        <v>0</v>
      </c>
      <c r="J18" s="12"/>
      <c r="K18" s="6">
        <v>13</v>
      </c>
      <c r="L18" s="9">
        <v>1</v>
      </c>
      <c r="M18" s="9">
        <v>10</v>
      </c>
      <c r="N18" s="9">
        <v>4</v>
      </c>
      <c r="O18" s="7">
        <f t="shared" si="0"/>
        <v>15</v>
      </c>
      <c r="P18" s="10">
        <f t="shared" si="2"/>
        <v>6135</v>
      </c>
    </row>
    <row r="19" spans="1:26" ht="18" customHeight="1" thickTop="1" thickBot="1" x14ac:dyDescent="0.35">
      <c r="A19" s="6">
        <v>14</v>
      </c>
      <c r="B19" s="7">
        <v>4906</v>
      </c>
      <c r="C19" s="7">
        <v>0</v>
      </c>
      <c r="D19" s="7">
        <v>1530</v>
      </c>
      <c r="E19" s="7">
        <v>203</v>
      </c>
      <c r="F19" s="7">
        <v>209</v>
      </c>
      <c r="G19" s="7">
        <v>400</v>
      </c>
      <c r="H19" s="7">
        <f t="shared" si="1"/>
        <v>7248</v>
      </c>
      <c r="I19" s="7">
        <v>0</v>
      </c>
      <c r="J19" s="12"/>
      <c r="K19" s="6">
        <v>14</v>
      </c>
      <c r="L19" s="9">
        <v>1</v>
      </c>
      <c r="M19" s="9">
        <v>14</v>
      </c>
      <c r="N19" s="9">
        <v>6</v>
      </c>
      <c r="O19" s="7">
        <f t="shared" si="0"/>
        <v>21</v>
      </c>
      <c r="P19" s="10">
        <f t="shared" si="2"/>
        <v>6135</v>
      </c>
    </row>
    <row r="20" spans="1:26" ht="18" customHeight="1" thickTop="1" thickBot="1" x14ac:dyDescent="0.35">
      <c r="A20" s="6">
        <v>15</v>
      </c>
      <c r="B20" s="7">
        <v>4741</v>
      </c>
      <c r="C20" s="7">
        <v>0</v>
      </c>
      <c r="D20" s="7">
        <v>1487</v>
      </c>
      <c r="E20" s="7">
        <v>260</v>
      </c>
      <c r="F20" s="7">
        <v>239</v>
      </c>
      <c r="G20" s="7">
        <v>427</v>
      </c>
      <c r="H20" s="7">
        <f t="shared" si="1"/>
        <v>7154</v>
      </c>
      <c r="I20" s="7">
        <v>0</v>
      </c>
      <c r="J20" s="12"/>
      <c r="K20" s="6">
        <v>15</v>
      </c>
      <c r="L20" s="9">
        <v>4</v>
      </c>
      <c r="M20" s="9">
        <v>10</v>
      </c>
      <c r="N20" s="9">
        <v>6</v>
      </c>
      <c r="O20" s="7">
        <f t="shared" si="0"/>
        <v>20</v>
      </c>
      <c r="P20" s="10">
        <f t="shared" si="2"/>
        <v>6135</v>
      </c>
    </row>
    <row r="21" spans="1:26" ht="18" customHeight="1" thickTop="1" thickBot="1" x14ac:dyDescent="0.35">
      <c r="A21" s="6">
        <v>16</v>
      </c>
      <c r="B21" s="7">
        <v>4568</v>
      </c>
      <c r="C21" s="7">
        <v>0</v>
      </c>
      <c r="D21" s="7">
        <v>1545</v>
      </c>
      <c r="E21" s="7">
        <v>220</v>
      </c>
      <c r="F21" s="7">
        <v>243</v>
      </c>
      <c r="G21" s="7">
        <v>431</v>
      </c>
      <c r="H21" s="7">
        <f t="shared" si="1"/>
        <v>7007</v>
      </c>
      <c r="I21" s="7">
        <v>0</v>
      </c>
      <c r="J21" s="12"/>
      <c r="K21" s="6">
        <v>16</v>
      </c>
      <c r="L21" s="9">
        <v>4</v>
      </c>
      <c r="M21" s="9">
        <v>7</v>
      </c>
      <c r="N21" s="9">
        <v>3</v>
      </c>
      <c r="O21" s="7">
        <f t="shared" si="0"/>
        <v>14</v>
      </c>
      <c r="P21" s="10">
        <f>+P20</f>
        <v>6135</v>
      </c>
    </row>
    <row r="22" spans="1:26" ht="18" customHeight="1" thickTop="1" thickBot="1" x14ac:dyDescent="0.35">
      <c r="A22" s="6">
        <v>17</v>
      </c>
      <c r="B22" s="7">
        <v>6199</v>
      </c>
      <c r="C22" s="7">
        <v>0</v>
      </c>
      <c r="D22" s="7">
        <v>1407</v>
      </c>
      <c r="E22" s="7">
        <v>200</v>
      </c>
      <c r="F22" s="7">
        <v>177</v>
      </c>
      <c r="G22" s="7">
        <v>352</v>
      </c>
      <c r="H22" s="7">
        <f t="shared" si="1"/>
        <v>8335</v>
      </c>
      <c r="I22" s="7">
        <v>0</v>
      </c>
      <c r="J22" s="12"/>
      <c r="K22" s="6">
        <v>17</v>
      </c>
      <c r="L22" s="9">
        <v>1</v>
      </c>
      <c r="M22" s="9">
        <v>12</v>
      </c>
      <c r="N22" s="9">
        <v>6</v>
      </c>
      <c r="O22" s="7">
        <f t="shared" si="0"/>
        <v>19</v>
      </c>
      <c r="P22" s="10">
        <f t="shared" si="2"/>
        <v>6135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8" customHeight="1" thickTop="1" thickBot="1" x14ac:dyDescent="0.35">
      <c r="A23" s="6">
        <v>18</v>
      </c>
      <c r="B23" s="7">
        <v>6474</v>
      </c>
      <c r="C23" s="7">
        <v>0</v>
      </c>
      <c r="D23" s="7">
        <v>1216</v>
      </c>
      <c r="E23" s="7">
        <v>168</v>
      </c>
      <c r="F23" s="7">
        <v>179</v>
      </c>
      <c r="G23" s="7">
        <v>311</v>
      </c>
      <c r="H23" s="7">
        <f t="shared" si="1"/>
        <v>8348</v>
      </c>
      <c r="I23" s="7">
        <v>0</v>
      </c>
      <c r="J23" s="12"/>
      <c r="K23" s="6">
        <v>18</v>
      </c>
      <c r="L23" s="9">
        <v>1</v>
      </c>
      <c r="M23" s="9">
        <v>10</v>
      </c>
      <c r="N23" s="9">
        <v>1</v>
      </c>
      <c r="O23" s="7">
        <f t="shared" si="0"/>
        <v>12</v>
      </c>
      <c r="P23" s="10">
        <f t="shared" si="2"/>
        <v>6135</v>
      </c>
    </row>
    <row r="24" spans="1:26" ht="18" customHeight="1" thickTop="1" thickBot="1" x14ac:dyDescent="0.35">
      <c r="A24" s="6">
        <v>19</v>
      </c>
      <c r="B24" s="7">
        <v>8302</v>
      </c>
      <c r="C24" s="7">
        <v>0</v>
      </c>
      <c r="D24" s="7">
        <v>1037</v>
      </c>
      <c r="E24" s="7">
        <v>144</v>
      </c>
      <c r="F24" s="7">
        <v>121</v>
      </c>
      <c r="G24" s="7">
        <v>314</v>
      </c>
      <c r="H24" s="7">
        <f t="shared" si="1"/>
        <v>9918</v>
      </c>
      <c r="I24" s="7">
        <v>0</v>
      </c>
      <c r="J24" s="12"/>
      <c r="K24" s="6">
        <v>19</v>
      </c>
      <c r="L24" s="9">
        <v>1</v>
      </c>
      <c r="M24" s="9">
        <v>4</v>
      </c>
      <c r="N24" s="9">
        <v>0</v>
      </c>
      <c r="O24" s="7">
        <f t="shared" si="0"/>
        <v>5</v>
      </c>
      <c r="P24" s="10">
        <f t="shared" si="2"/>
        <v>6135</v>
      </c>
    </row>
    <row r="25" spans="1:26" ht="18" customHeight="1" thickTop="1" thickBot="1" x14ac:dyDescent="0.35">
      <c r="A25" s="6">
        <v>20</v>
      </c>
      <c r="B25" s="7">
        <v>4494</v>
      </c>
      <c r="C25" s="7">
        <v>0</v>
      </c>
      <c r="D25" s="7">
        <v>1247</v>
      </c>
      <c r="E25" s="7">
        <v>224</v>
      </c>
      <c r="F25" s="7">
        <v>219</v>
      </c>
      <c r="G25" s="7">
        <v>344</v>
      </c>
      <c r="H25" s="7">
        <f t="shared" si="1"/>
        <v>6528</v>
      </c>
      <c r="I25" s="7">
        <v>0</v>
      </c>
      <c r="J25" s="12"/>
      <c r="K25" s="6">
        <v>20</v>
      </c>
      <c r="L25" s="9">
        <v>3</v>
      </c>
      <c r="M25" s="9">
        <v>7</v>
      </c>
      <c r="N25" s="9">
        <v>3</v>
      </c>
      <c r="O25" s="7">
        <f t="shared" si="0"/>
        <v>13</v>
      </c>
      <c r="P25" s="10">
        <f t="shared" si="2"/>
        <v>6135</v>
      </c>
    </row>
    <row r="26" spans="1:26" ht="18" customHeight="1" thickTop="1" thickBot="1" x14ac:dyDescent="0.35">
      <c r="A26" s="6">
        <v>21</v>
      </c>
      <c r="B26" s="7">
        <v>3421</v>
      </c>
      <c r="C26" s="7">
        <v>0</v>
      </c>
      <c r="D26" s="7">
        <v>1389</v>
      </c>
      <c r="E26" s="7">
        <v>203</v>
      </c>
      <c r="F26" s="7">
        <v>190</v>
      </c>
      <c r="G26" s="7">
        <v>367</v>
      </c>
      <c r="H26" s="7">
        <f t="shared" si="1"/>
        <v>5570</v>
      </c>
      <c r="I26" s="7">
        <v>0</v>
      </c>
      <c r="J26" s="12"/>
      <c r="K26" s="6">
        <v>21</v>
      </c>
      <c r="L26" s="9">
        <v>2</v>
      </c>
      <c r="M26" s="9">
        <v>11</v>
      </c>
      <c r="N26" s="9">
        <v>3</v>
      </c>
      <c r="O26" s="7">
        <f t="shared" si="0"/>
        <v>16</v>
      </c>
      <c r="P26" s="10">
        <f t="shared" si="2"/>
        <v>6135</v>
      </c>
    </row>
    <row r="27" spans="1:26" ht="18" customHeight="1" thickTop="1" thickBot="1" x14ac:dyDescent="0.35">
      <c r="A27" s="6">
        <v>22</v>
      </c>
      <c r="B27" s="7">
        <v>3724</v>
      </c>
      <c r="C27" s="7">
        <v>0</v>
      </c>
      <c r="D27" s="7">
        <v>1572</v>
      </c>
      <c r="E27" s="7">
        <v>234</v>
      </c>
      <c r="F27" s="7">
        <v>247</v>
      </c>
      <c r="G27" s="7">
        <v>416</v>
      </c>
      <c r="H27" s="7">
        <f t="shared" si="1"/>
        <v>6193</v>
      </c>
      <c r="I27" s="7">
        <v>0</v>
      </c>
      <c r="J27" s="12"/>
      <c r="K27" s="6">
        <v>22</v>
      </c>
      <c r="L27" s="9">
        <v>3</v>
      </c>
      <c r="M27" s="9">
        <v>20</v>
      </c>
      <c r="N27" s="9">
        <v>10</v>
      </c>
      <c r="O27" s="7">
        <f t="shared" si="0"/>
        <v>33</v>
      </c>
      <c r="P27" s="10">
        <f t="shared" si="2"/>
        <v>6135</v>
      </c>
    </row>
    <row r="28" spans="1:26" ht="18" customHeight="1" thickTop="1" thickBot="1" x14ac:dyDescent="0.35">
      <c r="A28" s="6">
        <v>23</v>
      </c>
      <c r="B28" s="7">
        <v>4017</v>
      </c>
      <c r="C28" s="7">
        <v>0</v>
      </c>
      <c r="D28" s="7">
        <v>1543</v>
      </c>
      <c r="E28" s="7">
        <v>265</v>
      </c>
      <c r="F28" s="7">
        <v>275</v>
      </c>
      <c r="G28" s="7">
        <v>429</v>
      </c>
      <c r="H28" s="7">
        <f t="shared" si="1"/>
        <v>6529</v>
      </c>
      <c r="I28" s="7">
        <v>0</v>
      </c>
      <c r="J28" s="12"/>
      <c r="K28" s="6">
        <v>23</v>
      </c>
      <c r="L28" s="9">
        <v>4</v>
      </c>
      <c r="M28" s="9">
        <v>18</v>
      </c>
      <c r="N28" s="9">
        <v>4</v>
      </c>
      <c r="O28" s="7">
        <f t="shared" si="0"/>
        <v>26</v>
      </c>
      <c r="P28" s="10">
        <f t="shared" si="2"/>
        <v>6135</v>
      </c>
    </row>
    <row r="29" spans="1:26" ht="18" customHeight="1" thickTop="1" thickBot="1" x14ac:dyDescent="0.35">
      <c r="A29" s="6">
        <v>24</v>
      </c>
      <c r="B29" s="7">
        <v>6610</v>
      </c>
      <c r="C29" s="7">
        <v>0</v>
      </c>
      <c r="D29" s="7">
        <v>1560</v>
      </c>
      <c r="E29" s="7">
        <v>212</v>
      </c>
      <c r="F29" s="7">
        <v>226</v>
      </c>
      <c r="G29" s="7">
        <v>392</v>
      </c>
      <c r="H29" s="7">
        <f t="shared" si="1"/>
        <v>9000</v>
      </c>
      <c r="I29" s="7">
        <v>0</v>
      </c>
      <c r="J29" s="12"/>
      <c r="K29" s="6">
        <v>24</v>
      </c>
      <c r="L29" s="9">
        <v>2</v>
      </c>
      <c r="M29" s="9">
        <v>16</v>
      </c>
      <c r="N29" s="9">
        <v>7</v>
      </c>
      <c r="O29" s="7">
        <f t="shared" si="0"/>
        <v>25</v>
      </c>
      <c r="P29" s="10">
        <f t="shared" si="2"/>
        <v>6135</v>
      </c>
    </row>
    <row r="30" spans="1:26" ht="18" customHeight="1" thickTop="1" thickBot="1" x14ac:dyDescent="0.35">
      <c r="A30" s="6">
        <v>25</v>
      </c>
      <c r="B30" s="7">
        <v>8319</v>
      </c>
      <c r="C30" s="7">
        <v>0</v>
      </c>
      <c r="D30" s="7">
        <v>1263</v>
      </c>
      <c r="E30" s="7">
        <v>151</v>
      </c>
      <c r="F30" s="7">
        <v>198</v>
      </c>
      <c r="G30" s="7">
        <v>316</v>
      </c>
      <c r="H30" s="7">
        <f t="shared" si="1"/>
        <v>10247</v>
      </c>
      <c r="I30" s="7">
        <v>0</v>
      </c>
      <c r="J30" s="12"/>
      <c r="K30" s="6">
        <v>25</v>
      </c>
      <c r="L30" s="9">
        <v>4</v>
      </c>
      <c r="M30" s="9">
        <v>9</v>
      </c>
      <c r="N30" s="9">
        <v>4</v>
      </c>
      <c r="O30" s="7">
        <f t="shared" si="0"/>
        <v>17</v>
      </c>
      <c r="P30" s="10">
        <f t="shared" si="2"/>
        <v>6135</v>
      </c>
    </row>
    <row r="31" spans="1:26" ht="18" customHeight="1" thickTop="1" thickBot="1" x14ac:dyDescent="0.35">
      <c r="A31" s="6">
        <v>26</v>
      </c>
      <c r="B31" s="7">
        <v>9874</v>
      </c>
      <c r="C31" s="7">
        <v>0</v>
      </c>
      <c r="D31" s="7">
        <v>1091</v>
      </c>
      <c r="E31" s="7">
        <v>151</v>
      </c>
      <c r="F31" s="7">
        <v>133</v>
      </c>
      <c r="G31" s="7">
        <v>308</v>
      </c>
      <c r="H31" s="7">
        <f t="shared" si="1"/>
        <v>11557</v>
      </c>
      <c r="I31" s="7">
        <v>0</v>
      </c>
      <c r="J31" s="12"/>
      <c r="K31" s="6">
        <v>26</v>
      </c>
      <c r="L31" s="9">
        <v>1</v>
      </c>
      <c r="M31" s="9">
        <v>7</v>
      </c>
      <c r="N31" s="9">
        <v>1</v>
      </c>
      <c r="O31" s="7">
        <f t="shared" si="0"/>
        <v>9</v>
      </c>
      <c r="P31" s="10">
        <f t="shared" si="2"/>
        <v>6135</v>
      </c>
    </row>
    <row r="32" spans="1:26" ht="18" customHeight="1" thickTop="1" thickBot="1" x14ac:dyDescent="0.35">
      <c r="A32" s="6">
        <v>27</v>
      </c>
      <c r="B32" s="7">
        <v>4231</v>
      </c>
      <c r="C32" s="7">
        <v>0</v>
      </c>
      <c r="D32" s="7">
        <v>1377</v>
      </c>
      <c r="E32" s="7">
        <v>258</v>
      </c>
      <c r="F32" s="7">
        <v>228</v>
      </c>
      <c r="G32" s="7">
        <v>367</v>
      </c>
      <c r="H32" s="7">
        <f t="shared" si="1"/>
        <v>6461</v>
      </c>
      <c r="I32" s="7">
        <v>0</v>
      </c>
      <c r="J32" s="12"/>
      <c r="K32" s="6">
        <v>27</v>
      </c>
      <c r="L32" s="9">
        <v>0</v>
      </c>
      <c r="M32" s="9">
        <v>21</v>
      </c>
      <c r="N32" s="9">
        <v>3</v>
      </c>
      <c r="O32" s="7">
        <f t="shared" si="0"/>
        <v>24</v>
      </c>
      <c r="P32" s="10">
        <f t="shared" si="2"/>
        <v>6135</v>
      </c>
    </row>
    <row r="33" spans="1:16" ht="18" customHeight="1" thickTop="1" thickBot="1" x14ac:dyDescent="0.35">
      <c r="A33" s="6">
        <v>28</v>
      </c>
      <c r="B33" s="7">
        <v>3359</v>
      </c>
      <c r="C33" s="7">
        <v>0</v>
      </c>
      <c r="D33" s="7">
        <v>1454</v>
      </c>
      <c r="E33" s="7">
        <v>225</v>
      </c>
      <c r="F33" s="7">
        <v>263</v>
      </c>
      <c r="G33" s="7">
        <v>381</v>
      </c>
      <c r="H33" s="7">
        <f t="shared" si="1"/>
        <v>5682</v>
      </c>
      <c r="I33" s="7">
        <v>0</v>
      </c>
      <c r="J33" s="12"/>
      <c r="K33" s="6">
        <v>28</v>
      </c>
      <c r="L33" s="9">
        <v>3</v>
      </c>
      <c r="M33" s="9">
        <v>22</v>
      </c>
      <c r="N33" s="9">
        <v>5</v>
      </c>
      <c r="O33" s="7">
        <f t="shared" si="0"/>
        <v>30</v>
      </c>
      <c r="P33" s="10">
        <f t="shared" si="2"/>
        <v>6135</v>
      </c>
    </row>
    <row r="34" spans="1:16" ht="18" customHeight="1" thickTop="1" thickBot="1" x14ac:dyDescent="0.35">
      <c r="A34" s="6">
        <v>29</v>
      </c>
      <c r="B34" s="7">
        <v>3673</v>
      </c>
      <c r="C34" s="7">
        <v>0</v>
      </c>
      <c r="D34" s="7">
        <v>1611</v>
      </c>
      <c r="E34" s="7">
        <v>218</v>
      </c>
      <c r="F34" s="7">
        <v>284</v>
      </c>
      <c r="G34" s="7">
        <v>497</v>
      </c>
      <c r="H34" s="7">
        <f t="shared" si="1"/>
        <v>6283</v>
      </c>
      <c r="I34" s="7">
        <v>0</v>
      </c>
      <c r="J34" s="12"/>
      <c r="K34" s="6">
        <v>29</v>
      </c>
      <c r="L34" s="9">
        <v>5</v>
      </c>
      <c r="M34" s="9">
        <v>14</v>
      </c>
      <c r="N34" s="9">
        <v>5</v>
      </c>
      <c r="O34" s="7">
        <f t="shared" si="0"/>
        <v>24</v>
      </c>
      <c r="P34" s="10">
        <f t="shared" si="2"/>
        <v>6135</v>
      </c>
    </row>
    <row r="35" spans="1:16" ht="18" customHeight="1" thickTop="1" thickBot="1" x14ac:dyDescent="0.35">
      <c r="A35" s="6">
        <v>30</v>
      </c>
      <c r="B35" s="7">
        <v>3650</v>
      </c>
      <c r="C35" s="7">
        <v>0</v>
      </c>
      <c r="D35" s="7">
        <v>1586</v>
      </c>
      <c r="E35" s="7">
        <v>228</v>
      </c>
      <c r="F35" s="7">
        <v>263</v>
      </c>
      <c r="G35" s="7">
        <v>403</v>
      </c>
      <c r="H35" s="7">
        <f t="shared" si="1"/>
        <v>6130</v>
      </c>
      <c r="I35" s="7">
        <v>0</v>
      </c>
      <c r="J35" s="12"/>
      <c r="K35" s="6">
        <v>30</v>
      </c>
      <c r="L35" s="9">
        <v>4</v>
      </c>
      <c r="M35" s="9">
        <v>7</v>
      </c>
      <c r="N35" s="9">
        <v>8</v>
      </c>
      <c r="O35" s="7">
        <f t="shared" si="0"/>
        <v>19</v>
      </c>
      <c r="P35" s="10">
        <f t="shared" si="2"/>
        <v>6135</v>
      </c>
    </row>
    <row r="36" spans="1:16" ht="18" customHeight="1" thickTop="1" thickBot="1" x14ac:dyDescent="0.35">
      <c r="A36" s="6">
        <v>31</v>
      </c>
      <c r="B36" s="7">
        <v>5190</v>
      </c>
      <c r="C36" s="7">
        <v>0</v>
      </c>
      <c r="D36" s="7">
        <v>1457</v>
      </c>
      <c r="E36" s="7">
        <v>195</v>
      </c>
      <c r="F36" s="7">
        <v>252</v>
      </c>
      <c r="G36" s="7">
        <v>335</v>
      </c>
      <c r="H36" s="7">
        <f t="shared" si="1"/>
        <v>7429</v>
      </c>
      <c r="I36" s="7">
        <v>0</v>
      </c>
      <c r="J36" s="12"/>
      <c r="K36" s="6">
        <v>31</v>
      </c>
      <c r="L36" s="9">
        <v>6</v>
      </c>
      <c r="M36" s="9">
        <v>6</v>
      </c>
      <c r="N36" s="9">
        <v>7</v>
      </c>
      <c r="O36" s="7">
        <f t="shared" si="0"/>
        <v>19</v>
      </c>
      <c r="P36" s="10">
        <f t="shared" si="2"/>
        <v>6135</v>
      </c>
    </row>
    <row r="37" spans="1:16" ht="18" customHeight="1" thickTop="1" x14ac:dyDescent="0.3">
      <c r="A37" s="4" t="s">
        <v>19</v>
      </c>
      <c r="B37" s="16">
        <f>SUM(B6:B36)</f>
        <v>253643</v>
      </c>
      <c r="C37" s="16">
        <f t="shared" ref="C37:H37" si="3">SUM(C6:C36)</f>
        <v>0</v>
      </c>
      <c r="D37" s="16">
        <f t="shared" si="3"/>
        <v>41952</v>
      </c>
      <c r="E37" s="16">
        <f t="shared" si="3"/>
        <v>5545</v>
      </c>
      <c r="F37" s="16">
        <f t="shared" si="3"/>
        <v>5927</v>
      </c>
      <c r="G37" s="16">
        <f t="shared" si="3"/>
        <v>10079</v>
      </c>
      <c r="H37" s="16">
        <f t="shared" si="3"/>
        <v>317146</v>
      </c>
      <c r="I37" s="16">
        <f>SUM(I6:I33)</f>
        <v>0</v>
      </c>
      <c r="J37" s="16"/>
      <c r="K37" s="16"/>
      <c r="L37" s="16">
        <f>SUM(L6:L36)</f>
        <v>59</v>
      </c>
      <c r="M37" s="16">
        <f>SUM(M6:M36)</f>
        <v>316</v>
      </c>
      <c r="N37" s="16">
        <f>SUM(N6:N36)</f>
        <v>127</v>
      </c>
      <c r="O37" s="110">
        <f>SUM(O6:O36)</f>
        <v>502</v>
      </c>
    </row>
    <row r="38" spans="1:16" ht="18" customHeight="1" x14ac:dyDescent="0.3">
      <c r="A38" s="4" t="s">
        <v>19</v>
      </c>
      <c r="B38" s="121">
        <f>+B37+C37</f>
        <v>253643</v>
      </c>
      <c r="C38" s="121"/>
      <c r="D38" s="16">
        <f>+D37</f>
        <v>41952</v>
      </c>
      <c r="E38" s="16">
        <f>+E37</f>
        <v>5545</v>
      </c>
      <c r="F38" s="16">
        <f>+F37</f>
        <v>5927</v>
      </c>
      <c r="G38" s="16">
        <f>+G37</f>
        <v>10079</v>
      </c>
      <c r="H38" s="110">
        <f>+H37</f>
        <v>317146</v>
      </c>
      <c r="I38" s="16">
        <v>0</v>
      </c>
      <c r="J38" s="17"/>
      <c r="K38" s="4"/>
      <c r="L38" s="18" t="s">
        <v>20</v>
      </c>
      <c r="M38" s="18" t="s">
        <v>21</v>
      </c>
      <c r="N38" s="18" t="s">
        <v>20</v>
      </c>
      <c r="O38" s="18" t="s">
        <v>21</v>
      </c>
    </row>
    <row r="39" spans="1:16" ht="18" customHeight="1" x14ac:dyDescent="0.3">
      <c r="A39" s="19" t="s">
        <v>22</v>
      </c>
      <c r="B39" s="20"/>
      <c r="C39" s="20"/>
      <c r="D39" s="20"/>
      <c r="E39" s="20"/>
      <c r="F39" s="20"/>
      <c r="G39" s="20"/>
      <c r="H39" s="20"/>
      <c r="L39" s="22"/>
    </row>
    <row r="40" spans="1:16" x14ac:dyDescent="0.3">
      <c r="A40" s="23"/>
      <c r="B40" s="24"/>
      <c r="C40" s="24"/>
      <c r="D40" s="24"/>
      <c r="E40" s="24"/>
      <c r="F40" s="24"/>
      <c r="G40" s="24"/>
      <c r="H40" s="24"/>
      <c r="I40" s="24"/>
      <c r="J40" s="22"/>
      <c r="K40" s="25"/>
      <c r="L40" s="26"/>
    </row>
    <row r="41" spans="1:16" x14ac:dyDescent="0.3">
      <c r="A41" s="11"/>
      <c r="H41" s="11"/>
      <c r="K41" s="25"/>
      <c r="L41" s="26"/>
    </row>
    <row r="42" spans="1:16" x14ac:dyDescent="0.3">
      <c r="K42" s="25"/>
      <c r="L42" s="26"/>
    </row>
    <row r="43" spans="1:16" x14ac:dyDescent="0.3">
      <c r="I43" s="11"/>
      <c r="J43" s="11"/>
    </row>
    <row r="45" spans="1:16" x14ac:dyDescent="0.3">
      <c r="A45" s="27"/>
    </row>
    <row r="46" spans="1:16" x14ac:dyDescent="0.3">
      <c r="A46" s="27"/>
      <c r="B46" s="11"/>
      <c r="C46" s="11"/>
      <c r="D46" s="11"/>
      <c r="E46" s="11"/>
      <c r="F46" s="11"/>
      <c r="G46" s="11"/>
      <c r="H46" s="11"/>
      <c r="I46" s="11"/>
      <c r="J46" s="11"/>
      <c r="K46" s="28"/>
      <c r="L46" s="11"/>
      <c r="M46" s="11"/>
      <c r="N46" s="11"/>
      <c r="O46" s="11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  <ignoredErrors>
    <ignoredError sqref="H6:H34 O6:O36 H35:H36 I3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A95F-EDCE-4741-AF20-7498F507EDCF}">
  <dimension ref="A1:Z46"/>
  <sheetViews>
    <sheetView workbookViewId="0">
      <selection activeCell="J8" sqref="J8"/>
    </sheetView>
  </sheetViews>
  <sheetFormatPr baseColWidth="10" defaultRowHeight="14.4" x14ac:dyDescent="0.3"/>
  <cols>
    <col min="10" max="10" width="8.77734375" customWidth="1"/>
    <col min="16" max="16" width="0" hidden="1" customWidth="1"/>
  </cols>
  <sheetData>
    <row r="1" spans="1:19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9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9" ht="15.6" x14ac:dyDescent="0.3">
      <c r="A3" s="129" t="s">
        <v>23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42"/>
      <c r="Q3" s="42"/>
      <c r="R3" s="42"/>
      <c r="S3" s="42"/>
    </row>
    <row r="4" spans="1:19" ht="82.8" x14ac:dyDescent="0.3">
      <c r="A4" s="127" t="s">
        <v>1</v>
      </c>
      <c r="B4" s="130" t="s">
        <v>2</v>
      </c>
      <c r="C4" s="130"/>
      <c r="D4" s="37" t="s">
        <v>3</v>
      </c>
      <c r="E4" s="37" t="s">
        <v>4</v>
      </c>
      <c r="F4" s="37" t="s">
        <v>5</v>
      </c>
      <c r="G4" s="37" t="s">
        <v>6</v>
      </c>
      <c r="H4" s="130" t="s">
        <v>7</v>
      </c>
      <c r="I4" s="130" t="s">
        <v>8</v>
      </c>
      <c r="J4" s="30"/>
      <c r="K4" s="132" t="s">
        <v>1</v>
      </c>
      <c r="L4" s="130" t="s">
        <v>9</v>
      </c>
      <c r="M4" s="130" t="s">
        <v>10</v>
      </c>
      <c r="N4" s="130" t="s">
        <v>11</v>
      </c>
      <c r="O4" s="130" t="s">
        <v>12</v>
      </c>
      <c r="P4" s="29"/>
      <c r="Q4" s="29"/>
      <c r="R4" s="29"/>
      <c r="S4" s="29"/>
    </row>
    <row r="5" spans="1:19" x14ac:dyDescent="0.3">
      <c r="A5" s="128"/>
      <c r="B5" s="38" t="s">
        <v>13</v>
      </c>
      <c r="C5" s="38" t="s">
        <v>14</v>
      </c>
      <c r="D5" s="38" t="s">
        <v>15</v>
      </c>
      <c r="E5" s="38" t="s">
        <v>16</v>
      </c>
      <c r="F5" s="38" t="s">
        <v>17</v>
      </c>
      <c r="G5" s="38" t="s">
        <v>18</v>
      </c>
      <c r="H5" s="130"/>
      <c r="I5" s="130"/>
      <c r="J5" s="30"/>
      <c r="K5" s="132"/>
      <c r="L5" s="130"/>
      <c r="M5" s="130"/>
      <c r="N5" s="130"/>
      <c r="O5" s="130"/>
      <c r="P5" s="29"/>
      <c r="Q5" s="29"/>
      <c r="R5" s="29"/>
      <c r="S5" s="29"/>
    </row>
    <row r="6" spans="1:19" ht="15" thickBot="1" x14ac:dyDescent="0.35">
      <c r="A6" s="31">
        <v>1</v>
      </c>
      <c r="B6" s="32">
        <v>5330</v>
      </c>
      <c r="C6" s="32">
        <v>0</v>
      </c>
      <c r="D6" s="32">
        <v>1090</v>
      </c>
      <c r="E6" s="32">
        <v>126</v>
      </c>
      <c r="F6" s="32">
        <v>191</v>
      </c>
      <c r="G6" s="32">
        <v>300</v>
      </c>
      <c r="H6" s="32">
        <v>7037</v>
      </c>
      <c r="I6" s="32">
        <v>0</v>
      </c>
      <c r="J6" s="113"/>
      <c r="K6" s="31">
        <v>1</v>
      </c>
      <c r="L6" s="54">
        <v>4</v>
      </c>
      <c r="M6" s="54">
        <v>8</v>
      </c>
      <c r="N6" s="54">
        <v>3</v>
      </c>
      <c r="O6" s="32">
        <v>15</v>
      </c>
      <c r="P6" s="46">
        <v>6135</v>
      </c>
      <c r="Q6" s="29"/>
      <c r="R6" s="29"/>
      <c r="S6" s="29"/>
    </row>
    <row r="7" spans="1:19" ht="15.6" thickTop="1" thickBot="1" x14ac:dyDescent="0.35">
      <c r="A7" s="31">
        <v>2</v>
      </c>
      <c r="B7" s="32">
        <v>7234</v>
      </c>
      <c r="C7" s="32">
        <v>0</v>
      </c>
      <c r="D7" s="32">
        <v>930</v>
      </c>
      <c r="E7" s="32">
        <v>145</v>
      </c>
      <c r="F7" s="32">
        <v>130</v>
      </c>
      <c r="G7" s="32">
        <v>301</v>
      </c>
      <c r="H7" s="32">
        <v>8740</v>
      </c>
      <c r="I7" s="32">
        <v>0</v>
      </c>
      <c r="J7" s="113"/>
      <c r="K7" s="31">
        <v>2</v>
      </c>
      <c r="L7" s="54">
        <v>0</v>
      </c>
      <c r="M7" s="54">
        <v>0</v>
      </c>
      <c r="N7" s="54">
        <v>1</v>
      </c>
      <c r="O7" s="32">
        <v>1</v>
      </c>
      <c r="P7" s="46">
        <v>6135</v>
      </c>
      <c r="Q7" s="29"/>
      <c r="R7" s="29"/>
      <c r="S7" s="29"/>
    </row>
    <row r="8" spans="1:19" ht="15.6" thickTop="1" thickBot="1" x14ac:dyDescent="0.35">
      <c r="A8" s="31">
        <v>3</v>
      </c>
      <c r="B8" s="32">
        <v>3287</v>
      </c>
      <c r="C8" s="32">
        <v>0</v>
      </c>
      <c r="D8" s="32">
        <v>1241</v>
      </c>
      <c r="E8" s="32">
        <v>185</v>
      </c>
      <c r="F8" s="32">
        <v>211</v>
      </c>
      <c r="G8" s="32">
        <v>375</v>
      </c>
      <c r="H8" s="32">
        <v>5299</v>
      </c>
      <c r="I8" s="32">
        <v>0</v>
      </c>
      <c r="J8" s="113"/>
      <c r="K8" s="31">
        <v>3</v>
      </c>
      <c r="L8" s="54">
        <v>4</v>
      </c>
      <c r="M8" s="54">
        <v>13</v>
      </c>
      <c r="N8" s="54">
        <v>2</v>
      </c>
      <c r="O8" s="32">
        <v>19</v>
      </c>
      <c r="P8" s="46">
        <v>6135</v>
      </c>
      <c r="Q8" s="29"/>
      <c r="R8" s="29"/>
      <c r="S8" s="40"/>
    </row>
    <row r="9" spans="1:19" ht="15.6" thickTop="1" thickBot="1" x14ac:dyDescent="0.35">
      <c r="A9" s="31">
        <v>4</v>
      </c>
      <c r="B9" s="32">
        <v>2968</v>
      </c>
      <c r="C9" s="32">
        <v>0</v>
      </c>
      <c r="D9" s="32">
        <v>1437</v>
      </c>
      <c r="E9" s="32">
        <v>192</v>
      </c>
      <c r="F9" s="32">
        <v>217</v>
      </c>
      <c r="G9" s="32">
        <v>394</v>
      </c>
      <c r="H9" s="32">
        <v>5208</v>
      </c>
      <c r="I9" s="32">
        <v>0</v>
      </c>
      <c r="J9" s="113"/>
      <c r="K9" s="31">
        <v>4</v>
      </c>
      <c r="L9" s="54">
        <v>3</v>
      </c>
      <c r="M9" s="54">
        <v>30</v>
      </c>
      <c r="N9" s="54">
        <v>4</v>
      </c>
      <c r="O9" s="32">
        <v>37</v>
      </c>
      <c r="P9" s="46">
        <v>6135</v>
      </c>
      <c r="Q9" s="29"/>
      <c r="R9" s="29"/>
      <c r="S9" s="29"/>
    </row>
    <row r="10" spans="1:19" ht="15.6" thickTop="1" thickBot="1" x14ac:dyDescent="0.35">
      <c r="A10" s="31">
        <v>5</v>
      </c>
      <c r="B10" s="32">
        <v>3499</v>
      </c>
      <c r="C10" s="32">
        <v>0</v>
      </c>
      <c r="D10" s="32">
        <v>1535</v>
      </c>
      <c r="E10" s="32">
        <v>207</v>
      </c>
      <c r="F10" s="32">
        <v>251</v>
      </c>
      <c r="G10" s="32">
        <v>428</v>
      </c>
      <c r="H10" s="32">
        <v>5920</v>
      </c>
      <c r="I10" s="32">
        <v>0</v>
      </c>
      <c r="J10" s="113"/>
      <c r="K10" s="31">
        <v>5</v>
      </c>
      <c r="L10" s="54">
        <v>4</v>
      </c>
      <c r="M10" s="54">
        <v>18</v>
      </c>
      <c r="N10" s="54">
        <v>5</v>
      </c>
      <c r="O10" s="32">
        <v>27</v>
      </c>
      <c r="P10" s="46">
        <v>6135</v>
      </c>
      <c r="Q10" s="29"/>
      <c r="R10" s="29"/>
      <c r="S10" s="29"/>
    </row>
    <row r="11" spans="1:19" ht="15.6" thickTop="1" thickBot="1" x14ac:dyDescent="0.35">
      <c r="A11" s="31">
        <v>6</v>
      </c>
      <c r="B11" s="32">
        <v>2655</v>
      </c>
      <c r="C11" s="32">
        <v>0</v>
      </c>
      <c r="D11" s="32">
        <v>1471</v>
      </c>
      <c r="E11" s="32">
        <v>210</v>
      </c>
      <c r="F11" s="32">
        <v>253</v>
      </c>
      <c r="G11" s="32">
        <v>462</v>
      </c>
      <c r="H11" s="32">
        <v>5051</v>
      </c>
      <c r="I11" s="32">
        <v>0</v>
      </c>
      <c r="J11" s="113"/>
      <c r="K11" s="31">
        <v>6</v>
      </c>
      <c r="L11" s="54">
        <v>3</v>
      </c>
      <c r="M11" s="54">
        <v>12</v>
      </c>
      <c r="N11" s="54">
        <v>8</v>
      </c>
      <c r="O11" s="32">
        <v>23</v>
      </c>
      <c r="P11" s="46">
        <v>6135</v>
      </c>
      <c r="Q11" s="29"/>
      <c r="R11" s="29"/>
      <c r="S11" s="29"/>
    </row>
    <row r="12" spans="1:19" ht="15.6" thickTop="1" thickBot="1" x14ac:dyDescent="0.35">
      <c r="A12" s="31">
        <v>7</v>
      </c>
      <c r="B12" s="32">
        <v>4852</v>
      </c>
      <c r="C12" s="32">
        <v>0</v>
      </c>
      <c r="D12" s="32">
        <v>1350</v>
      </c>
      <c r="E12" s="32">
        <v>184</v>
      </c>
      <c r="F12" s="32">
        <v>221</v>
      </c>
      <c r="G12" s="32">
        <v>374</v>
      </c>
      <c r="H12" s="32">
        <v>6981</v>
      </c>
      <c r="I12" s="32">
        <v>0</v>
      </c>
      <c r="J12" s="113"/>
      <c r="K12" s="31">
        <v>7</v>
      </c>
      <c r="L12" s="54">
        <v>0</v>
      </c>
      <c r="M12" s="54">
        <v>12</v>
      </c>
      <c r="N12" s="54">
        <v>4</v>
      </c>
      <c r="O12" s="32">
        <v>16</v>
      </c>
      <c r="P12" s="46">
        <v>6135</v>
      </c>
      <c r="Q12" s="29"/>
      <c r="R12" s="29"/>
      <c r="S12" s="29"/>
    </row>
    <row r="13" spans="1:19" ht="15.6" thickTop="1" thickBot="1" x14ac:dyDescent="0.35">
      <c r="A13" s="31">
        <v>8</v>
      </c>
      <c r="B13" s="32">
        <v>4729</v>
      </c>
      <c r="C13" s="32">
        <v>0</v>
      </c>
      <c r="D13" s="32">
        <v>1139</v>
      </c>
      <c r="E13" s="32">
        <v>152</v>
      </c>
      <c r="F13" s="32">
        <v>222</v>
      </c>
      <c r="G13" s="32">
        <v>334</v>
      </c>
      <c r="H13" s="32">
        <v>6576</v>
      </c>
      <c r="I13" s="32">
        <v>0</v>
      </c>
      <c r="J13" s="113"/>
      <c r="K13" s="31">
        <v>8</v>
      </c>
      <c r="L13" s="54">
        <v>5</v>
      </c>
      <c r="M13" s="54">
        <v>4</v>
      </c>
      <c r="N13" s="54">
        <v>2</v>
      </c>
      <c r="O13" s="32">
        <v>11</v>
      </c>
      <c r="P13" s="46">
        <v>6135</v>
      </c>
      <c r="Q13" s="29"/>
      <c r="R13" s="29"/>
      <c r="S13" s="29"/>
    </row>
    <row r="14" spans="1:19" ht="15.6" thickTop="1" thickBot="1" x14ac:dyDescent="0.35">
      <c r="A14" s="31">
        <v>9</v>
      </c>
      <c r="B14" s="32">
        <v>6730</v>
      </c>
      <c r="C14" s="32">
        <v>0</v>
      </c>
      <c r="D14" s="32">
        <v>956</v>
      </c>
      <c r="E14" s="32">
        <v>140</v>
      </c>
      <c r="F14" s="32">
        <v>138</v>
      </c>
      <c r="G14" s="32">
        <v>246</v>
      </c>
      <c r="H14" s="32">
        <v>8210</v>
      </c>
      <c r="I14" s="32">
        <v>0</v>
      </c>
      <c r="J14" s="113"/>
      <c r="K14" s="31">
        <v>9</v>
      </c>
      <c r="L14" s="54">
        <v>2</v>
      </c>
      <c r="M14" s="54">
        <v>4</v>
      </c>
      <c r="N14" s="54">
        <v>2</v>
      </c>
      <c r="O14" s="32">
        <v>8</v>
      </c>
      <c r="P14" s="47">
        <v>6135</v>
      </c>
      <c r="Q14" s="43"/>
      <c r="R14" s="43"/>
      <c r="S14" s="43"/>
    </row>
    <row r="15" spans="1:19" ht="15.6" thickTop="1" thickBot="1" x14ac:dyDescent="0.35">
      <c r="A15" s="31">
        <v>10</v>
      </c>
      <c r="B15" s="32">
        <v>3101</v>
      </c>
      <c r="C15" s="32">
        <v>0</v>
      </c>
      <c r="D15" s="32">
        <v>1271</v>
      </c>
      <c r="E15" s="32">
        <v>188</v>
      </c>
      <c r="F15" s="32">
        <v>254</v>
      </c>
      <c r="G15" s="32">
        <v>352</v>
      </c>
      <c r="H15" s="32">
        <v>5166</v>
      </c>
      <c r="I15" s="32">
        <v>0</v>
      </c>
      <c r="J15" s="113"/>
      <c r="K15" s="31">
        <v>10</v>
      </c>
      <c r="L15" s="54">
        <v>4</v>
      </c>
      <c r="M15" s="54">
        <v>10</v>
      </c>
      <c r="N15" s="54">
        <v>2</v>
      </c>
      <c r="O15" s="32">
        <v>16</v>
      </c>
      <c r="P15" s="46">
        <v>6135</v>
      </c>
      <c r="Q15" s="29"/>
      <c r="R15" s="29"/>
      <c r="S15" s="29"/>
    </row>
    <row r="16" spans="1:19" ht="15.6" thickTop="1" thickBot="1" x14ac:dyDescent="0.35">
      <c r="A16" s="31">
        <v>11</v>
      </c>
      <c r="B16" s="32">
        <v>2888</v>
      </c>
      <c r="C16" s="32">
        <v>0</v>
      </c>
      <c r="D16" s="32">
        <v>1443</v>
      </c>
      <c r="E16" s="32">
        <v>226</v>
      </c>
      <c r="F16" s="32">
        <v>229</v>
      </c>
      <c r="G16" s="32">
        <v>382</v>
      </c>
      <c r="H16" s="32">
        <v>5168</v>
      </c>
      <c r="I16" s="32">
        <v>0</v>
      </c>
      <c r="J16" s="113"/>
      <c r="K16" s="31">
        <v>11</v>
      </c>
      <c r="L16" s="54">
        <v>5</v>
      </c>
      <c r="M16" s="54">
        <v>22</v>
      </c>
      <c r="N16" s="54">
        <v>3</v>
      </c>
      <c r="O16" s="32">
        <v>30</v>
      </c>
      <c r="P16" s="46">
        <v>6135</v>
      </c>
      <c r="Q16" s="29"/>
      <c r="R16" s="29"/>
      <c r="S16" s="29"/>
    </row>
    <row r="17" spans="1:26" ht="15.6" thickTop="1" thickBot="1" x14ac:dyDescent="0.35">
      <c r="A17" s="31">
        <v>12</v>
      </c>
      <c r="B17" s="32">
        <v>2906</v>
      </c>
      <c r="C17" s="32">
        <v>0</v>
      </c>
      <c r="D17" s="32">
        <v>1548</v>
      </c>
      <c r="E17" s="32">
        <v>215</v>
      </c>
      <c r="F17" s="32">
        <v>269</v>
      </c>
      <c r="G17" s="32">
        <v>421</v>
      </c>
      <c r="H17" s="32">
        <v>5359</v>
      </c>
      <c r="I17" s="32">
        <v>0</v>
      </c>
      <c r="J17" s="113"/>
      <c r="K17" s="31">
        <v>12</v>
      </c>
      <c r="L17" s="54">
        <v>3</v>
      </c>
      <c r="M17" s="54">
        <v>6</v>
      </c>
      <c r="N17" s="54">
        <v>5</v>
      </c>
      <c r="O17" s="32">
        <v>14</v>
      </c>
      <c r="P17" s="46">
        <v>6135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6" thickTop="1" thickBot="1" x14ac:dyDescent="0.35">
      <c r="A18" s="31">
        <v>13</v>
      </c>
      <c r="B18" s="32">
        <v>3328</v>
      </c>
      <c r="C18" s="32">
        <v>0</v>
      </c>
      <c r="D18" s="32">
        <v>1500</v>
      </c>
      <c r="E18" s="32">
        <v>223</v>
      </c>
      <c r="F18" s="32">
        <v>277</v>
      </c>
      <c r="G18" s="32">
        <v>402</v>
      </c>
      <c r="H18" s="32">
        <v>5730</v>
      </c>
      <c r="I18" s="32">
        <v>0</v>
      </c>
      <c r="J18" s="113"/>
      <c r="K18" s="31">
        <v>13</v>
      </c>
      <c r="L18" s="54">
        <v>5</v>
      </c>
      <c r="M18" s="54">
        <v>11</v>
      </c>
      <c r="N18" s="54">
        <v>7</v>
      </c>
      <c r="O18" s="32">
        <v>23</v>
      </c>
      <c r="P18" s="46">
        <v>6135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6" thickTop="1" thickBot="1" x14ac:dyDescent="0.35">
      <c r="A19" s="31">
        <v>14</v>
      </c>
      <c r="B19" s="32">
        <v>3335</v>
      </c>
      <c r="C19" s="32">
        <v>0</v>
      </c>
      <c r="D19" s="32">
        <v>1082</v>
      </c>
      <c r="E19" s="32">
        <v>153</v>
      </c>
      <c r="F19" s="32">
        <v>183</v>
      </c>
      <c r="G19" s="32">
        <v>273</v>
      </c>
      <c r="H19" s="32">
        <v>5026</v>
      </c>
      <c r="I19" s="32">
        <v>0</v>
      </c>
      <c r="J19" s="113"/>
      <c r="K19" s="31">
        <v>14</v>
      </c>
      <c r="L19" s="54">
        <v>0</v>
      </c>
      <c r="M19" s="54">
        <v>8</v>
      </c>
      <c r="N19" s="54">
        <v>6</v>
      </c>
      <c r="O19" s="32">
        <v>14</v>
      </c>
      <c r="P19" s="46">
        <v>6135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6" thickTop="1" thickBot="1" x14ac:dyDescent="0.35">
      <c r="A20" s="31">
        <v>15</v>
      </c>
      <c r="B20" s="32">
        <v>3541</v>
      </c>
      <c r="C20" s="32">
        <v>0</v>
      </c>
      <c r="D20" s="32">
        <v>829</v>
      </c>
      <c r="E20" s="32">
        <v>78</v>
      </c>
      <c r="F20" s="32">
        <v>139</v>
      </c>
      <c r="G20" s="32">
        <v>218</v>
      </c>
      <c r="H20" s="32">
        <v>4805</v>
      </c>
      <c r="I20" s="32">
        <v>0</v>
      </c>
      <c r="J20" s="113"/>
      <c r="K20" s="31">
        <v>15</v>
      </c>
      <c r="L20" s="54">
        <v>2</v>
      </c>
      <c r="M20" s="54">
        <v>2</v>
      </c>
      <c r="N20" s="54">
        <v>2</v>
      </c>
      <c r="O20" s="32">
        <v>6</v>
      </c>
      <c r="P20" s="46">
        <v>6135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6" thickTop="1" thickBot="1" x14ac:dyDescent="0.35">
      <c r="A21" s="31">
        <v>16</v>
      </c>
      <c r="B21" s="32">
        <v>5265</v>
      </c>
      <c r="C21" s="32">
        <v>0</v>
      </c>
      <c r="D21" s="32">
        <v>844</v>
      </c>
      <c r="E21" s="32">
        <v>102</v>
      </c>
      <c r="F21" s="32">
        <v>104</v>
      </c>
      <c r="G21" s="32">
        <v>210</v>
      </c>
      <c r="H21" s="32">
        <v>6525</v>
      </c>
      <c r="I21" s="32">
        <v>0</v>
      </c>
      <c r="J21" s="113"/>
      <c r="K21" s="31">
        <v>16</v>
      </c>
      <c r="L21" s="54">
        <v>1</v>
      </c>
      <c r="M21" s="54">
        <v>2</v>
      </c>
      <c r="N21" s="54">
        <v>2</v>
      </c>
      <c r="O21" s="32">
        <v>5</v>
      </c>
      <c r="P21" s="46">
        <v>6135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6" thickTop="1" thickBot="1" x14ac:dyDescent="0.35">
      <c r="A22" s="31">
        <v>17</v>
      </c>
      <c r="B22" s="32">
        <v>3104</v>
      </c>
      <c r="C22" s="32">
        <v>0</v>
      </c>
      <c r="D22" s="32">
        <v>1384</v>
      </c>
      <c r="E22" s="32">
        <v>233</v>
      </c>
      <c r="F22" s="32">
        <v>256</v>
      </c>
      <c r="G22" s="32">
        <v>362</v>
      </c>
      <c r="H22" s="32">
        <v>5339</v>
      </c>
      <c r="I22" s="32">
        <v>0</v>
      </c>
      <c r="J22" s="113"/>
      <c r="K22" s="31">
        <v>17</v>
      </c>
      <c r="L22" s="54">
        <v>6</v>
      </c>
      <c r="M22" s="54">
        <v>8</v>
      </c>
      <c r="N22" s="54">
        <v>2</v>
      </c>
      <c r="O22" s="32">
        <v>16</v>
      </c>
      <c r="P22" s="46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31">
        <v>18</v>
      </c>
      <c r="B23" s="32">
        <v>2834</v>
      </c>
      <c r="C23" s="32">
        <v>0</v>
      </c>
      <c r="D23" s="32">
        <v>1580</v>
      </c>
      <c r="E23" s="32">
        <v>299</v>
      </c>
      <c r="F23" s="32">
        <v>263</v>
      </c>
      <c r="G23" s="32">
        <v>408</v>
      </c>
      <c r="H23" s="32">
        <v>5384</v>
      </c>
      <c r="I23" s="32">
        <v>0</v>
      </c>
      <c r="J23" s="113"/>
      <c r="K23" s="31">
        <v>18</v>
      </c>
      <c r="L23" s="54">
        <v>3</v>
      </c>
      <c r="M23" s="54">
        <v>19</v>
      </c>
      <c r="N23" s="54">
        <v>4</v>
      </c>
      <c r="O23" s="32">
        <v>26</v>
      </c>
      <c r="P23" s="46">
        <v>6135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6" thickTop="1" thickBot="1" x14ac:dyDescent="0.35">
      <c r="A24" s="31">
        <v>19</v>
      </c>
      <c r="B24" s="32">
        <v>3003</v>
      </c>
      <c r="C24" s="32">
        <v>0</v>
      </c>
      <c r="D24" s="32">
        <v>1536</v>
      </c>
      <c r="E24" s="32">
        <v>289</v>
      </c>
      <c r="F24" s="32">
        <v>268</v>
      </c>
      <c r="G24" s="32">
        <v>419</v>
      </c>
      <c r="H24" s="32">
        <v>5515</v>
      </c>
      <c r="I24" s="32">
        <v>0</v>
      </c>
      <c r="J24" s="113"/>
      <c r="K24" s="31">
        <v>19</v>
      </c>
      <c r="L24" s="54">
        <v>3</v>
      </c>
      <c r="M24" s="54">
        <v>16</v>
      </c>
      <c r="N24" s="54">
        <v>6</v>
      </c>
      <c r="O24" s="32">
        <v>25</v>
      </c>
      <c r="P24" s="46">
        <v>6135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6" thickTop="1" thickBot="1" x14ac:dyDescent="0.35">
      <c r="A25" s="31">
        <v>20</v>
      </c>
      <c r="B25" s="32">
        <v>3433</v>
      </c>
      <c r="C25" s="32">
        <v>0</v>
      </c>
      <c r="D25" s="32">
        <v>1863</v>
      </c>
      <c r="E25" s="32">
        <v>269</v>
      </c>
      <c r="F25" s="32">
        <v>298</v>
      </c>
      <c r="G25" s="32">
        <v>399</v>
      </c>
      <c r="H25" s="32">
        <v>6262</v>
      </c>
      <c r="I25" s="32">
        <v>0</v>
      </c>
      <c r="J25" s="113"/>
      <c r="K25" s="31">
        <v>20</v>
      </c>
      <c r="L25" s="54">
        <v>31</v>
      </c>
      <c r="M25" s="54">
        <v>6</v>
      </c>
      <c r="N25" s="54">
        <v>9</v>
      </c>
      <c r="O25" s="32">
        <v>46</v>
      </c>
      <c r="P25" s="46">
        <v>6135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6" thickTop="1" thickBot="1" x14ac:dyDescent="0.35">
      <c r="A26" s="31">
        <v>21</v>
      </c>
      <c r="B26" s="32">
        <v>4642</v>
      </c>
      <c r="C26" s="32">
        <v>0</v>
      </c>
      <c r="D26" s="32">
        <v>1375</v>
      </c>
      <c r="E26" s="32">
        <v>201</v>
      </c>
      <c r="F26" s="32">
        <v>218</v>
      </c>
      <c r="G26" s="32">
        <v>329</v>
      </c>
      <c r="H26" s="32">
        <v>6765</v>
      </c>
      <c r="I26" s="32">
        <v>0</v>
      </c>
      <c r="J26" s="113"/>
      <c r="K26" s="31">
        <v>21</v>
      </c>
      <c r="L26" s="54">
        <v>14</v>
      </c>
      <c r="M26" s="54">
        <v>15</v>
      </c>
      <c r="N26" s="54">
        <v>5</v>
      </c>
      <c r="O26" s="32">
        <v>34</v>
      </c>
      <c r="P26" s="46">
        <v>6135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6" thickTop="1" thickBot="1" x14ac:dyDescent="0.35">
      <c r="A27" s="31">
        <v>22</v>
      </c>
      <c r="B27" s="32">
        <v>4633</v>
      </c>
      <c r="C27" s="32">
        <v>0</v>
      </c>
      <c r="D27" s="32">
        <v>1147</v>
      </c>
      <c r="E27" s="32">
        <v>165</v>
      </c>
      <c r="F27" s="32">
        <v>189</v>
      </c>
      <c r="G27" s="32">
        <v>275</v>
      </c>
      <c r="H27" s="32">
        <v>6409</v>
      </c>
      <c r="I27" s="32">
        <v>0</v>
      </c>
      <c r="J27" s="113"/>
      <c r="K27" s="31">
        <v>22</v>
      </c>
      <c r="L27" s="54">
        <v>4</v>
      </c>
      <c r="M27" s="54">
        <v>10</v>
      </c>
      <c r="N27" s="54">
        <v>4</v>
      </c>
      <c r="O27" s="32">
        <v>18</v>
      </c>
      <c r="P27" s="46">
        <v>6135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6" thickTop="1" thickBot="1" x14ac:dyDescent="0.35">
      <c r="A28" s="31">
        <v>23</v>
      </c>
      <c r="B28" s="32">
        <v>6751</v>
      </c>
      <c r="C28" s="32">
        <v>0</v>
      </c>
      <c r="D28" s="32">
        <v>1054</v>
      </c>
      <c r="E28" s="32">
        <v>157</v>
      </c>
      <c r="F28" s="32">
        <v>160</v>
      </c>
      <c r="G28" s="32">
        <v>274</v>
      </c>
      <c r="H28" s="32">
        <v>8396</v>
      </c>
      <c r="I28" s="32">
        <v>0</v>
      </c>
      <c r="J28" s="113"/>
      <c r="K28" s="31">
        <v>23</v>
      </c>
      <c r="L28" s="54">
        <v>1</v>
      </c>
      <c r="M28" s="54">
        <v>4</v>
      </c>
      <c r="N28" s="54">
        <v>3</v>
      </c>
      <c r="O28" s="32">
        <v>8</v>
      </c>
      <c r="P28" s="46">
        <v>6135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6" thickTop="1" thickBot="1" x14ac:dyDescent="0.35">
      <c r="A29" s="31">
        <v>24</v>
      </c>
      <c r="B29" s="32">
        <v>3100</v>
      </c>
      <c r="C29" s="32">
        <v>0</v>
      </c>
      <c r="D29" s="32">
        <v>1277</v>
      </c>
      <c r="E29" s="32">
        <v>246</v>
      </c>
      <c r="F29" s="32">
        <v>230</v>
      </c>
      <c r="G29" s="32">
        <v>300</v>
      </c>
      <c r="H29" s="32">
        <v>5153</v>
      </c>
      <c r="I29" s="32">
        <v>0</v>
      </c>
      <c r="J29" s="113"/>
      <c r="K29" s="31">
        <v>24</v>
      </c>
      <c r="L29" s="54">
        <v>2</v>
      </c>
      <c r="M29" s="54">
        <v>19</v>
      </c>
      <c r="N29" s="54">
        <v>5</v>
      </c>
      <c r="O29" s="32">
        <v>26</v>
      </c>
      <c r="P29" s="46">
        <v>6135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6" thickTop="1" thickBot="1" x14ac:dyDescent="0.35">
      <c r="A30" s="31">
        <v>25</v>
      </c>
      <c r="B30" s="32">
        <v>2817</v>
      </c>
      <c r="C30" s="32">
        <v>0</v>
      </c>
      <c r="D30" s="32">
        <v>1523</v>
      </c>
      <c r="E30" s="32">
        <v>229</v>
      </c>
      <c r="F30" s="32">
        <v>248</v>
      </c>
      <c r="G30" s="32">
        <v>358</v>
      </c>
      <c r="H30" s="32">
        <v>5175</v>
      </c>
      <c r="I30" s="32">
        <v>0</v>
      </c>
      <c r="J30" s="113"/>
      <c r="K30" s="31">
        <v>25</v>
      </c>
      <c r="L30" s="54">
        <v>6</v>
      </c>
      <c r="M30" s="54">
        <v>18</v>
      </c>
      <c r="N30" s="54">
        <v>3</v>
      </c>
      <c r="O30" s="32">
        <v>27</v>
      </c>
      <c r="P30" s="46">
        <v>6135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6" thickTop="1" thickBot="1" x14ac:dyDescent="0.35">
      <c r="A31" s="31">
        <v>26</v>
      </c>
      <c r="B31" s="32">
        <v>3103</v>
      </c>
      <c r="C31" s="32">
        <v>0</v>
      </c>
      <c r="D31" s="32">
        <v>1708</v>
      </c>
      <c r="E31" s="32">
        <v>275</v>
      </c>
      <c r="F31" s="32">
        <v>342</v>
      </c>
      <c r="G31" s="32">
        <v>610</v>
      </c>
      <c r="H31" s="32">
        <v>6038</v>
      </c>
      <c r="I31" s="32">
        <v>0</v>
      </c>
      <c r="J31" s="113"/>
      <c r="K31" s="31">
        <v>26</v>
      </c>
      <c r="L31" s="54">
        <v>12</v>
      </c>
      <c r="M31" s="54">
        <v>24</v>
      </c>
      <c r="N31" s="54">
        <v>6</v>
      </c>
      <c r="O31" s="32">
        <v>42</v>
      </c>
      <c r="P31" s="46">
        <v>6135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6" thickTop="1" thickBot="1" x14ac:dyDescent="0.35">
      <c r="A32" s="31">
        <v>27</v>
      </c>
      <c r="B32" s="32">
        <v>3382</v>
      </c>
      <c r="C32" s="32">
        <v>0</v>
      </c>
      <c r="D32" s="32">
        <v>1856</v>
      </c>
      <c r="E32" s="32">
        <v>264</v>
      </c>
      <c r="F32" s="32">
        <v>373</v>
      </c>
      <c r="G32" s="32">
        <v>771</v>
      </c>
      <c r="H32" s="32">
        <v>6646</v>
      </c>
      <c r="I32" s="32">
        <v>0</v>
      </c>
      <c r="J32" s="34"/>
      <c r="K32" s="31">
        <v>27</v>
      </c>
      <c r="L32" s="54">
        <v>9</v>
      </c>
      <c r="M32" s="54">
        <v>16</v>
      </c>
      <c r="N32" s="54">
        <v>4</v>
      </c>
      <c r="O32" s="32">
        <v>29</v>
      </c>
      <c r="P32" s="46">
        <v>6135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16" ht="15.6" thickTop="1" thickBot="1" x14ac:dyDescent="0.35">
      <c r="A33" s="31">
        <v>28</v>
      </c>
      <c r="B33" s="32">
        <v>5010</v>
      </c>
      <c r="C33" s="32">
        <v>0</v>
      </c>
      <c r="D33" s="32">
        <v>1625</v>
      </c>
      <c r="E33" s="32">
        <v>230</v>
      </c>
      <c r="F33" s="32">
        <v>298</v>
      </c>
      <c r="G33" s="32">
        <v>664</v>
      </c>
      <c r="H33" s="32">
        <v>7827</v>
      </c>
      <c r="I33" s="32">
        <v>0</v>
      </c>
      <c r="J33" s="34"/>
      <c r="K33" s="31">
        <v>28</v>
      </c>
      <c r="L33" s="54">
        <v>19</v>
      </c>
      <c r="M33" s="54">
        <v>22</v>
      </c>
      <c r="N33" s="54">
        <v>6</v>
      </c>
      <c r="O33" s="32">
        <v>47</v>
      </c>
      <c r="P33" s="46">
        <v>6135</v>
      </c>
    </row>
    <row r="34" spans="1:16" ht="15.6" thickTop="1" thickBot="1" x14ac:dyDescent="0.35">
      <c r="A34" s="31">
        <v>29</v>
      </c>
      <c r="B34" s="32">
        <v>4955</v>
      </c>
      <c r="C34" s="32">
        <v>0</v>
      </c>
      <c r="D34" s="32">
        <v>1340</v>
      </c>
      <c r="E34" s="32">
        <v>208</v>
      </c>
      <c r="F34" s="32">
        <v>257</v>
      </c>
      <c r="G34" s="32">
        <v>557</v>
      </c>
      <c r="H34" s="32">
        <v>7317</v>
      </c>
      <c r="I34" s="32">
        <v>0</v>
      </c>
      <c r="J34" s="34"/>
      <c r="K34" s="31">
        <v>29</v>
      </c>
      <c r="L34" s="54">
        <v>10</v>
      </c>
      <c r="M34" s="54">
        <v>9</v>
      </c>
      <c r="N34" s="54">
        <v>8</v>
      </c>
      <c r="O34" s="32">
        <v>27</v>
      </c>
      <c r="P34" s="46">
        <v>6135</v>
      </c>
    </row>
    <row r="35" spans="1:16" ht="15.6" thickTop="1" thickBot="1" x14ac:dyDescent="0.35">
      <c r="A35" s="31">
        <v>30</v>
      </c>
      <c r="B35" s="32"/>
      <c r="C35" s="32"/>
      <c r="D35" s="32"/>
      <c r="E35" s="32"/>
      <c r="F35" s="32"/>
      <c r="G35" s="32"/>
      <c r="H35" s="32">
        <v>0</v>
      </c>
      <c r="I35" s="32">
        <v>0</v>
      </c>
      <c r="J35" s="34"/>
      <c r="K35" s="31">
        <v>30</v>
      </c>
      <c r="L35" s="54"/>
      <c r="M35" s="54"/>
      <c r="N35" s="54"/>
      <c r="O35" s="32">
        <v>0</v>
      </c>
      <c r="P35" s="46">
        <v>6135</v>
      </c>
    </row>
    <row r="36" spans="1:16" ht="15.6" thickTop="1" thickBot="1" x14ac:dyDescent="0.35">
      <c r="A36" s="31">
        <v>31</v>
      </c>
      <c r="B36" s="32"/>
      <c r="C36" s="32"/>
      <c r="D36" s="32"/>
      <c r="E36" s="32"/>
      <c r="F36" s="32"/>
      <c r="G36" s="32"/>
      <c r="H36" s="32">
        <v>0</v>
      </c>
      <c r="I36" s="32">
        <v>0</v>
      </c>
      <c r="J36" s="34"/>
      <c r="K36" s="31">
        <v>31</v>
      </c>
      <c r="L36" s="54"/>
      <c r="M36" s="54"/>
      <c r="N36" s="54"/>
      <c r="O36" s="32">
        <v>0</v>
      </c>
      <c r="P36" s="46">
        <v>6135</v>
      </c>
    </row>
    <row r="37" spans="1:16" ht="15" thickTop="1" x14ac:dyDescent="0.3">
      <c r="A37" s="38" t="s">
        <v>19</v>
      </c>
      <c r="B37" s="39">
        <v>116415</v>
      </c>
      <c r="C37" s="39">
        <v>0</v>
      </c>
      <c r="D37" s="39">
        <v>38934</v>
      </c>
      <c r="E37" s="39">
        <v>5791</v>
      </c>
      <c r="F37" s="39">
        <v>6689</v>
      </c>
      <c r="G37" s="39">
        <v>11198</v>
      </c>
      <c r="H37" s="39">
        <v>179027</v>
      </c>
      <c r="I37" s="39">
        <v>0</v>
      </c>
      <c r="J37" s="39"/>
      <c r="K37" s="39"/>
      <c r="L37" s="39">
        <v>165</v>
      </c>
      <c r="M37" s="39">
        <v>348</v>
      </c>
      <c r="N37" s="39">
        <v>123</v>
      </c>
      <c r="O37" s="111">
        <v>636</v>
      </c>
      <c r="P37" s="29"/>
    </row>
    <row r="38" spans="1:16" x14ac:dyDescent="0.3">
      <c r="A38" s="38" t="s">
        <v>19</v>
      </c>
      <c r="B38" s="131">
        <v>116415</v>
      </c>
      <c r="C38" s="131"/>
      <c r="D38" s="39">
        <v>38934</v>
      </c>
      <c r="E38" s="39">
        <v>5791</v>
      </c>
      <c r="F38" s="39">
        <v>6689</v>
      </c>
      <c r="G38" s="39">
        <v>11198</v>
      </c>
      <c r="H38" s="111">
        <v>179027</v>
      </c>
      <c r="I38" s="39">
        <v>0</v>
      </c>
      <c r="J38" s="115"/>
      <c r="K38" s="38"/>
      <c r="L38" s="35" t="s">
        <v>20</v>
      </c>
      <c r="M38" s="35" t="s">
        <v>21</v>
      </c>
      <c r="N38" s="35" t="s">
        <v>20</v>
      </c>
      <c r="O38" s="35" t="s">
        <v>21</v>
      </c>
      <c r="P38" s="29"/>
    </row>
    <row r="39" spans="1:16" x14ac:dyDescent="0.3">
      <c r="A39" s="36" t="s">
        <v>22</v>
      </c>
      <c r="B39" s="41"/>
      <c r="C39" s="41"/>
      <c r="D39" s="41"/>
      <c r="E39" s="41"/>
      <c r="F39" s="41"/>
      <c r="G39" s="41"/>
      <c r="H39" s="41"/>
      <c r="I39" s="29"/>
      <c r="J39" s="29"/>
      <c r="K39" s="29"/>
      <c r="L39" s="44"/>
      <c r="M39" s="29"/>
      <c r="N39" s="29"/>
      <c r="O39" s="29"/>
      <c r="P39" s="29"/>
    </row>
    <row r="40" spans="1:16" x14ac:dyDescent="0.3">
      <c r="A40" s="50"/>
      <c r="B40" s="51"/>
      <c r="C40" s="51"/>
      <c r="D40" s="51"/>
      <c r="E40" s="51"/>
      <c r="F40" s="51"/>
      <c r="G40" s="51"/>
      <c r="H40" s="51"/>
      <c r="I40" s="51"/>
      <c r="J40" s="51"/>
      <c r="K40" s="53"/>
      <c r="L40" s="52"/>
      <c r="M40" s="29"/>
      <c r="N40" s="29"/>
      <c r="O40" s="29"/>
      <c r="P40" s="29"/>
    </row>
    <row r="41" spans="1:16" x14ac:dyDescent="0.3">
      <c r="A41" s="40"/>
      <c r="B41" s="29"/>
      <c r="C41" s="29"/>
      <c r="D41" s="29"/>
      <c r="E41" s="29"/>
      <c r="F41" s="29"/>
      <c r="G41" s="29"/>
      <c r="H41" s="40"/>
      <c r="I41" s="29"/>
      <c r="J41" s="29"/>
      <c r="K41" s="53"/>
      <c r="L41" s="52"/>
      <c r="M41" s="29"/>
      <c r="N41" s="29"/>
      <c r="O41" s="29"/>
      <c r="P41" s="29"/>
    </row>
    <row r="42" spans="1:16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53"/>
      <c r="L42" s="52"/>
      <c r="M42" s="29"/>
      <c r="N42" s="29"/>
      <c r="O42" s="29"/>
      <c r="P42" s="29"/>
    </row>
    <row r="43" spans="1:16" x14ac:dyDescent="0.3">
      <c r="A43" s="29"/>
      <c r="B43" s="29"/>
      <c r="C43" s="29"/>
      <c r="D43" s="29"/>
      <c r="E43" s="29"/>
      <c r="F43" s="29"/>
      <c r="G43" s="29"/>
      <c r="H43" s="29"/>
      <c r="I43" s="40"/>
      <c r="J43" s="40"/>
      <c r="K43" s="29"/>
      <c r="L43" s="29"/>
      <c r="M43" s="29"/>
      <c r="N43" s="29"/>
      <c r="O43" s="29"/>
      <c r="P43" s="29"/>
    </row>
    <row r="45" spans="1:16" x14ac:dyDescent="0.3">
      <c r="A45" s="4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spans="1:16" x14ac:dyDescent="0.3">
      <c r="A46" s="49"/>
      <c r="B46" s="40"/>
      <c r="C46" s="40"/>
      <c r="D46" s="40"/>
      <c r="E46" s="40"/>
      <c r="F46" s="40"/>
      <c r="G46" s="40"/>
      <c r="H46" s="40"/>
      <c r="I46" s="40"/>
      <c r="J46" s="40"/>
      <c r="K46" s="45"/>
      <c r="L46" s="40"/>
      <c r="M46" s="40"/>
      <c r="N46" s="40"/>
      <c r="O46" s="40"/>
      <c r="P46" s="29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9F9E-90E0-4CA7-ADFD-9BA6D47E4BE2}">
  <dimension ref="A1:Z46"/>
  <sheetViews>
    <sheetView workbookViewId="0">
      <selection activeCell="J40" sqref="J40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9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9" ht="15.6" x14ac:dyDescent="0.3">
      <c r="A3" s="135" t="s">
        <v>24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19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19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19" ht="15" thickBot="1" x14ac:dyDescent="0.35">
      <c r="A6" s="31">
        <v>1</v>
      </c>
      <c r="B6" s="32">
        <v>6892</v>
      </c>
      <c r="C6" s="32">
        <v>0</v>
      </c>
      <c r="D6" s="32">
        <v>1199</v>
      </c>
      <c r="E6" s="32">
        <v>163</v>
      </c>
      <c r="F6" s="32">
        <v>169</v>
      </c>
      <c r="G6" s="32">
        <v>489</v>
      </c>
      <c r="H6" s="32">
        <v>8912</v>
      </c>
      <c r="I6" s="32">
        <v>0</v>
      </c>
      <c r="J6" s="113"/>
      <c r="K6" s="31">
        <v>1</v>
      </c>
      <c r="L6" s="54">
        <v>6</v>
      </c>
      <c r="M6" s="54">
        <v>14</v>
      </c>
      <c r="N6" s="54">
        <v>8</v>
      </c>
      <c r="O6" s="32">
        <v>28</v>
      </c>
      <c r="P6" s="46">
        <v>6135</v>
      </c>
      <c r="Q6" s="58"/>
      <c r="R6" s="58"/>
      <c r="S6" s="58"/>
    </row>
    <row r="7" spans="1:19" ht="15.6" thickTop="1" thickBot="1" x14ac:dyDescent="0.35">
      <c r="A7" s="31">
        <v>2</v>
      </c>
      <c r="B7" s="32">
        <v>3250</v>
      </c>
      <c r="C7" s="32">
        <v>0</v>
      </c>
      <c r="D7" s="32">
        <v>1467</v>
      </c>
      <c r="E7" s="32">
        <v>254</v>
      </c>
      <c r="F7" s="32">
        <v>318</v>
      </c>
      <c r="G7" s="32">
        <v>564</v>
      </c>
      <c r="H7" s="32">
        <v>5853</v>
      </c>
      <c r="I7" s="32">
        <v>0</v>
      </c>
      <c r="J7" s="113"/>
      <c r="K7" s="31">
        <v>2</v>
      </c>
      <c r="L7" s="54">
        <v>13</v>
      </c>
      <c r="M7" s="54">
        <v>12</v>
      </c>
      <c r="N7" s="54">
        <v>6</v>
      </c>
      <c r="O7" s="32">
        <v>31</v>
      </c>
      <c r="P7" s="46">
        <v>6135</v>
      </c>
      <c r="Q7" s="58"/>
      <c r="R7" s="58"/>
      <c r="S7" s="58"/>
    </row>
    <row r="8" spans="1:19" ht="15.6" thickTop="1" thickBot="1" x14ac:dyDescent="0.35">
      <c r="A8" s="31">
        <v>3</v>
      </c>
      <c r="B8" s="32">
        <v>2942</v>
      </c>
      <c r="C8" s="32">
        <v>0</v>
      </c>
      <c r="D8" s="32">
        <v>1638</v>
      </c>
      <c r="E8" s="32">
        <v>267</v>
      </c>
      <c r="F8" s="32">
        <v>342</v>
      </c>
      <c r="G8" s="32">
        <v>700</v>
      </c>
      <c r="H8" s="32">
        <v>5889</v>
      </c>
      <c r="I8" s="32">
        <v>0</v>
      </c>
      <c r="J8" s="113"/>
      <c r="K8" s="31">
        <v>3</v>
      </c>
      <c r="L8" s="54">
        <v>14</v>
      </c>
      <c r="M8" s="54">
        <v>17</v>
      </c>
      <c r="N8" s="54">
        <v>7</v>
      </c>
      <c r="O8" s="32">
        <v>38</v>
      </c>
      <c r="P8" s="46">
        <v>6135</v>
      </c>
      <c r="Q8" s="58"/>
      <c r="R8" s="58"/>
      <c r="S8" s="63"/>
    </row>
    <row r="9" spans="1:19" ht="15.6" thickTop="1" thickBot="1" x14ac:dyDescent="0.35">
      <c r="A9" s="31">
        <v>4</v>
      </c>
      <c r="B9" s="32">
        <v>3084</v>
      </c>
      <c r="C9" s="32">
        <v>0</v>
      </c>
      <c r="D9" s="32">
        <v>1818</v>
      </c>
      <c r="E9" s="32">
        <v>274</v>
      </c>
      <c r="F9" s="32">
        <v>381</v>
      </c>
      <c r="G9" s="32">
        <v>763</v>
      </c>
      <c r="H9" s="32">
        <v>6320</v>
      </c>
      <c r="I9" s="32">
        <v>0</v>
      </c>
      <c r="J9" s="113"/>
      <c r="K9" s="31">
        <v>4</v>
      </c>
      <c r="L9" s="54">
        <v>11</v>
      </c>
      <c r="M9" s="54">
        <v>16</v>
      </c>
      <c r="N9" s="54">
        <v>5</v>
      </c>
      <c r="O9" s="32">
        <v>32</v>
      </c>
      <c r="P9" s="46">
        <v>6135</v>
      </c>
      <c r="Q9" s="58"/>
      <c r="R9" s="58"/>
      <c r="S9" s="58"/>
    </row>
    <row r="10" spans="1:19" ht="15.6" thickTop="1" thickBot="1" x14ac:dyDescent="0.35">
      <c r="A10" s="31">
        <v>5</v>
      </c>
      <c r="B10" s="32">
        <v>3288</v>
      </c>
      <c r="C10" s="32">
        <v>0</v>
      </c>
      <c r="D10" s="32">
        <v>1719</v>
      </c>
      <c r="E10" s="32">
        <v>305</v>
      </c>
      <c r="F10" s="32">
        <v>349</v>
      </c>
      <c r="G10" s="32">
        <v>723</v>
      </c>
      <c r="H10" s="32">
        <v>6384</v>
      </c>
      <c r="I10" s="32">
        <v>0</v>
      </c>
      <c r="J10" s="113"/>
      <c r="K10" s="31">
        <v>5</v>
      </c>
      <c r="L10" s="54">
        <v>13</v>
      </c>
      <c r="M10" s="54">
        <v>12</v>
      </c>
      <c r="N10" s="54">
        <v>3</v>
      </c>
      <c r="O10" s="32">
        <v>28</v>
      </c>
      <c r="P10" s="46">
        <v>6135</v>
      </c>
      <c r="Q10" s="58"/>
      <c r="R10" s="58"/>
      <c r="S10" s="58"/>
    </row>
    <row r="11" spans="1:19" ht="15.6" thickTop="1" thickBot="1" x14ac:dyDescent="0.35">
      <c r="A11" s="31">
        <v>6</v>
      </c>
      <c r="B11" s="32">
        <v>4779</v>
      </c>
      <c r="C11" s="32">
        <v>0</v>
      </c>
      <c r="D11" s="32">
        <v>1514</v>
      </c>
      <c r="E11" s="32">
        <v>249</v>
      </c>
      <c r="F11" s="32">
        <v>250</v>
      </c>
      <c r="G11" s="32">
        <v>460</v>
      </c>
      <c r="H11" s="32">
        <v>7252</v>
      </c>
      <c r="I11" s="32">
        <v>0</v>
      </c>
      <c r="J11" s="113"/>
      <c r="K11" s="31">
        <v>6</v>
      </c>
      <c r="L11" s="54">
        <v>8</v>
      </c>
      <c r="M11" s="54">
        <v>20</v>
      </c>
      <c r="N11" s="54">
        <v>7</v>
      </c>
      <c r="O11" s="32">
        <v>35</v>
      </c>
      <c r="P11" s="46">
        <v>6135</v>
      </c>
      <c r="Q11" s="58"/>
      <c r="R11" s="58"/>
      <c r="S11" s="58"/>
    </row>
    <row r="12" spans="1:19" ht="15.6" thickTop="1" thickBot="1" x14ac:dyDescent="0.35">
      <c r="A12" s="31">
        <v>7</v>
      </c>
      <c r="B12" s="32">
        <v>4302</v>
      </c>
      <c r="C12" s="32">
        <v>0</v>
      </c>
      <c r="D12" s="32">
        <v>1253</v>
      </c>
      <c r="E12" s="32">
        <v>174</v>
      </c>
      <c r="F12" s="32">
        <v>192</v>
      </c>
      <c r="G12" s="32">
        <v>323</v>
      </c>
      <c r="H12" s="32">
        <v>6244</v>
      </c>
      <c r="I12" s="32">
        <v>0</v>
      </c>
      <c r="J12" s="113"/>
      <c r="K12" s="31">
        <v>7</v>
      </c>
      <c r="L12" s="54">
        <v>7</v>
      </c>
      <c r="M12" s="54">
        <v>13</v>
      </c>
      <c r="N12" s="54">
        <v>1</v>
      </c>
      <c r="O12" s="32">
        <v>21</v>
      </c>
      <c r="P12" s="46">
        <v>6135</v>
      </c>
      <c r="Q12" s="58"/>
      <c r="R12" s="58"/>
      <c r="S12" s="58"/>
    </row>
    <row r="13" spans="1:19" ht="15.6" thickTop="1" thickBot="1" x14ac:dyDescent="0.35">
      <c r="A13" s="31">
        <v>8</v>
      </c>
      <c r="B13" s="32">
        <v>6466</v>
      </c>
      <c r="C13" s="32">
        <v>0</v>
      </c>
      <c r="D13" s="32">
        <v>1030</v>
      </c>
      <c r="E13" s="32">
        <v>162</v>
      </c>
      <c r="F13" s="32">
        <v>137</v>
      </c>
      <c r="G13" s="32">
        <v>342</v>
      </c>
      <c r="H13" s="32">
        <v>8137</v>
      </c>
      <c r="I13" s="32">
        <v>0</v>
      </c>
      <c r="J13" s="113"/>
      <c r="K13" s="31">
        <v>8</v>
      </c>
      <c r="L13" s="54">
        <v>11</v>
      </c>
      <c r="M13" s="54">
        <v>11</v>
      </c>
      <c r="N13" s="54">
        <v>0</v>
      </c>
      <c r="O13" s="32">
        <v>22</v>
      </c>
      <c r="P13" s="46">
        <v>6135</v>
      </c>
      <c r="Q13" s="58"/>
      <c r="R13" s="58"/>
      <c r="S13" s="58"/>
    </row>
    <row r="14" spans="1:19" ht="15.6" thickTop="1" thickBot="1" x14ac:dyDescent="0.35">
      <c r="A14" s="31">
        <v>9</v>
      </c>
      <c r="B14" s="32">
        <v>2919</v>
      </c>
      <c r="C14" s="32">
        <v>0</v>
      </c>
      <c r="D14" s="32">
        <v>1284</v>
      </c>
      <c r="E14" s="32">
        <v>265</v>
      </c>
      <c r="F14" s="32">
        <v>227</v>
      </c>
      <c r="G14" s="32">
        <v>425</v>
      </c>
      <c r="H14" s="32">
        <v>5120</v>
      </c>
      <c r="I14" s="32">
        <v>0</v>
      </c>
      <c r="J14" s="113"/>
      <c r="K14" s="31">
        <v>9</v>
      </c>
      <c r="L14" s="54">
        <v>7</v>
      </c>
      <c r="M14" s="54">
        <v>21</v>
      </c>
      <c r="N14" s="54">
        <v>3</v>
      </c>
      <c r="O14" s="32">
        <v>31</v>
      </c>
      <c r="P14" s="47">
        <v>6135</v>
      </c>
      <c r="Q14" s="66"/>
      <c r="R14" s="66"/>
      <c r="S14" s="66"/>
    </row>
    <row r="15" spans="1:19" ht="15.6" thickTop="1" thickBot="1" x14ac:dyDescent="0.35">
      <c r="A15" s="31">
        <v>10</v>
      </c>
      <c r="B15" s="32">
        <v>2716</v>
      </c>
      <c r="C15" s="32">
        <v>0</v>
      </c>
      <c r="D15" s="32">
        <v>1483</v>
      </c>
      <c r="E15" s="32">
        <v>235</v>
      </c>
      <c r="F15" s="32">
        <v>236</v>
      </c>
      <c r="G15" s="32">
        <v>411</v>
      </c>
      <c r="H15" s="32">
        <v>5081</v>
      </c>
      <c r="I15" s="32">
        <v>0</v>
      </c>
      <c r="J15" s="113"/>
      <c r="K15" s="31">
        <v>10</v>
      </c>
      <c r="L15" s="54">
        <v>6</v>
      </c>
      <c r="M15" s="54">
        <v>21</v>
      </c>
      <c r="N15" s="54">
        <v>5</v>
      </c>
      <c r="O15" s="32">
        <v>32</v>
      </c>
      <c r="P15" s="46">
        <v>6135</v>
      </c>
      <c r="Q15" s="58"/>
      <c r="R15" s="58"/>
      <c r="S15" s="58"/>
    </row>
    <row r="16" spans="1:19" ht="15.6" thickTop="1" thickBot="1" x14ac:dyDescent="0.35">
      <c r="A16" s="31">
        <v>11</v>
      </c>
      <c r="B16" s="32">
        <v>2764</v>
      </c>
      <c r="C16" s="32">
        <v>0</v>
      </c>
      <c r="D16" s="32">
        <v>1516</v>
      </c>
      <c r="E16" s="32">
        <v>268</v>
      </c>
      <c r="F16" s="32">
        <v>278</v>
      </c>
      <c r="G16" s="32">
        <v>424</v>
      </c>
      <c r="H16" s="32">
        <v>5250</v>
      </c>
      <c r="I16" s="32">
        <v>0</v>
      </c>
      <c r="J16" s="113"/>
      <c r="K16" s="31">
        <v>11</v>
      </c>
      <c r="L16" s="54">
        <v>6</v>
      </c>
      <c r="M16" s="54">
        <v>12</v>
      </c>
      <c r="N16" s="54">
        <v>5</v>
      </c>
      <c r="O16" s="32">
        <v>23</v>
      </c>
      <c r="P16" s="46">
        <v>6135</v>
      </c>
      <c r="Q16" s="58"/>
      <c r="R16" s="58"/>
      <c r="S16" s="58"/>
    </row>
    <row r="17" spans="1:26" ht="15.6" thickTop="1" thickBot="1" x14ac:dyDescent="0.35">
      <c r="A17" s="31">
        <v>12</v>
      </c>
      <c r="B17" s="32">
        <v>2942</v>
      </c>
      <c r="C17" s="32">
        <v>0</v>
      </c>
      <c r="D17" s="32">
        <v>1569</v>
      </c>
      <c r="E17" s="32">
        <v>304</v>
      </c>
      <c r="F17" s="32">
        <v>290</v>
      </c>
      <c r="G17" s="32">
        <v>482</v>
      </c>
      <c r="H17" s="32">
        <v>5587</v>
      </c>
      <c r="I17" s="32">
        <v>0</v>
      </c>
      <c r="J17" s="113"/>
      <c r="K17" s="31">
        <v>12</v>
      </c>
      <c r="L17" s="54">
        <v>11</v>
      </c>
      <c r="M17" s="54">
        <v>13</v>
      </c>
      <c r="N17" s="54">
        <v>6</v>
      </c>
      <c r="O17" s="32">
        <v>30</v>
      </c>
      <c r="P17" s="46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31">
        <v>13</v>
      </c>
      <c r="B18" s="32">
        <v>4163</v>
      </c>
      <c r="C18" s="32">
        <v>0</v>
      </c>
      <c r="D18" s="32">
        <v>1481</v>
      </c>
      <c r="E18" s="32">
        <v>264</v>
      </c>
      <c r="F18" s="32">
        <v>296</v>
      </c>
      <c r="G18" s="32">
        <v>611</v>
      </c>
      <c r="H18" s="32">
        <v>6815</v>
      </c>
      <c r="I18" s="32">
        <v>0</v>
      </c>
      <c r="J18" s="113"/>
      <c r="K18" s="31">
        <v>13</v>
      </c>
      <c r="L18" s="54">
        <v>10</v>
      </c>
      <c r="M18" s="54">
        <v>25</v>
      </c>
      <c r="N18" s="54">
        <v>6</v>
      </c>
      <c r="O18" s="32">
        <v>41</v>
      </c>
      <c r="P18" s="46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31">
        <v>14</v>
      </c>
      <c r="B19" s="32">
        <v>3824</v>
      </c>
      <c r="C19" s="32">
        <v>0</v>
      </c>
      <c r="D19" s="32">
        <v>1168</v>
      </c>
      <c r="E19" s="32">
        <v>198</v>
      </c>
      <c r="F19" s="32">
        <v>239</v>
      </c>
      <c r="G19" s="32">
        <v>675</v>
      </c>
      <c r="H19" s="32">
        <v>6104</v>
      </c>
      <c r="I19" s="32">
        <v>0</v>
      </c>
      <c r="J19" s="113"/>
      <c r="K19" s="31">
        <v>14</v>
      </c>
      <c r="L19" s="54">
        <v>8</v>
      </c>
      <c r="M19" s="54">
        <v>17</v>
      </c>
      <c r="N19" s="54">
        <v>4</v>
      </c>
      <c r="O19" s="32">
        <v>29</v>
      </c>
      <c r="P19" s="46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31">
        <v>15</v>
      </c>
      <c r="B20" s="32">
        <v>5258</v>
      </c>
      <c r="C20" s="32">
        <v>0</v>
      </c>
      <c r="D20" s="32">
        <v>1070</v>
      </c>
      <c r="E20" s="32">
        <v>192</v>
      </c>
      <c r="F20" s="32">
        <v>192</v>
      </c>
      <c r="G20" s="32">
        <v>600</v>
      </c>
      <c r="H20" s="32">
        <v>7312</v>
      </c>
      <c r="I20" s="32">
        <v>0</v>
      </c>
      <c r="J20" s="113"/>
      <c r="K20" s="31">
        <v>15</v>
      </c>
      <c r="L20" s="54">
        <v>15</v>
      </c>
      <c r="M20" s="54">
        <v>14</v>
      </c>
      <c r="N20" s="54">
        <v>3</v>
      </c>
      <c r="O20" s="32">
        <v>32</v>
      </c>
      <c r="P20" s="46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31">
        <v>16</v>
      </c>
      <c r="B21" s="32">
        <v>2872</v>
      </c>
      <c r="C21" s="32">
        <v>0</v>
      </c>
      <c r="D21" s="32">
        <v>1306</v>
      </c>
      <c r="E21" s="32">
        <v>293</v>
      </c>
      <c r="F21" s="32">
        <v>293</v>
      </c>
      <c r="G21" s="32">
        <v>664</v>
      </c>
      <c r="H21" s="32">
        <v>5428</v>
      </c>
      <c r="I21" s="32">
        <v>0</v>
      </c>
      <c r="J21" s="113"/>
      <c r="K21" s="31">
        <v>16</v>
      </c>
      <c r="L21" s="54">
        <v>12</v>
      </c>
      <c r="M21" s="54">
        <v>20</v>
      </c>
      <c r="N21" s="54">
        <v>2</v>
      </c>
      <c r="O21" s="32">
        <v>34</v>
      </c>
      <c r="P21" s="46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31">
        <v>17</v>
      </c>
      <c r="B22" s="32">
        <v>2920</v>
      </c>
      <c r="C22" s="32">
        <v>0</v>
      </c>
      <c r="D22" s="32">
        <v>1498</v>
      </c>
      <c r="E22" s="32">
        <v>291</v>
      </c>
      <c r="F22" s="32">
        <v>314</v>
      </c>
      <c r="G22" s="32">
        <v>814</v>
      </c>
      <c r="H22" s="32">
        <v>5837</v>
      </c>
      <c r="I22" s="32">
        <v>0</v>
      </c>
      <c r="J22" s="113"/>
      <c r="K22" s="31">
        <v>17</v>
      </c>
      <c r="L22" s="54">
        <v>12</v>
      </c>
      <c r="M22" s="54">
        <v>20</v>
      </c>
      <c r="N22" s="54">
        <v>8</v>
      </c>
      <c r="O22" s="32">
        <v>40</v>
      </c>
      <c r="P22" s="46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31">
        <v>18</v>
      </c>
      <c r="B23" s="32">
        <v>3430</v>
      </c>
      <c r="C23" s="32">
        <v>0</v>
      </c>
      <c r="D23" s="32">
        <v>1563</v>
      </c>
      <c r="E23" s="32">
        <v>298</v>
      </c>
      <c r="F23" s="32">
        <v>346</v>
      </c>
      <c r="G23" s="32">
        <v>814</v>
      </c>
      <c r="H23" s="32">
        <v>6451</v>
      </c>
      <c r="I23" s="32">
        <v>0</v>
      </c>
      <c r="J23" s="113"/>
      <c r="K23" s="31">
        <v>18</v>
      </c>
      <c r="L23" s="54">
        <v>15</v>
      </c>
      <c r="M23" s="54">
        <v>20</v>
      </c>
      <c r="N23" s="54">
        <v>5</v>
      </c>
      <c r="O23" s="32">
        <v>40</v>
      </c>
      <c r="P23" s="46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31">
        <v>19</v>
      </c>
      <c r="B24" s="32">
        <v>4981</v>
      </c>
      <c r="C24" s="32">
        <v>0</v>
      </c>
      <c r="D24" s="32">
        <v>1513</v>
      </c>
      <c r="E24" s="32">
        <v>270</v>
      </c>
      <c r="F24" s="32">
        <v>356</v>
      </c>
      <c r="G24" s="32">
        <v>750</v>
      </c>
      <c r="H24" s="32">
        <v>7870</v>
      </c>
      <c r="I24" s="32">
        <v>0</v>
      </c>
      <c r="J24" s="113"/>
      <c r="K24" s="31">
        <v>19</v>
      </c>
      <c r="L24" s="54">
        <v>6</v>
      </c>
      <c r="M24" s="54">
        <v>22</v>
      </c>
      <c r="N24" s="54">
        <v>4</v>
      </c>
      <c r="O24" s="32">
        <v>32</v>
      </c>
      <c r="P24" s="46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31">
        <v>20</v>
      </c>
      <c r="B25" s="32">
        <v>424</v>
      </c>
      <c r="C25" s="32">
        <v>0</v>
      </c>
      <c r="D25" s="32">
        <v>547</v>
      </c>
      <c r="E25" s="32">
        <v>130</v>
      </c>
      <c r="F25" s="32">
        <v>243</v>
      </c>
      <c r="G25" s="32">
        <v>467</v>
      </c>
      <c r="H25" s="32">
        <v>1811</v>
      </c>
      <c r="I25" s="32">
        <v>0</v>
      </c>
      <c r="J25" s="113"/>
      <c r="K25" s="31">
        <v>20</v>
      </c>
      <c r="L25" s="54">
        <v>3</v>
      </c>
      <c r="M25" s="54">
        <v>14</v>
      </c>
      <c r="N25" s="54">
        <v>0</v>
      </c>
      <c r="O25" s="32">
        <v>17</v>
      </c>
      <c r="P25" s="46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31">
        <v>21</v>
      </c>
      <c r="B26" s="32">
        <v>345</v>
      </c>
      <c r="C26" s="32">
        <v>0</v>
      </c>
      <c r="D26" s="32">
        <v>415</v>
      </c>
      <c r="E26" s="32">
        <v>92</v>
      </c>
      <c r="F26" s="32">
        <v>183</v>
      </c>
      <c r="G26" s="32">
        <v>413</v>
      </c>
      <c r="H26" s="32">
        <v>1448</v>
      </c>
      <c r="I26" s="32">
        <v>0</v>
      </c>
      <c r="J26" s="113"/>
      <c r="K26" s="31">
        <v>21</v>
      </c>
      <c r="L26" s="54">
        <v>0</v>
      </c>
      <c r="M26" s="54">
        <v>9</v>
      </c>
      <c r="N26" s="54">
        <v>1</v>
      </c>
      <c r="O26" s="32">
        <v>10</v>
      </c>
      <c r="P26" s="46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31">
        <v>22</v>
      </c>
      <c r="B27" s="32">
        <v>538</v>
      </c>
      <c r="C27" s="32">
        <v>0</v>
      </c>
      <c r="D27" s="32">
        <v>327</v>
      </c>
      <c r="E27" s="32">
        <v>70</v>
      </c>
      <c r="F27" s="32">
        <v>138</v>
      </c>
      <c r="G27" s="32">
        <v>345</v>
      </c>
      <c r="H27" s="32">
        <v>1418</v>
      </c>
      <c r="I27" s="32">
        <v>0</v>
      </c>
      <c r="J27" s="113"/>
      <c r="K27" s="31">
        <v>22</v>
      </c>
      <c r="L27" s="54">
        <v>2</v>
      </c>
      <c r="M27" s="54">
        <v>2</v>
      </c>
      <c r="N27" s="54">
        <v>1</v>
      </c>
      <c r="O27" s="32">
        <v>5</v>
      </c>
      <c r="P27" s="46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31">
        <v>23</v>
      </c>
      <c r="B28" s="32">
        <v>1697</v>
      </c>
      <c r="C28" s="32">
        <v>0</v>
      </c>
      <c r="D28" s="32">
        <v>426</v>
      </c>
      <c r="E28" s="32">
        <v>106</v>
      </c>
      <c r="F28" s="32">
        <v>160</v>
      </c>
      <c r="G28" s="32">
        <v>333</v>
      </c>
      <c r="H28" s="32">
        <v>2722</v>
      </c>
      <c r="I28" s="32">
        <v>0</v>
      </c>
      <c r="J28" s="113"/>
      <c r="K28" s="31">
        <v>23</v>
      </c>
      <c r="L28" s="54">
        <v>2</v>
      </c>
      <c r="M28" s="54">
        <v>2</v>
      </c>
      <c r="N28" s="54">
        <v>1</v>
      </c>
      <c r="O28" s="32">
        <v>5</v>
      </c>
      <c r="P28" s="46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31">
        <v>24</v>
      </c>
      <c r="B29" s="32">
        <v>1594</v>
      </c>
      <c r="C29" s="32">
        <v>0</v>
      </c>
      <c r="D29" s="32">
        <v>691</v>
      </c>
      <c r="E29" s="32">
        <v>111</v>
      </c>
      <c r="F29" s="32">
        <v>194</v>
      </c>
      <c r="G29" s="32">
        <v>285</v>
      </c>
      <c r="H29" s="32">
        <v>2875</v>
      </c>
      <c r="I29" s="32">
        <v>0</v>
      </c>
      <c r="J29" s="113"/>
      <c r="K29" s="31">
        <v>24</v>
      </c>
      <c r="L29" s="54">
        <v>0</v>
      </c>
      <c r="M29" s="54">
        <v>12</v>
      </c>
      <c r="N29" s="54">
        <v>2</v>
      </c>
      <c r="O29" s="32">
        <v>14</v>
      </c>
      <c r="P29" s="46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31">
        <v>25</v>
      </c>
      <c r="B30" s="32">
        <v>451</v>
      </c>
      <c r="C30" s="32">
        <v>0</v>
      </c>
      <c r="D30" s="32">
        <v>647</v>
      </c>
      <c r="E30" s="32">
        <v>101</v>
      </c>
      <c r="F30" s="32">
        <v>217</v>
      </c>
      <c r="G30" s="32">
        <v>432</v>
      </c>
      <c r="H30" s="32">
        <v>1848</v>
      </c>
      <c r="I30" s="32">
        <v>0</v>
      </c>
      <c r="J30" s="113"/>
      <c r="K30" s="31">
        <v>25</v>
      </c>
      <c r="L30" s="54">
        <v>1</v>
      </c>
      <c r="M30" s="54">
        <v>11</v>
      </c>
      <c r="N30" s="54">
        <v>1</v>
      </c>
      <c r="O30" s="32">
        <v>13</v>
      </c>
      <c r="P30" s="46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31">
        <v>26</v>
      </c>
      <c r="B31" s="32">
        <v>149</v>
      </c>
      <c r="C31" s="32">
        <v>0</v>
      </c>
      <c r="D31" s="32">
        <v>124</v>
      </c>
      <c r="E31" s="32">
        <v>16</v>
      </c>
      <c r="F31" s="32">
        <v>49</v>
      </c>
      <c r="G31" s="32">
        <v>106</v>
      </c>
      <c r="H31" s="32">
        <v>444</v>
      </c>
      <c r="I31" s="32">
        <v>0</v>
      </c>
      <c r="J31" s="113"/>
      <c r="K31" s="31">
        <v>26</v>
      </c>
      <c r="L31" s="54">
        <v>1</v>
      </c>
      <c r="M31" s="54">
        <v>0</v>
      </c>
      <c r="N31" s="54">
        <v>0</v>
      </c>
      <c r="O31" s="32">
        <v>1</v>
      </c>
      <c r="P31" s="46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31">
        <v>27</v>
      </c>
      <c r="B32" s="32">
        <v>462</v>
      </c>
      <c r="C32" s="32">
        <v>0</v>
      </c>
      <c r="D32" s="32">
        <v>599</v>
      </c>
      <c r="E32" s="32">
        <v>150</v>
      </c>
      <c r="F32" s="32">
        <v>220</v>
      </c>
      <c r="G32" s="32">
        <v>535</v>
      </c>
      <c r="H32" s="32">
        <f>B32+D32+E32+F32+G32</f>
        <v>1966</v>
      </c>
      <c r="I32" s="32">
        <v>0</v>
      </c>
      <c r="J32" s="113"/>
      <c r="K32" s="31">
        <v>27</v>
      </c>
      <c r="L32" s="54"/>
      <c r="M32" s="54"/>
      <c r="N32" s="54"/>
      <c r="O32" s="32">
        <v>0</v>
      </c>
      <c r="P32" s="46">
        <v>6135</v>
      </c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16" ht="15.6" thickTop="1" thickBot="1" x14ac:dyDescent="0.35">
      <c r="A33" s="31">
        <v>28</v>
      </c>
      <c r="B33" s="32">
        <v>360</v>
      </c>
      <c r="C33" s="32">
        <v>0</v>
      </c>
      <c r="D33" s="32">
        <v>466</v>
      </c>
      <c r="E33" s="32">
        <v>117</v>
      </c>
      <c r="F33" s="32">
        <v>171</v>
      </c>
      <c r="G33" s="32">
        <v>416</v>
      </c>
      <c r="H33" s="32">
        <f t="shared" ref="H33:H36" si="0">B33+D33+E33+F33+G33</f>
        <v>1530</v>
      </c>
      <c r="I33" s="32">
        <v>0</v>
      </c>
      <c r="J33" s="113"/>
      <c r="K33" s="31">
        <v>28</v>
      </c>
      <c r="L33" s="54"/>
      <c r="M33" s="54"/>
      <c r="N33" s="54"/>
      <c r="O33" s="32">
        <v>0</v>
      </c>
      <c r="P33" s="46">
        <v>6135</v>
      </c>
    </row>
    <row r="34" spans="1:16" ht="15.6" thickTop="1" thickBot="1" x14ac:dyDescent="0.35">
      <c r="A34" s="31">
        <v>29</v>
      </c>
      <c r="B34" s="32">
        <v>308</v>
      </c>
      <c r="C34" s="32">
        <v>0</v>
      </c>
      <c r="D34" s="32">
        <v>399</v>
      </c>
      <c r="E34" s="32">
        <v>100</v>
      </c>
      <c r="F34" s="32">
        <v>146</v>
      </c>
      <c r="G34" s="32">
        <v>356</v>
      </c>
      <c r="H34" s="32">
        <f t="shared" si="0"/>
        <v>1309</v>
      </c>
      <c r="I34" s="32">
        <v>0</v>
      </c>
      <c r="J34" s="113"/>
      <c r="K34" s="31">
        <v>29</v>
      </c>
      <c r="L34" s="54"/>
      <c r="M34" s="54"/>
      <c r="N34" s="54"/>
      <c r="O34" s="32">
        <v>0</v>
      </c>
      <c r="P34" s="46">
        <v>6135</v>
      </c>
    </row>
    <row r="35" spans="1:16" ht="15.6" thickTop="1" thickBot="1" x14ac:dyDescent="0.35">
      <c r="A35" s="31">
        <v>30</v>
      </c>
      <c r="B35" s="32">
        <v>514</v>
      </c>
      <c r="C35" s="32">
        <v>0</v>
      </c>
      <c r="D35" s="32">
        <v>665</v>
      </c>
      <c r="E35" s="32">
        <v>167</v>
      </c>
      <c r="F35" s="32">
        <v>244</v>
      </c>
      <c r="G35" s="32">
        <v>597</v>
      </c>
      <c r="H35" s="32">
        <f t="shared" si="0"/>
        <v>2187</v>
      </c>
      <c r="I35" s="32">
        <v>0</v>
      </c>
      <c r="J35" s="113"/>
      <c r="K35" s="31">
        <v>30</v>
      </c>
      <c r="L35" s="54"/>
      <c r="M35" s="54"/>
      <c r="N35" s="54"/>
      <c r="O35" s="32">
        <v>0</v>
      </c>
      <c r="P35" s="46">
        <v>6135</v>
      </c>
    </row>
    <row r="36" spans="1:16" ht="15.6" thickTop="1" thickBot="1" x14ac:dyDescent="0.35">
      <c r="A36" s="31">
        <v>31</v>
      </c>
      <c r="B36" s="32">
        <v>515</v>
      </c>
      <c r="C36" s="32">
        <v>0</v>
      </c>
      <c r="D36" s="32">
        <v>665</v>
      </c>
      <c r="E36" s="32">
        <v>168</v>
      </c>
      <c r="F36" s="32">
        <v>247</v>
      </c>
      <c r="G36" s="32">
        <v>605</v>
      </c>
      <c r="H36" s="32">
        <f t="shared" si="0"/>
        <v>2200</v>
      </c>
      <c r="I36" s="32">
        <v>0</v>
      </c>
      <c r="J36" s="34"/>
      <c r="K36" s="31">
        <v>31</v>
      </c>
      <c r="L36" s="54"/>
      <c r="M36" s="54"/>
      <c r="N36" s="54"/>
      <c r="O36" s="32">
        <v>0</v>
      </c>
      <c r="P36" s="46">
        <v>6135</v>
      </c>
    </row>
    <row r="37" spans="1:16" ht="15" thickTop="1" x14ac:dyDescent="0.3">
      <c r="A37" s="56" t="s">
        <v>19</v>
      </c>
      <c r="B37" s="57">
        <f>SUM(B6:B36)</f>
        <v>81149</v>
      </c>
      <c r="C37" s="57">
        <f t="shared" ref="C37:G37" si="1">SUM(C6:C36)</f>
        <v>0</v>
      </c>
      <c r="D37" s="57">
        <f t="shared" si="1"/>
        <v>33060</v>
      </c>
      <c r="E37" s="57">
        <f t="shared" si="1"/>
        <v>6054</v>
      </c>
      <c r="F37" s="57">
        <f t="shared" si="1"/>
        <v>7417</v>
      </c>
      <c r="G37" s="57">
        <f t="shared" si="1"/>
        <v>15924</v>
      </c>
      <c r="H37" s="57">
        <f>SUM(H6:H36)</f>
        <v>143604</v>
      </c>
      <c r="I37" s="57">
        <v>0</v>
      </c>
      <c r="J37" s="57"/>
      <c r="K37" s="57"/>
      <c r="L37" s="57">
        <v>200</v>
      </c>
      <c r="M37" s="57">
        <v>370</v>
      </c>
      <c r="N37" s="57">
        <v>94</v>
      </c>
      <c r="O37" s="112">
        <v>664</v>
      </c>
      <c r="P37" s="58"/>
    </row>
    <row r="38" spans="1:16" x14ac:dyDescent="0.3">
      <c r="A38" s="56" t="s">
        <v>19</v>
      </c>
      <c r="B38" s="137">
        <f>B37+C37</f>
        <v>81149</v>
      </c>
      <c r="C38" s="137"/>
      <c r="D38" s="57">
        <f>D37</f>
        <v>33060</v>
      </c>
      <c r="E38" s="57">
        <f t="shared" ref="E38:G38" si="2">E37</f>
        <v>6054</v>
      </c>
      <c r="F38" s="57">
        <f t="shared" si="2"/>
        <v>7417</v>
      </c>
      <c r="G38" s="57">
        <f t="shared" si="2"/>
        <v>15924</v>
      </c>
      <c r="H38" s="112">
        <f>SUM(B38:G38)</f>
        <v>143604</v>
      </c>
      <c r="I38" s="57">
        <v>0</v>
      </c>
      <c r="J38" s="60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67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74EF-E7EC-4271-BB3C-401D9030255A}">
  <dimension ref="A1:Z47"/>
  <sheetViews>
    <sheetView workbookViewId="0">
      <selection activeCell="G43" sqref="G43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9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9" ht="15.6" x14ac:dyDescent="0.3">
      <c r="A3" s="135" t="s">
        <v>25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19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19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19" ht="15" thickBot="1" x14ac:dyDescent="0.35">
      <c r="A6" s="31">
        <v>1</v>
      </c>
      <c r="B6" s="32">
        <v>285</v>
      </c>
      <c r="C6" s="32">
        <v>0</v>
      </c>
      <c r="D6" s="32">
        <v>4</v>
      </c>
      <c r="E6" s="32">
        <v>0</v>
      </c>
      <c r="F6" s="32">
        <v>0</v>
      </c>
      <c r="G6" s="32">
        <v>1</v>
      </c>
      <c r="H6" s="32">
        <v>0</v>
      </c>
      <c r="I6" s="32">
        <v>0</v>
      </c>
      <c r="J6" s="33"/>
      <c r="K6" s="31">
        <v>1</v>
      </c>
      <c r="L6" s="32">
        <v>0</v>
      </c>
      <c r="M6" s="32">
        <v>0</v>
      </c>
      <c r="N6" s="32">
        <v>0</v>
      </c>
      <c r="O6" s="32">
        <v>0</v>
      </c>
      <c r="P6" s="46">
        <v>6135</v>
      </c>
      <c r="Q6" s="58"/>
      <c r="R6" s="58"/>
      <c r="S6" s="58"/>
    </row>
    <row r="7" spans="1:19" ht="15.6" thickTop="1" thickBot="1" x14ac:dyDescent="0.35">
      <c r="A7" s="31">
        <v>2</v>
      </c>
      <c r="B7" s="32">
        <v>610</v>
      </c>
      <c r="C7" s="32">
        <v>0</v>
      </c>
      <c r="D7" s="32">
        <v>618</v>
      </c>
      <c r="E7" s="32">
        <v>182</v>
      </c>
      <c r="F7" s="32">
        <v>223</v>
      </c>
      <c r="G7" s="32">
        <v>420</v>
      </c>
      <c r="H7" s="32">
        <v>0</v>
      </c>
      <c r="I7" s="32">
        <v>0</v>
      </c>
      <c r="J7" s="33"/>
      <c r="K7" s="31">
        <v>2</v>
      </c>
      <c r="L7" s="32">
        <v>0</v>
      </c>
      <c r="M7" s="32">
        <v>0</v>
      </c>
      <c r="N7" s="32">
        <v>0</v>
      </c>
      <c r="O7" s="32">
        <v>0</v>
      </c>
      <c r="P7" s="46">
        <v>6135</v>
      </c>
      <c r="Q7" s="58"/>
      <c r="R7" s="58"/>
      <c r="S7" s="58"/>
    </row>
    <row r="8" spans="1:19" ht="15.6" thickTop="1" thickBot="1" x14ac:dyDescent="0.35">
      <c r="A8" s="31">
        <v>3</v>
      </c>
      <c r="B8" s="32">
        <v>562</v>
      </c>
      <c r="C8" s="32">
        <v>0</v>
      </c>
      <c r="D8" s="32">
        <v>687</v>
      </c>
      <c r="E8" s="32">
        <v>179</v>
      </c>
      <c r="F8" s="32">
        <v>253</v>
      </c>
      <c r="G8" s="32">
        <v>579</v>
      </c>
      <c r="H8" s="32">
        <v>0</v>
      </c>
      <c r="I8" s="32">
        <v>0</v>
      </c>
      <c r="J8" s="33"/>
      <c r="K8" s="31">
        <v>3</v>
      </c>
      <c r="L8" s="32">
        <v>0</v>
      </c>
      <c r="M8" s="32">
        <v>0</v>
      </c>
      <c r="N8" s="32">
        <v>0</v>
      </c>
      <c r="O8" s="32">
        <v>0</v>
      </c>
      <c r="P8" s="46">
        <v>6135</v>
      </c>
      <c r="Q8" s="58"/>
      <c r="R8" s="58"/>
      <c r="S8" s="63"/>
    </row>
    <row r="9" spans="1:19" ht="15.6" thickTop="1" thickBot="1" x14ac:dyDescent="0.35">
      <c r="A9" s="31">
        <v>4</v>
      </c>
      <c r="B9" s="32">
        <v>544</v>
      </c>
      <c r="C9" s="32">
        <v>0</v>
      </c>
      <c r="D9" s="32">
        <v>721</v>
      </c>
      <c r="E9" s="32">
        <v>194</v>
      </c>
      <c r="F9" s="32">
        <v>282</v>
      </c>
      <c r="G9" s="32">
        <v>624</v>
      </c>
      <c r="H9" s="32">
        <v>0</v>
      </c>
      <c r="I9" s="32">
        <v>0</v>
      </c>
      <c r="J9" s="33"/>
      <c r="K9" s="31">
        <v>4</v>
      </c>
      <c r="L9" s="32">
        <v>0</v>
      </c>
      <c r="M9" s="32">
        <v>0</v>
      </c>
      <c r="N9" s="32">
        <v>0</v>
      </c>
      <c r="O9" s="32">
        <v>0</v>
      </c>
      <c r="P9" s="46">
        <v>6135</v>
      </c>
      <c r="Q9" s="58"/>
      <c r="R9" s="58"/>
      <c r="S9" s="58"/>
    </row>
    <row r="10" spans="1:19" ht="15.6" thickTop="1" thickBot="1" x14ac:dyDescent="0.35">
      <c r="A10" s="31">
        <v>5</v>
      </c>
      <c r="B10" s="32">
        <v>582</v>
      </c>
      <c r="C10" s="32">
        <v>0</v>
      </c>
      <c r="D10" s="32">
        <v>702</v>
      </c>
      <c r="E10" s="32">
        <v>195</v>
      </c>
      <c r="F10" s="32">
        <v>251</v>
      </c>
      <c r="G10" s="32">
        <v>596</v>
      </c>
      <c r="H10" s="32">
        <v>0</v>
      </c>
      <c r="I10" s="32">
        <v>0</v>
      </c>
      <c r="J10" s="33"/>
      <c r="K10" s="31">
        <v>5</v>
      </c>
      <c r="L10" s="32">
        <v>0</v>
      </c>
      <c r="M10" s="32">
        <v>0</v>
      </c>
      <c r="N10" s="32">
        <v>0</v>
      </c>
      <c r="O10" s="32">
        <v>0</v>
      </c>
      <c r="P10" s="46">
        <v>6135</v>
      </c>
      <c r="Q10" s="58"/>
      <c r="R10" s="58"/>
      <c r="S10" s="58"/>
    </row>
    <row r="11" spans="1:19" ht="15.6" thickTop="1" thickBot="1" x14ac:dyDescent="0.35">
      <c r="A11" s="31">
        <v>6</v>
      </c>
      <c r="B11" s="32">
        <v>601</v>
      </c>
      <c r="C11" s="32">
        <v>0</v>
      </c>
      <c r="D11" s="32">
        <v>639</v>
      </c>
      <c r="E11" s="32">
        <v>139</v>
      </c>
      <c r="F11" s="32">
        <v>236</v>
      </c>
      <c r="G11" s="32">
        <v>557</v>
      </c>
      <c r="H11" s="32">
        <v>0</v>
      </c>
      <c r="I11" s="32">
        <v>0</v>
      </c>
      <c r="J11" s="33"/>
      <c r="K11" s="31">
        <v>6</v>
      </c>
      <c r="L11" s="32">
        <v>0</v>
      </c>
      <c r="M11" s="32">
        <v>0</v>
      </c>
      <c r="N11" s="32">
        <v>0</v>
      </c>
      <c r="O11" s="32">
        <v>0</v>
      </c>
      <c r="P11" s="46">
        <v>6135</v>
      </c>
      <c r="Q11" s="58"/>
      <c r="R11" s="58"/>
      <c r="S11" s="58"/>
    </row>
    <row r="12" spans="1:19" ht="15.6" thickTop="1" thickBot="1" x14ac:dyDescent="0.35">
      <c r="A12" s="31">
        <v>7</v>
      </c>
      <c r="B12" s="32">
        <v>512</v>
      </c>
      <c r="C12" s="32">
        <v>0</v>
      </c>
      <c r="D12" s="32">
        <v>488</v>
      </c>
      <c r="E12" s="32">
        <v>119</v>
      </c>
      <c r="F12" s="32">
        <v>215</v>
      </c>
      <c r="G12" s="32">
        <v>564</v>
      </c>
      <c r="H12" s="32">
        <v>0</v>
      </c>
      <c r="I12" s="32">
        <v>0</v>
      </c>
      <c r="J12" s="34"/>
      <c r="K12" s="31">
        <v>7</v>
      </c>
      <c r="L12" s="32">
        <v>0</v>
      </c>
      <c r="M12" s="32">
        <v>0</v>
      </c>
      <c r="N12" s="32">
        <v>0</v>
      </c>
      <c r="O12" s="32">
        <v>0</v>
      </c>
      <c r="P12" s="46">
        <v>6135</v>
      </c>
      <c r="Q12" s="58"/>
      <c r="R12" s="58"/>
      <c r="S12" s="58"/>
    </row>
    <row r="13" spans="1:19" ht="15.6" thickTop="1" thickBot="1" x14ac:dyDescent="0.35">
      <c r="A13" s="31">
        <v>8</v>
      </c>
      <c r="B13" s="32">
        <v>458</v>
      </c>
      <c r="C13" s="32">
        <v>0</v>
      </c>
      <c r="D13" s="32">
        <v>377</v>
      </c>
      <c r="E13" s="32">
        <v>120</v>
      </c>
      <c r="F13" s="32">
        <v>158</v>
      </c>
      <c r="G13" s="32">
        <v>446</v>
      </c>
      <c r="H13" s="32">
        <v>0</v>
      </c>
      <c r="I13" s="32">
        <v>0</v>
      </c>
      <c r="J13" s="34"/>
      <c r="K13" s="31">
        <v>8</v>
      </c>
      <c r="L13" s="32">
        <v>0</v>
      </c>
      <c r="M13" s="32">
        <v>0</v>
      </c>
      <c r="N13" s="32">
        <v>0</v>
      </c>
      <c r="O13" s="32">
        <v>0</v>
      </c>
      <c r="P13" s="46">
        <v>6135</v>
      </c>
      <c r="Q13" s="58"/>
      <c r="R13" s="58"/>
      <c r="S13" s="58"/>
    </row>
    <row r="14" spans="1:19" ht="15.6" thickTop="1" thickBot="1" x14ac:dyDescent="0.35">
      <c r="A14" s="31">
        <v>9</v>
      </c>
      <c r="B14" s="32">
        <v>592</v>
      </c>
      <c r="C14" s="32">
        <v>0</v>
      </c>
      <c r="D14" s="32">
        <v>582</v>
      </c>
      <c r="E14" s="32">
        <v>173</v>
      </c>
      <c r="F14" s="32">
        <v>241</v>
      </c>
      <c r="G14" s="32">
        <v>564</v>
      </c>
      <c r="H14" s="32">
        <v>0</v>
      </c>
      <c r="I14" s="32">
        <v>0</v>
      </c>
      <c r="J14" s="34"/>
      <c r="K14" s="31">
        <v>9</v>
      </c>
      <c r="L14" s="32">
        <v>0</v>
      </c>
      <c r="M14" s="32">
        <v>0</v>
      </c>
      <c r="N14" s="32">
        <v>0</v>
      </c>
      <c r="O14" s="32">
        <v>0</v>
      </c>
      <c r="P14" s="47">
        <v>6135</v>
      </c>
      <c r="Q14" s="66"/>
      <c r="R14" s="66"/>
      <c r="S14" s="66"/>
    </row>
    <row r="15" spans="1:19" ht="15.6" thickTop="1" thickBot="1" x14ac:dyDescent="0.35">
      <c r="A15" s="31">
        <v>10</v>
      </c>
      <c r="B15" s="32">
        <v>578</v>
      </c>
      <c r="C15" s="32">
        <v>0</v>
      </c>
      <c r="D15" s="32">
        <v>703</v>
      </c>
      <c r="E15" s="32">
        <v>156</v>
      </c>
      <c r="F15" s="32">
        <v>259</v>
      </c>
      <c r="G15" s="32">
        <v>667</v>
      </c>
      <c r="H15" s="32">
        <v>0</v>
      </c>
      <c r="I15" s="32">
        <v>0</v>
      </c>
      <c r="J15" s="34"/>
      <c r="K15" s="31">
        <v>10</v>
      </c>
      <c r="L15" s="32">
        <v>0</v>
      </c>
      <c r="M15" s="32">
        <v>0</v>
      </c>
      <c r="N15" s="32">
        <v>0</v>
      </c>
      <c r="O15" s="32">
        <v>0</v>
      </c>
      <c r="P15" s="46">
        <v>6135</v>
      </c>
      <c r="Q15" s="58"/>
      <c r="R15" s="58"/>
      <c r="S15" s="58"/>
    </row>
    <row r="16" spans="1:19" ht="15.6" thickTop="1" thickBot="1" x14ac:dyDescent="0.35">
      <c r="A16" s="31">
        <v>11</v>
      </c>
      <c r="B16" s="32">
        <v>674</v>
      </c>
      <c r="C16" s="32">
        <v>0</v>
      </c>
      <c r="D16" s="32">
        <v>778</v>
      </c>
      <c r="E16" s="32">
        <v>165</v>
      </c>
      <c r="F16" s="32">
        <v>303</v>
      </c>
      <c r="G16" s="32">
        <v>748</v>
      </c>
      <c r="H16" s="32">
        <v>0</v>
      </c>
      <c r="I16" s="32">
        <v>0</v>
      </c>
      <c r="J16" s="34"/>
      <c r="K16" s="31">
        <v>11</v>
      </c>
      <c r="L16" s="32">
        <v>0</v>
      </c>
      <c r="M16" s="32">
        <v>0</v>
      </c>
      <c r="N16" s="32">
        <v>0</v>
      </c>
      <c r="O16" s="32">
        <v>0</v>
      </c>
      <c r="P16" s="46">
        <v>6135</v>
      </c>
      <c r="Q16" s="58"/>
      <c r="R16" s="58"/>
      <c r="S16" s="58"/>
    </row>
    <row r="17" spans="1:26" ht="15.6" thickTop="1" thickBot="1" x14ac:dyDescent="0.35">
      <c r="A17" s="31">
        <v>12</v>
      </c>
      <c r="B17" s="32">
        <v>707</v>
      </c>
      <c r="C17" s="32">
        <v>0</v>
      </c>
      <c r="D17" s="32">
        <v>812</v>
      </c>
      <c r="E17" s="32">
        <v>214</v>
      </c>
      <c r="F17" s="32">
        <v>293</v>
      </c>
      <c r="G17" s="32">
        <v>611</v>
      </c>
      <c r="H17" s="32">
        <v>0</v>
      </c>
      <c r="I17" s="32">
        <v>0</v>
      </c>
      <c r="J17" s="34"/>
      <c r="K17" s="31">
        <v>12</v>
      </c>
      <c r="L17" s="32">
        <v>0</v>
      </c>
      <c r="M17" s="32">
        <v>0</v>
      </c>
      <c r="N17" s="32">
        <v>0</v>
      </c>
      <c r="O17" s="32">
        <v>0</v>
      </c>
      <c r="P17" s="46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31">
        <v>13</v>
      </c>
      <c r="B18" s="32">
        <v>588</v>
      </c>
      <c r="C18" s="32">
        <v>0</v>
      </c>
      <c r="D18" s="32">
        <v>618</v>
      </c>
      <c r="E18" s="32">
        <v>163</v>
      </c>
      <c r="F18" s="32">
        <v>259</v>
      </c>
      <c r="G18" s="32">
        <v>499</v>
      </c>
      <c r="H18" s="32">
        <v>0</v>
      </c>
      <c r="I18" s="32">
        <v>0</v>
      </c>
      <c r="J18" s="34"/>
      <c r="K18" s="31">
        <v>13</v>
      </c>
      <c r="L18" s="32">
        <v>0</v>
      </c>
      <c r="M18" s="32">
        <v>0</v>
      </c>
      <c r="N18" s="32">
        <v>0</v>
      </c>
      <c r="O18" s="32">
        <v>0</v>
      </c>
      <c r="P18" s="46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31">
        <v>14</v>
      </c>
      <c r="B19" s="32">
        <v>381</v>
      </c>
      <c r="C19" s="32">
        <v>0</v>
      </c>
      <c r="D19" s="32">
        <v>408</v>
      </c>
      <c r="E19" s="32">
        <v>123</v>
      </c>
      <c r="F19" s="32">
        <v>184</v>
      </c>
      <c r="G19" s="32">
        <v>485</v>
      </c>
      <c r="H19" s="32">
        <v>0</v>
      </c>
      <c r="I19" s="32">
        <v>0</v>
      </c>
      <c r="J19" s="34"/>
      <c r="K19" s="31">
        <v>14</v>
      </c>
      <c r="L19" s="32">
        <v>0</v>
      </c>
      <c r="M19" s="32">
        <v>0</v>
      </c>
      <c r="N19" s="32">
        <v>0</v>
      </c>
      <c r="O19" s="32">
        <v>0</v>
      </c>
      <c r="P19" s="46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31">
        <v>15</v>
      </c>
      <c r="B20" s="32">
        <v>248</v>
      </c>
      <c r="C20" s="32">
        <v>0</v>
      </c>
      <c r="D20" s="32">
        <v>288</v>
      </c>
      <c r="E20" s="32">
        <v>79</v>
      </c>
      <c r="F20" s="32">
        <v>139</v>
      </c>
      <c r="G20" s="32">
        <v>480</v>
      </c>
      <c r="H20" s="32">
        <v>0</v>
      </c>
      <c r="I20" s="32">
        <v>0</v>
      </c>
      <c r="J20" s="34"/>
      <c r="K20" s="31">
        <v>15</v>
      </c>
      <c r="L20" s="32">
        <v>0</v>
      </c>
      <c r="M20" s="32">
        <v>0</v>
      </c>
      <c r="N20" s="32">
        <v>0</v>
      </c>
      <c r="O20" s="32">
        <v>0</v>
      </c>
      <c r="P20" s="46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31">
        <v>16</v>
      </c>
      <c r="B21" s="32">
        <v>454</v>
      </c>
      <c r="C21" s="32">
        <v>0</v>
      </c>
      <c r="D21" s="32">
        <v>377</v>
      </c>
      <c r="E21" s="32">
        <v>118</v>
      </c>
      <c r="F21" s="32">
        <v>145</v>
      </c>
      <c r="G21" s="32">
        <v>518</v>
      </c>
      <c r="H21" s="32">
        <v>0</v>
      </c>
      <c r="I21" s="32">
        <v>0</v>
      </c>
      <c r="J21" s="34"/>
      <c r="K21" s="31">
        <v>16</v>
      </c>
      <c r="L21" s="32">
        <v>0</v>
      </c>
      <c r="M21" s="32">
        <v>0</v>
      </c>
      <c r="N21" s="32">
        <v>0</v>
      </c>
      <c r="O21" s="32">
        <v>0</v>
      </c>
      <c r="P21" s="46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31">
        <v>17</v>
      </c>
      <c r="B22" s="32">
        <v>754</v>
      </c>
      <c r="C22" s="32">
        <v>0</v>
      </c>
      <c r="D22" s="32">
        <v>642</v>
      </c>
      <c r="E22" s="32">
        <v>177</v>
      </c>
      <c r="F22" s="32">
        <v>234</v>
      </c>
      <c r="G22" s="32">
        <v>444</v>
      </c>
      <c r="H22" s="32">
        <v>0</v>
      </c>
      <c r="I22" s="32">
        <v>0</v>
      </c>
      <c r="J22" s="34"/>
      <c r="K22" s="31">
        <v>17</v>
      </c>
      <c r="L22" s="32">
        <v>0</v>
      </c>
      <c r="M22" s="32">
        <v>0</v>
      </c>
      <c r="N22" s="32">
        <v>0</v>
      </c>
      <c r="O22" s="32">
        <v>0</v>
      </c>
      <c r="P22" s="46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31">
        <v>18</v>
      </c>
      <c r="B23" s="32">
        <v>775</v>
      </c>
      <c r="C23" s="32">
        <v>0</v>
      </c>
      <c r="D23" s="32">
        <v>715</v>
      </c>
      <c r="E23" s="32">
        <v>175</v>
      </c>
      <c r="F23" s="32">
        <v>234</v>
      </c>
      <c r="G23" s="32">
        <v>514</v>
      </c>
      <c r="H23" s="32">
        <v>0</v>
      </c>
      <c r="I23" s="32">
        <v>0</v>
      </c>
      <c r="J23" s="34"/>
      <c r="K23" s="31">
        <v>18</v>
      </c>
      <c r="L23" s="32">
        <v>0</v>
      </c>
      <c r="M23" s="32">
        <v>0</v>
      </c>
      <c r="N23" s="32">
        <v>0</v>
      </c>
      <c r="O23" s="32">
        <v>0</v>
      </c>
      <c r="P23" s="46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31">
        <v>19</v>
      </c>
      <c r="B24" s="32">
        <v>758</v>
      </c>
      <c r="C24" s="32">
        <v>0</v>
      </c>
      <c r="D24" s="32">
        <v>813</v>
      </c>
      <c r="E24" s="32">
        <v>174</v>
      </c>
      <c r="F24" s="32">
        <v>234</v>
      </c>
      <c r="G24" s="32">
        <v>406</v>
      </c>
      <c r="H24" s="32">
        <v>0</v>
      </c>
      <c r="I24" s="32">
        <v>0</v>
      </c>
      <c r="J24" s="34"/>
      <c r="K24" s="31">
        <v>19</v>
      </c>
      <c r="L24" s="32">
        <v>0</v>
      </c>
      <c r="M24" s="32">
        <v>0</v>
      </c>
      <c r="N24" s="32">
        <v>0</v>
      </c>
      <c r="O24" s="32">
        <v>0</v>
      </c>
      <c r="P24" s="46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31">
        <v>20</v>
      </c>
      <c r="B25" s="32">
        <v>590</v>
      </c>
      <c r="C25" s="32">
        <v>0</v>
      </c>
      <c r="D25" s="32">
        <v>647</v>
      </c>
      <c r="E25" s="32">
        <v>151</v>
      </c>
      <c r="F25" s="32">
        <v>177</v>
      </c>
      <c r="G25" s="32">
        <v>303</v>
      </c>
      <c r="H25" s="32">
        <v>0</v>
      </c>
      <c r="I25" s="32">
        <v>0</v>
      </c>
      <c r="J25" s="34"/>
      <c r="K25" s="31">
        <v>20</v>
      </c>
      <c r="L25" s="32">
        <v>0</v>
      </c>
      <c r="M25" s="32">
        <v>0</v>
      </c>
      <c r="N25" s="32">
        <v>0</v>
      </c>
      <c r="O25" s="32">
        <v>0</v>
      </c>
      <c r="P25" s="46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31">
        <v>21</v>
      </c>
      <c r="B26" s="32">
        <v>443</v>
      </c>
      <c r="C26" s="32">
        <v>0</v>
      </c>
      <c r="D26" s="32">
        <v>432</v>
      </c>
      <c r="E26" s="32">
        <v>114</v>
      </c>
      <c r="F26" s="32">
        <v>148</v>
      </c>
      <c r="G26" s="32">
        <v>221</v>
      </c>
      <c r="H26" s="32">
        <v>0</v>
      </c>
      <c r="I26" s="32">
        <v>0</v>
      </c>
      <c r="J26" s="34"/>
      <c r="K26" s="31">
        <v>21</v>
      </c>
      <c r="L26" s="32">
        <v>0</v>
      </c>
      <c r="M26" s="32">
        <v>0</v>
      </c>
      <c r="N26" s="32">
        <v>0</v>
      </c>
      <c r="O26" s="32">
        <v>0</v>
      </c>
      <c r="P26" s="46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31">
        <v>22</v>
      </c>
      <c r="B27" s="32">
        <v>264</v>
      </c>
      <c r="C27" s="32">
        <v>0</v>
      </c>
      <c r="D27" s="32">
        <v>284</v>
      </c>
      <c r="E27" s="32">
        <v>100</v>
      </c>
      <c r="F27" s="32">
        <v>107</v>
      </c>
      <c r="G27" s="32">
        <v>184</v>
      </c>
      <c r="H27" s="32">
        <v>0</v>
      </c>
      <c r="I27" s="32">
        <v>0</v>
      </c>
      <c r="J27" s="34"/>
      <c r="K27" s="31">
        <v>22</v>
      </c>
      <c r="L27" s="32">
        <v>0</v>
      </c>
      <c r="M27" s="32">
        <v>0</v>
      </c>
      <c r="N27" s="32">
        <v>0</v>
      </c>
      <c r="O27" s="32">
        <v>0</v>
      </c>
      <c r="P27" s="46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31">
        <v>23</v>
      </c>
      <c r="B28" s="32">
        <v>492</v>
      </c>
      <c r="C28" s="32">
        <v>0</v>
      </c>
      <c r="D28" s="32">
        <v>370</v>
      </c>
      <c r="E28" s="32">
        <v>117</v>
      </c>
      <c r="F28" s="32">
        <v>88</v>
      </c>
      <c r="G28" s="32">
        <v>254</v>
      </c>
      <c r="H28" s="32">
        <v>0</v>
      </c>
      <c r="I28" s="32">
        <v>0</v>
      </c>
      <c r="J28" s="34"/>
      <c r="K28" s="31">
        <v>23</v>
      </c>
      <c r="L28" s="32">
        <v>0</v>
      </c>
      <c r="M28" s="32">
        <v>0</v>
      </c>
      <c r="N28" s="32">
        <v>0</v>
      </c>
      <c r="O28" s="32">
        <v>0</v>
      </c>
      <c r="P28" s="46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31">
        <v>24</v>
      </c>
      <c r="B29" s="32">
        <v>793</v>
      </c>
      <c r="C29" s="32">
        <v>0</v>
      </c>
      <c r="D29" s="32">
        <v>620</v>
      </c>
      <c r="E29" s="32">
        <v>149</v>
      </c>
      <c r="F29" s="32">
        <v>153</v>
      </c>
      <c r="G29" s="32">
        <v>258</v>
      </c>
      <c r="H29" s="32">
        <v>0</v>
      </c>
      <c r="I29" s="32">
        <v>0</v>
      </c>
      <c r="J29" s="34"/>
      <c r="K29" s="31">
        <v>24</v>
      </c>
      <c r="L29" s="32">
        <v>0</v>
      </c>
      <c r="M29" s="32">
        <v>0</v>
      </c>
      <c r="N29" s="32">
        <v>0</v>
      </c>
      <c r="O29" s="32">
        <v>0</v>
      </c>
      <c r="P29" s="46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31">
        <v>25</v>
      </c>
      <c r="B30" s="32">
        <v>782</v>
      </c>
      <c r="C30" s="32">
        <v>0</v>
      </c>
      <c r="D30" s="32">
        <v>746</v>
      </c>
      <c r="E30" s="32">
        <v>200</v>
      </c>
      <c r="F30" s="32">
        <v>226</v>
      </c>
      <c r="G30" s="32">
        <v>336</v>
      </c>
      <c r="H30" s="32">
        <v>0</v>
      </c>
      <c r="I30" s="32">
        <v>0</v>
      </c>
      <c r="J30" s="34"/>
      <c r="K30" s="31">
        <v>25</v>
      </c>
      <c r="L30" s="32">
        <v>0</v>
      </c>
      <c r="M30" s="32">
        <v>0</v>
      </c>
      <c r="N30" s="32">
        <v>0</v>
      </c>
      <c r="O30" s="32">
        <v>0</v>
      </c>
      <c r="P30" s="46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31">
        <v>26</v>
      </c>
      <c r="B31" s="32">
        <v>794</v>
      </c>
      <c r="C31" s="32">
        <v>0</v>
      </c>
      <c r="D31" s="32">
        <v>772</v>
      </c>
      <c r="E31" s="32">
        <v>191</v>
      </c>
      <c r="F31" s="32">
        <v>206</v>
      </c>
      <c r="G31" s="32">
        <v>328</v>
      </c>
      <c r="H31" s="32">
        <v>0</v>
      </c>
      <c r="I31" s="32">
        <v>0</v>
      </c>
      <c r="J31" s="34"/>
      <c r="K31" s="31">
        <v>26</v>
      </c>
      <c r="L31" s="32">
        <v>0</v>
      </c>
      <c r="M31" s="32">
        <v>0</v>
      </c>
      <c r="N31" s="32">
        <v>0</v>
      </c>
      <c r="O31" s="32">
        <v>0</v>
      </c>
      <c r="P31" s="46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31">
        <v>27</v>
      </c>
      <c r="B32" s="32">
        <v>715</v>
      </c>
      <c r="C32" s="32">
        <v>0</v>
      </c>
      <c r="D32" s="32">
        <v>632</v>
      </c>
      <c r="E32" s="32">
        <v>179</v>
      </c>
      <c r="F32" s="32">
        <v>182</v>
      </c>
      <c r="G32" s="32">
        <v>278</v>
      </c>
      <c r="H32" s="32">
        <v>0</v>
      </c>
      <c r="I32" s="32">
        <v>0</v>
      </c>
      <c r="J32" s="34"/>
      <c r="K32" s="31">
        <v>27</v>
      </c>
      <c r="L32" s="32">
        <v>0</v>
      </c>
      <c r="M32" s="32">
        <v>0</v>
      </c>
      <c r="N32" s="32">
        <v>0</v>
      </c>
      <c r="O32" s="32">
        <v>0</v>
      </c>
      <c r="P32" s="46">
        <v>6135</v>
      </c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16" ht="15.6" thickTop="1" thickBot="1" x14ac:dyDescent="0.35">
      <c r="A33" s="31">
        <v>28</v>
      </c>
      <c r="B33" s="32">
        <v>491</v>
      </c>
      <c r="C33" s="32">
        <v>0</v>
      </c>
      <c r="D33" s="32">
        <v>437</v>
      </c>
      <c r="E33" s="32">
        <v>132</v>
      </c>
      <c r="F33" s="32">
        <v>138</v>
      </c>
      <c r="G33" s="32">
        <v>200</v>
      </c>
      <c r="H33" s="32">
        <v>0</v>
      </c>
      <c r="I33" s="32">
        <v>0</v>
      </c>
      <c r="J33" s="34"/>
      <c r="K33" s="31">
        <v>28</v>
      </c>
      <c r="L33" s="32">
        <v>0</v>
      </c>
      <c r="M33" s="32">
        <v>0</v>
      </c>
      <c r="N33" s="32">
        <v>0</v>
      </c>
      <c r="O33" s="32">
        <v>0</v>
      </c>
      <c r="P33" s="46">
        <v>6135</v>
      </c>
    </row>
    <row r="34" spans="1:16" ht="15.6" thickTop="1" thickBot="1" x14ac:dyDescent="0.35">
      <c r="A34" s="31">
        <v>29</v>
      </c>
      <c r="B34" s="32">
        <v>341</v>
      </c>
      <c r="C34" s="32">
        <v>0</v>
      </c>
      <c r="D34" s="32">
        <v>308</v>
      </c>
      <c r="E34" s="32">
        <v>86</v>
      </c>
      <c r="F34" s="32">
        <v>104</v>
      </c>
      <c r="G34" s="32">
        <v>227</v>
      </c>
      <c r="H34" s="32">
        <v>0</v>
      </c>
      <c r="I34" s="32">
        <v>0</v>
      </c>
      <c r="J34" s="34"/>
      <c r="K34" s="31">
        <v>29</v>
      </c>
      <c r="L34" s="32">
        <v>0</v>
      </c>
      <c r="M34" s="32">
        <v>0</v>
      </c>
      <c r="N34" s="32">
        <v>0</v>
      </c>
      <c r="O34" s="32">
        <v>0</v>
      </c>
      <c r="P34" s="46">
        <v>6135</v>
      </c>
    </row>
    <row r="35" spans="1:16" ht="15.6" thickTop="1" thickBot="1" x14ac:dyDescent="0.35">
      <c r="A35" s="31">
        <v>30</v>
      </c>
      <c r="B35" s="32">
        <v>553</v>
      </c>
      <c r="C35" s="32">
        <v>0</v>
      </c>
      <c r="D35" s="32">
        <v>405</v>
      </c>
      <c r="E35" s="32">
        <v>133</v>
      </c>
      <c r="F35" s="32">
        <v>109</v>
      </c>
      <c r="G35" s="32">
        <v>266</v>
      </c>
      <c r="H35" s="32">
        <v>0</v>
      </c>
      <c r="I35" s="32">
        <v>0</v>
      </c>
      <c r="J35" s="34"/>
      <c r="K35" s="31">
        <v>30</v>
      </c>
      <c r="L35" s="32">
        <v>0</v>
      </c>
      <c r="M35" s="32">
        <v>0</v>
      </c>
      <c r="N35" s="32">
        <v>0</v>
      </c>
      <c r="O35" s="32">
        <v>0</v>
      </c>
      <c r="P35" s="46">
        <v>6135</v>
      </c>
    </row>
    <row r="36" spans="1:16" ht="15.6" thickTop="1" thickBot="1" x14ac:dyDescent="0.35">
      <c r="A36" s="31">
        <v>31</v>
      </c>
      <c r="B36" s="32"/>
      <c r="C36" s="32"/>
      <c r="D36" s="32"/>
      <c r="E36" s="32"/>
      <c r="F36" s="32"/>
      <c r="G36" s="32"/>
      <c r="H36" s="32">
        <v>0</v>
      </c>
      <c r="I36" s="32">
        <v>0</v>
      </c>
      <c r="J36" s="34"/>
      <c r="K36" s="31">
        <v>31</v>
      </c>
      <c r="L36" s="54"/>
      <c r="M36" s="54"/>
      <c r="N36" s="54"/>
      <c r="O36" s="32">
        <v>0</v>
      </c>
      <c r="P36" s="46">
        <v>6135</v>
      </c>
    </row>
    <row r="37" spans="1:16" ht="15" thickTop="1" x14ac:dyDescent="0.3">
      <c r="A37" s="56" t="s">
        <v>19</v>
      </c>
      <c r="B37" s="57">
        <f>SUM(B6:B35)</f>
        <v>16921</v>
      </c>
      <c r="C37" s="57">
        <f>SUM(C6:C35)</f>
        <v>0</v>
      </c>
      <c r="D37" s="57">
        <f t="shared" ref="D37:G37" si="0">SUM(D6:D35)</f>
        <v>16625</v>
      </c>
      <c r="E37" s="57">
        <f t="shared" si="0"/>
        <v>4397</v>
      </c>
      <c r="F37" s="57">
        <f t="shared" si="0"/>
        <v>5781</v>
      </c>
      <c r="G37" s="57">
        <f t="shared" si="0"/>
        <v>12578</v>
      </c>
      <c r="H37" s="57">
        <f>SUM(H6:H35)</f>
        <v>0</v>
      </c>
      <c r="I37" s="57">
        <f>SUM(I6:I35)</f>
        <v>0</v>
      </c>
      <c r="J37" s="57"/>
      <c r="K37" s="57"/>
      <c r="L37" s="57">
        <v>0</v>
      </c>
      <c r="M37" s="57">
        <v>0</v>
      </c>
      <c r="N37" s="57">
        <v>0</v>
      </c>
      <c r="O37" s="57">
        <v>0</v>
      </c>
      <c r="P37" s="58"/>
    </row>
    <row r="38" spans="1:16" x14ac:dyDescent="0.3">
      <c r="A38" s="56" t="s">
        <v>19</v>
      </c>
      <c r="B38" s="137">
        <f>B37+C37</f>
        <v>16921</v>
      </c>
      <c r="C38" s="137"/>
      <c r="D38" s="57">
        <f>D37</f>
        <v>16625</v>
      </c>
      <c r="E38" s="57">
        <f t="shared" ref="E38:G38" si="1">E37</f>
        <v>4397</v>
      </c>
      <c r="F38" s="57">
        <f t="shared" si="1"/>
        <v>5781</v>
      </c>
      <c r="G38" s="57">
        <f t="shared" si="1"/>
        <v>12578</v>
      </c>
      <c r="H38" s="119">
        <f>SUM(B38:G38)</f>
        <v>56302</v>
      </c>
      <c r="I38" s="57">
        <v>0</v>
      </c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67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 t="s">
        <v>21</v>
      </c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116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4" spans="1:16" x14ac:dyDescent="0.3">
      <c r="B44" s="140"/>
    </row>
    <row r="45" spans="1:16" x14ac:dyDescent="0.3">
      <c r="A45" s="69"/>
      <c r="B45" s="116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141"/>
      <c r="C46" s="141"/>
      <c r="D46" s="141"/>
      <c r="E46" s="141"/>
      <c r="F46" s="141"/>
      <c r="G46" s="141"/>
      <c r="H46" s="63"/>
      <c r="I46" s="63"/>
      <c r="J46" s="63"/>
      <c r="K46" s="68"/>
      <c r="L46" s="63"/>
      <c r="M46" s="63"/>
      <c r="N46" s="63"/>
      <c r="O46" s="63"/>
      <c r="P46" s="58"/>
    </row>
    <row r="47" spans="1:16" x14ac:dyDescent="0.3">
      <c r="B47" s="140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C5A5-9B7C-4AF5-8413-5783A341C16F}">
  <dimension ref="A1:Z46"/>
  <sheetViews>
    <sheetView tabSelected="1" workbookViewId="0">
      <selection activeCell="I38" sqref="I38"/>
    </sheetView>
  </sheetViews>
  <sheetFormatPr baseColWidth="10" defaultRowHeight="14.4" x14ac:dyDescent="0.3"/>
  <cols>
    <col min="16" max="16" width="0" hidden="1" customWidth="1"/>
  </cols>
  <sheetData>
    <row r="1" spans="1:19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9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9" ht="15.6" x14ac:dyDescent="0.3">
      <c r="A3" s="135" t="s">
        <v>26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19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19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19" ht="15" thickBot="1" x14ac:dyDescent="0.35">
      <c r="A6" s="31">
        <v>1</v>
      </c>
      <c r="B6" s="32">
        <v>1145</v>
      </c>
      <c r="C6" s="32">
        <v>0</v>
      </c>
      <c r="D6" s="32">
        <v>889</v>
      </c>
      <c r="E6" s="32">
        <v>202</v>
      </c>
      <c r="F6" s="32">
        <v>249</v>
      </c>
      <c r="G6" s="32">
        <v>518</v>
      </c>
      <c r="H6" s="32">
        <v>0</v>
      </c>
      <c r="I6" s="32">
        <v>0</v>
      </c>
      <c r="J6" s="117"/>
      <c r="K6" s="31">
        <v>1</v>
      </c>
      <c r="L6" s="32">
        <v>0</v>
      </c>
      <c r="M6" s="32">
        <v>0</v>
      </c>
      <c r="N6" s="32">
        <v>0</v>
      </c>
      <c r="O6" s="32">
        <v>0</v>
      </c>
      <c r="P6" s="46">
        <v>6135</v>
      </c>
      <c r="Q6" s="58"/>
      <c r="R6" s="58"/>
      <c r="S6" s="58"/>
    </row>
    <row r="7" spans="1:19" ht="15.6" thickTop="1" thickBot="1" x14ac:dyDescent="0.35">
      <c r="A7" s="31">
        <v>2</v>
      </c>
      <c r="B7" s="32">
        <v>1183</v>
      </c>
      <c r="C7" s="32">
        <v>0</v>
      </c>
      <c r="D7" s="32">
        <v>900</v>
      </c>
      <c r="E7" s="32">
        <v>220</v>
      </c>
      <c r="F7" s="32">
        <v>244</v>
      </c>
      <c r="G7" s="32">
        <v>540</v>
      </c>
      <c r="H7" s="32">
        <v>0</v>
      </c>
      <c r="I7" s="32">
        <v>0</v>
      </c>
      <c r="J7" s="117"/>
      <c r="K7" s="31">
        <v>2</v>
      </c>
      <c r="L7" s="32">
        <v>0</v>
      </c>
      <c r="M7" s="32">
        <v>0</v>
      </c>
      <c r="N7" s="32">
        <v>0</v>
      </c>
      <c r="O7" s="32">
        <v>0</v>
      </c>
      <c r="P7" s="46">
        <v>6135</v>
      </c>
      <c r="Q7" s="58"/>
      <c r="R7" s="58"/>
      <c r="S7" s="58"/>
    </row>
    <row r="8" spans="1:19" ht="15.6" thickTop="1" thickBot="1" x14ac:dyDescent="0.35">
      <c r="A8" s="31">
        <v>3</v>
      </c>
      <c r="B8" s="32">
        <v>1144</v>
      </c>
      <c r="C8" s="32">
        <v>0</v>
      </c>
      <c r="D8" s="32">
        <v>782</v>
      </c>
      <c r="E8" s="32">
        <v>166</v>
      </c>
      <c r="F8" s="32">
        <v>223</v>
      </c>
      <c r="G8" s="32">
        <v>447</v>
      </c>
      <c r="H8" s="32">
        <v>0</v>
      </c>
      <c r="I8" s="32">
        <v>0</v>
      </c>
      <c r="J8" s="117"/>
      <c r="K8" s="31">
        <v>3</v>
      </c>
      <c r="L8" s="32">
        <v>0</v>
      </c>
      <c r="M8" s="32">
        <v>0</v>
      </c>
      <c r="N8" s="32">
        <v>0</v>
      </c>
      <c r="O8" s="32">
        <v>0</v>
      </c>
      <c r="P8" s="46">
        <v>6135</v>
      </c>
      <c r="Q8" s="58"/>
      <c r="R8" s="58"/>
      <c r="S8" s="63"/>
    </row>
    <row r="9" spans="1:19" ht="15.6" thickTop="1" thickBot="1" x14ac:dyDescent="0.35">
      <c r="A9" s="31">
        <v>4</v>
      </c>
      <c r="B9" s="32">
        <v>951</v>
      </c>
      <c r="C9" s="32">
        <v>0</v>
      </c>
      <c r="D9" s="32">
        <v>661</v>
      </c>
      <c r="E9" s="32">
        <v>168</v>
      </c>
      <c r="F9" s="32">
        <v>230</v>
      </c>
      <c r="G9" s="32">
        <v>343</v>
      </c>
      <c r="H9" s="32">
        <v>0</v>
      </c>
      <c r="I9" s="32">
        <v>0</v>
      </c>
      <c r="J9" s="117"/>
      <c r="K9" s="31">
        <v>4</v>
      </c>
      <c r="L9" s="32">
        <v>0</v>
      </c>
      <c r="M9" s="32">
        <v>0</v>
      </c>
      <c r="N9" s="32">
        <v>0</v>
      </c>
      <c r="O9" s="32">
        <v>0</v>
      </c>
      <c r="P9" s="46">
        <v>6135</v>
      </c>
      <c r="Q9" s="58"/>
      <c r="R9" s="58"/>
      <c r="S9" s="58"/>
    </row>
    <row r="10" spans="1:19" ht="15.6" thickTop="1" thickBot="1" x14ac:dyDescent="0.35">
      <c r="A10" s="31">
        <v>5</v>
      </c>
      <c r="B10" s="32">
        <v>933</v>
      </c>
      <c r="C10" s="32">
        <v>0</v>
      </c>
      <c r="D10" s="32">
        <v>451</v>
      </c>
      <c r="E10" s="32">
        <v>122</v>
      </c>
      <c r="F10" s="32">
        <v>154</v>
      </c>
      <c r="G10" s="32">
        <v>434</v>
      </c>
      <c r="H10" s="32">
        <v>0</v>
      </c>
      <c r="I10" s="32">
        <v>0</v>
      </c>
      <c r="J10" s="117"/>
      <c r="K10" s="31">
        <v>5</v>
      </c>
      <c r="L10" s="32">
        <v>0</v>
      </c>
      <c r="M10" s="32">
        <v>0</v>
      </c>
      <c r="N10" s="32">
        <v>0</v>
      </c>
      <c r="O10" s="32">
        <v>0</v>
      </c>
      <c r="P10" s="46">
        <v>6135</v>
      </c>
      <c r="Q10" s="58"/>
      <c r="R10" s="58"/>
      <c r="S10" s="58"/>
    </row>
    <row r="11" spans="1:19" ht="15.6" thickTop="1" thickBot="1" x14ac:dyDescent="0.35">
      <c r="A11" s="31">
        <v>6</v>
      </c>
      <c r="B11" s="32">
        <v>1051</v>
      </c>
      <c r="C11" s="32">
        <v>0</v>
      </c>
      <c r="D11" s="32">
        <v>745</v>
      </c>
      <c r="E11" s="32">
        <v>198</v>
      </c>
      <c r="F11" s="32">
        <v>222</v>
      </c>
      <c r="G11" s="32">
        <v>486</v>
      </c>
      <c r="H11" s="32">
        <v>0</v>
      </c>
      <c r="I11" s="32">
        <v>0</v>
      </c>
      <c r="J11" s="117"/>
      <c r="K11" s="31">
        <v>6</v>
      </c>
      <c r="L11" s="32">
        <v>0</v>
      </c>
      <c r="M11" s="32">
        <v>0</v>
      </c>
      <c r="N11" s="32">
        <v>0</v>
      </c>
      <c r="O11" s="32">
        <v>0</v>
      </c>
      <c r="P11" s="46">
        <v>6135</v>
      </c>
      <c r="Q11" s="58"/>
      <c r="R11" s="58"/>
      <c r="S11" s="58"/>
    </row>
    <row r="12" spans="1:19" ht="15.6" thickTop="1" thickBot="1" x14ac:dyDescent="0.35">
      <c r="A12" s="31">
        <v>7</v>
      </c>
      <c r="B12" s="32">
        <v>1088</v>
      </c>
      <c r="C12" s="32">
        <v>0</v>
      </c>
      <c r="D12" s="32">
        <v>894</v>
      </c>
      <c r="E12" s="32">
        <v>227</v>
      </c>
      <c r="F12" s="32">
        <v>273</v>
      </c>
      <c r="G12" s="32">
        <v>564</v>
      </c>
      <c r="H12" s="32">
        <v>0</v>
      </c>
      <c r="I12" s="32">
        <v>0</v>
      </c>
      <c r="J12" s="117"/>
      <c r="K12" s="31">
        <v>7</v>
      </c>
      <c r="L12" s="32">
        <v>0</v>
      </c>
      <c r="M12" s="32">
        <v>0</v>
      </c>
      <c r="N12" s="32">
        <v>0</v>
      </c>
      <c r="O12" s="32">
        <v>0</v>
      </c>
      <c r="P12" s="46">
        <v>6135</v>
      </c>
      <c r="Q12" s="58"/>
      <c r="R12" s="58"/>
      <c r="S12" s="58"/>
    </row>
    <row r="13" spans="1:19" ht="15.6" thickTop="1" thickBot="1" x14ac:dyDescent="0.35">
      <c r="A13" s="31">
        <v>8</v>
      </c>
      <c r="B13" s="32">
        <v>1113</v>
      </c>
      <c r="C13" s="32">
        <v>0</v>
      </c>
      <c r="D13" s="32">
        <v>881</v>
      </c>
      <c r="E13" s="32">
        <v>247</v>
      </c>
      <c r="F13" s="32">
        <v>267</v>
      </c>
      <c r="G13" s="32">
        <v>586</v>
      </c>
      <c r="H13" s="32">
        <v>0</v>
      </c>
      <c r="I13" s="32">
        <v>0</v>
      </c>
      <c r="J13" s="117"/>
      <c r="K13" s="31">
        <v>8</v>
      </c>
      <c r="L13" s="32">
        <v>0</v>
      </c>
      <c r="M13" s="32">
        <v>0</v>
      </c>
      <c r="N13" s="32">
        <v>0</v>
      </c>
      <c r="O13" s="32">
        <v>0</v>
      </c>
      <c r="P13" s="46">
        <v>6135</v>
      </c>
      <c r="Q13" s="58"/>
      <c r="R13" s="58"/>
      <c r="S13" s="58"/>
    </row>
    <row r="14" spans="1:19" ht="15.6" thickTop="1" thickBot="1" x14ac:dyDescent="0.35">
      <c r="A14" s="31">
        <v>9</v>
      </c>
      <c r="B14" s="32">
        <v>1181</v>
      </c>
      <c r="C14" s="32">
        <v>0</v>
      </c>
      <c r="D14" s="32">
        <v>930</v>
      </c>
      <c r="E14" s="32">
        <v>236</v>
      </c>
      <c r="F14" s="32">
        <v>329</v>
      </c>
      <c r="G14" s="32">
        <v>594</v>
      </c>
      <c r="H14" s="32">
        <v>0</v>
      </c>
      <c r="I14" s="32">
        <v>0</v>
      </c>
      <c r="J14" s="117"/>
      <c r="K14" s="31">
        <v>9</v>
      </c>
      <c r="L14" s="32">
        <v>0</v>
      </c>
      <c r="M14" s="32">
        <v>0</v>
      </c>
      <c r="N14" s="32">
        <v>0</v>
      </c>
      <c r="O14" s="32">
        <v>0</v>
      </c>
      <c r="P14" s="47">
        <v>6135</v>
      </c>
      <c r="Q14" s="66"/>
      <c r="R14" s="66"/>
      <c r="S14" s="66"/>
    </row>
    <row r="15" spans="1:19" ht="15.6" thickTop="1" thickBot="1" x14ac:dyDescent="0.35">
      <c r="A15" s="31">
        <v>10</v>
      </c>
      <c r="B15" s="32">
        <v>1273</v>
      </c>
      <c r="C15" s="32">
        <v>0</v>
      </c>
      <c r="D15" s="32">
        <v>805</v>
      </c>
      <c r="E15" s="32">
        <v>190</v>
      </c>
      <c r="F15" s="32">
        <v>274</v>
      </c>
      <c r="G15" s="32">
        <v>491</v>
      </c>
      <c r="H15" s="32">
        <v>0</v>
      </c>
      <c r="I15" s="32">
        <v>0</v>
      </c>
      <c r="J15" s="117"/>
      <c r="K15" s="31">
        <v>10</v>
      </c>
      <c r="L15" s="32">
        <v>0</v>
      </c>
      <c r="M15" s="32">
        <v>0</v>
      </c>
      <c r="N15" s="32">
        <v>0</v>
      </c>
      <c r="O15" s="32">
        <v>0</v>
      </c>
      <c r="P15" s="46">
        <v>6135</v>
      </c>
      <c r="Q15" s="58"/>
      <c r="R15" s="58"/>
      <c r="S15" s="58"/>
    </row>
    <row r="16" spans="1:19" ht="15.6" thickTop="1" thickBot="1" x14ac:dyDescent="0.35">
      <c r="A16" s="31">
        <v>11</v>
      </c>
      <c r="B16" s="32">
        <v>1048</v>
      </c>
      <c r="C16" s="32">
        <v>0</v>
      </c>
      <c r="D16" s="32">
        <v>655</v>
      </c>
      <c r="E16" s="32">
        <v>154</v>
      </c>
      <c r="F16" s="32">
        <v>289</v>
      </c>
      <c r="G16" s="32">
        <v>393</v>
      </c>
      <c r="H16" s="32">
        <v>0</v>
      </c>
      <c r="I16" s="32">
        <v>0</v>
      </c>
      <c r="J16" s="117"/>
      <c r="K16" s="31">
        <v>11</v>
      </c>
      <c r="L16" s="32">
        <v>0</v>
      </c>
      <c r="M16" s="32">
        <v>0</v>
      </c>
      <c r="N16" s="32">
        <v>0</v>
      </c>
      <c r="O16" s="32">
        <v>0</v>
      </c>
      <c r="P16" s="46">
        <v>6135</v>
      </c>
      <c r="Q16" s="58"/>
      <c r="R16" s="58"/>
      <c r="S16" s="58"/>
    </row>
    <row r="17" spans="1:26" ht="15.6" thickTop="1" thickBot="1" x14ac:dyDescent="0.35">
      <c r="A17" s="31">
        <v>12</v>
      </c>
      <c r="B17" s="32">
        <v>1050</v>
      </c>
      <c r="C17" s="32">
        <v>0</v>
      </c>
      <c r="D17" s="32">
        <v>508</v>
      </c>
      <c r="E17" s="32">
        <v>150</v>
      </c>
      <c r="F17" s="32">
        <v>179</v>
      </c>
      <c r="G17" s="32">
        <v>524</v>
      </c>
      <c r="H17" s="32">
        <v>0</v>
      </c>
      <c r="I17" s="32">
        <v>0</v>
      </c>
      <c r="J17" s="117"/>
      <c r="K17" s="31">
        <v>12</v>
      </c>
      <c r="L17" s="32">
        <v>0</v>
      </c>
      <c r="M17" s="32">
        <v>0</v>
      </c>
      <c r="N17" s="32">
        <v>0</v>
      </c>
      <c r="O17" s="32">
        <v>0</v>
      </c>
      <c r="P17" s="46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31">
        <v>13</v>
      </c>
      <c r="B18" s="32">
        <v>1088</v>
      </c>
      <c r="C18" s="32">
        <v>0</v>
      </c>
      <c r="D18" s="32">
        <v>761</v>
      </c>
      <c r="E18" s="32">
        <v>201</v>
      </c>
      <c r="F18" s="32">
        <v>231</v>
      </c>
      <c r="G18" s="32">
        <v>537</v>
      </c>
      <c r="H18" s="32">
        <v>0</v>
      </c>
      <c r="I18" s="32">
        <v>0</v>
      </c>
      <c r="J18" s="117"/>
      <c r="K18" s="31">
        <v>13</v>
      </c>
      <c r="L18" s="32">
        <v>0</v>
      </c>
      <c r="M18" s="32">
        <v>0</v>
      </c>
      <c r="N18" s="32">
        <v>0</v>
      </c>
      <c r="O18" s="32">
        <v>0</v>
      </c>
      <c r="P18" s="46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31">
        <v>14</v>
      </c>
      <c r="B19" s="32">
        <v>1097</v>
      </c>
      <c r="C19" s="32">
        <v>0</v>
      </c>
      <c r="D19" s="32">
        <v>947</v>
      </c>
      <c r="E19" s="32">
        <v>216</v>
      </c>
      <c r="F19" s="32">
        <v>261</v>
      </c>
      <c r="G19" s="32">
        <v>524</v>
      </c>
      <c r="H19" s="32">
        <v>0</v>
      </c>
      <c r="I19" s="32">
        <v>0</v>
      </c>
      <c r="J19" s="117"/>
      <c r="K19" s="31">
        <v>14</v>
      </c>
      <c r="L19" s="32">
        <v>0</v>
      </c>
      <c r="M19" s="32">
        <v>0</v>
      </c>
      <c r="N19" s="32">
        <v>0</v>
      </c>
      <c r="O19" s="32">
        <v>0</v>
      </c>
      <c r="P19" s="46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31">
        <v>15</v>
      </c>
      <c r="B20" s="32">
        <v>1178</v>
      </c>
      <c r="C20" s="32">
        <v>0</v>
      </c>
      <c r="D20" s="32">
        <v>932</v>
      </c>
      <c r="E20" s="32">
        <v>251</v>
      </c>
      <c r="F20" s="32">
        <v>280</v>
      </c>
      <c r="G20" s="32">
        <v>598</v>
      </c>
      <c r="H20" s="32">
        <v>0</v>
      </c>
      <c r="I20" s="32">
        <v>0</v>
      </c>
      <c r="J20" s="117"/>
      <c r="K20" s="31">
        <v>15</v>
      </c>
      <c r="L20" s="32">
        <v>0</v>
      </c>
      <c r="M20" s="32">
        <v>0</v>
      </c>
      <c r="N20" s="32">
        <v>0</v>
      </c>
      <c r="O20" s="32">
        <v>0</v>
      </c>
      <c r="P20" s="46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31">
        <v>16</v>
      </c>
      <c r="B21" s="32">
        <v>1203</v>
      </c>
      <c r="C21" s="32">
        <v>0</v>
      </c>
      <c r="D21" s="32">
        <v>903</v>
      </c>
      <c r="E21" s="32">
        <v>205</v>
      </c>
      <c r="F21" s="32">
        <v>285</v>
      </c>
      <c r="G21" s="32">
        <v>551</v>
      </c>
      <c r="H21" s="32">
        <v>0</v>
      </c>
      <c r="I21" s="32">
        <v>0</v>
      </c>
      <c r="J21" s="117"/>
      <c r="K21" s="31">
        <v>16</v>
      </c>
      <c r="L21" s="32">
        <v>0</v>
      </c>
      <c r="M21" s="32">
        <v>0</v>
      </c>
      <c r="N21" s="32">
        <v>0</v>
      </c>
      <c r="O21" s="32">
        <v>0</v>
      </c>
      <c r="P21" s="46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31">
        <v>17</v>
      </c>
      <c r="B22" s="32">
        <v>837</v>
      </c>
      <c r="C22" s="32">
        <v>0</v>
      </c>
      <c r="D22" s="32">
        <v>729</v>
      </c>
      <c r="E22" s="32">
        <v>182</v>
      </c>
      <c r="F22" s="32">
        <v>232</v>
      </c>
      <c r="G22" s="32">
        <v>423</v>
      </c>
      <c r="H22" s="32">
        <v>0</v>
      </c>
      <c r="I22" s="32">
        <v>0</v>
      </c>
      <c r="J22" s="117"/>
      <c r="K22" s="31">
        <v>17</v>
      </c>
      <c r="L22" s="32">
        <v>0</v>
      </c>
      <c r="M22" s="32">
        <v>0</v>
      </c>
      <c r="N22" s="32">
        <v>0</v>
      </c>
      <c r="O22" s="32">
        <v>0</v>
      </c>
      <c r="P22" s="46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31">
        <v>18</v>
      </c>
      <c r="B23" s="32">
        <v>578</v>
      </c>
      <c r="C23" s="32">
        <v>0</v>
      </c>
      <c r="D23" s="32">
        <v>442</v>
      </c>
      <c r="E23" s="32">
        <v>116</v>
      </c>
      <c r="F23" s="32">
        <v>179</v>
      </c>
      <c r="G23" s="32">
        <v>329</v>
      </c>
      <c r="H23" s="32">
        <v>0</v>
      </c>
      <c r="I23" s="32">
        <v>0</v>
      </c>
      <c r="J23" s="117"/>
      <c r="K23" s="31">
        <v>18</v>
      </c>
      <c r="L23" s="32">
        <v>0</v>
      </c>
      <c r="M23" s="32">
        <v>0</v>
      </c>
      <c r="N23" s="32">
        <v>0</v>
      </c>
      <c r="O23" s="32">
        <v>0</v>
      </c>
      <c r="P23" s="46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31">
        <v>19</v>
      </c>
      <c r="B24" s="32">
        <v>401</v>
      </c>
      <c r="C24" s="32">
        <v>0</v>
      </c>
      <c r="D24" s="32">
        <v>341</v>
      </c>
      <c r="E24" s="32">
        <v>92</v>
      </c>
      <c r="F24" s="32">
        <v>104</v>
      </c>
      <c r="G24" s="32">
        <v>280</v>
      </c>
      <c r="H24" s="32">
        <v>0</v>
      </c>
      <c r="I24" s="32">
        <v>0</v>
      </c>
      <c r="J24" s="117"/>
      <c r="K24" s="31">
        <v>19</v>
      </c>
      <c r="L24" s="32">
        <v>0</v>
      </c>
      <c r="M24" s="32">
        <v>0</v>
      </c>
      <c r="N24" s="32">
        <v>0</v>
      </c>
      <c r="O24" s="32">
        <v>0</v>
      </c>
      <c r="P24" s="46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31">
        <v>20</v>
      </c>
      <c r="B25" s="32">
        <v>687</v>
      </c>
      <c r="C25" s="32">
        <v>0</v>
      </c>
      <c r="D25" s="32">
        <v>455</v>
      </c>
      <c r="E25" s="32">
        <v>126</v>
      </c>
      <c r="F25" s="32">
        <v>106</v>
      </c>
      <c r="G25" s="32">
        <v>450</v>
      </c>
      <c r="H25" s="32">
        <v>0</v>
      </c>
      <c r="I25" s="32">
        <v>0</v>
      </c>
      <c r="J25" s="117"/>
      <c r="K25" s="31">
        <v>20</v>
      </c>
      <c r="L25" s="32">
        <v>0</v>
      </c>
      <c r="M25" s="32">
        <v>0</v>
      </c>
      <c r="N25" s="32">
        <v>0</v>
      </c>
      <c r="O25" s="32">
        <v>0</v>
      </c>
      <c r="P25" s="46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31">
        <v>21</v>
      </c>
      <c r="B26" s="32">
        <v>1189</v>
      </c>
      <c r="C26" s="32">
        <v>0</v>
      </c>
      <c r="D26" s="32">
        <v>764</v>
      </c>
      <c r="E26" s="32">
        <v>200</v>
      </c>
      <c r="F26" s="32">
        <v>242</v>
      </c>
      <c r="G26" s="32">
        <v>423</v>
      </c>
      <c r="H26" s="32">
        <v>0</v>
      </c>
      <c r="I26" s="32">
        <v>0</v>
      </c>
      <c r="J26" s="117"/>
      <c r="K26" s="31">
        <v>21</v>
      </c>
      <c r="L26" s="32">
        <v>0</v>
      </c>
      <c r="M26" s="32">
        <v>0</v>
      </c>
      <c r="N26" s="32">
        <v>0</v>
      </c>
      <c r="O26" s="32">
        <v>0</v>
      </c>
      <c r="P26" s="46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31">
        <v>22</v>
      </c>
      <c r="B27" s="32">
        <v>1113</v>
      </c>
      <c r="C27" s="32">
        <v>0</v>
      </c>
      <c r="D27" s="32">
        <v>980</v>
      </c>
      <c r="E27" s="32">
        <v>214</v>
      </c>
      <c r="F27" s="32">
        <v>275</v>
      </c>
      <c r="G27" s="32">
        <v>561</v>
      </c>
      <c r="H27" s="32">
        <v>0</v>
      </c>
      <c r="I27" s="32">
        <v>0</v>
      </c>
      <c r="J27" s="117"/>
      <c r="K27" s="31">
        <v>22</v>
      </c>
      <c r="L27" s="32">
        <v>0</v>
      </c>
      <c r="M27" s="32">
        <v>0</v>
      </c>
      <c r="N27" s="32">
        <v>0</v>
      </c>
      <c r="O27" s="32">
        <v>0</v>
      </c>
      <c r="P27" s="46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31">
        <v>23</v>
      </c>
      <c r="B28" s="32">
        <v>1093</v>
      </c>
      <c r="C28" s="32">
        <v>0</v>
      </c>
      <c r="D28" s="32">
        <v>899</v>
      </c>
      <c r="E28" s="32">
        <v>211</v>
      </c>
      <c r="F28" s="32">
        <v>256</v>
      </c>
      <c r="G28" s="32">
        <v>569</v>
      </c>
      <c r="H28" s="32">
        <v>0</v>
      </c>
      <c r="I28" s="32">
        <v>0</v>
      </c>
      <c r="J28" s="117"/>
      <c r="K28" s="31">
        <v>23</v>
      </c>
      <c r="L28" s="32">
        <v>0</v>
      </c>
      <c r="M28" s="32">
        <v>0</v>
      </c>
      <c r="N28" s="32">
        <v>0</v>
      </c>
      <c r="O28" s="32">
        <v>0</v>
      </c>
      <c r="P28" s="46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31">
        <v>24</v>
      </c>
      <c r="B29" s="32">
        <v>1121</v>
      </c>
      <c r="C29" s="32">
        <v>0</v>
      </c>
      <c r="D29" s="32">
        <v>745</v>
      </c>
      <c r="E29" s="32">
        <v>214</v>
      </c>
      <c r="F29" s="32">
        <v>235</v>
      </c>
      <c r="G29" s="32">
        <v>513</v>
      </c>
      <c r="H29" s="32">
        <v>0</v>
      </c>
      <c r="I29" s="32">
        <v>0</v>
      </c>
      <c r="J29" s="117"/>
      <c r="K29" s="31">
        <v>24</v>
      </c>
      <c r="L29" s="32">
        <v>0</v>
      </c>
      <c r="M29" s="32">
        <v>0</v>
      </c>
      <c r="N29" s="32">
        <v>0</v>
      </c>
      <c r="O29" s="32">
        <v>0</v>
      </c>
      <c r="P29" s="46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31">
        <v>25</v>
      </c>
      <c r="B30" s="32">
        <v>855</v>
      </c>
      <c r="C30" s="32">
        <v>0</v>
      </c>
      <c r="D30" s="32">
        <v>587</v>
      </c>
      <c r="E30" s="32">
        <v>142</v>
      </c>
      <c r="F30" s="32">
        <v>251</v>
      </c>
      <c r="G30" s="32">
        <v>450</v>
      </c>
      <c r="H30" s="32">
        <v>0</v>
      </c>
      <c r="I30" s="32">
        <v>0</v>
      </c>
      <c r="J30" s="117"/>
      <c r="K30" s="31">
        <v>25</v>
      </c>
      <c r="L30" s="32">
        <v>0</v>
      </c>
      <c r="M30" s="32">
        <v>0</v>
      </c>
      <c r="N30" s="32">
        <v>0</v>
      </c>
      <c r="O30" s="32">
        <v>0</v>
      </c>
      <c r="P30" s="46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31">
        <v>26</v>
      </c>
      <c r="B31" s="32">
        <v>841</v>
      </c>
      <c r="C31" s="32">
        <v>0</v>
      </c>
      <c r="D31" s="32">
        <v>472</v>
      </c>
      <c r="E31" s="32">
        <v>161</v>
      </c>
      <c r="F31" s="32">
        <v>153</v>
      </c>
      <c r="G31" s="32">
        <v>467</v>
      </c>
      <c r="H31" s="32">
        <v>0</v>
      </c>
      <c r="I31" s="32">
        <v>0</v>
      </c>
      <c r="J31" s="117"/>
      <c r="K31" s="31">
        <v>26</v>
      </c>
      <c r="L31" s="32">
        <v>0</v>
      </c>
      <c r="M31" s="32">
        <v>0</v>
      </c>
      <c r="N31" s="32">
        <v>0</v>
      </c>
      <c r="O31" s="32">
        <v>0</v>
      </c>
      <c r="P31" s="46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31">
        <v>27</v>
      </c>
      <c r="B32" s="32">
        <v>1022</v>
      </c>
      <c r="C32" s="32">
        <v>0</v>
      </c>
      <c r="D32" s="32">
        <v>736</v>
      </c>
      <c r="E32" s="32">
        <v>189</v>
      </c>
      <c r="F32" s="32">
        <v>234</v>
      </c>
      <c r="G32" s="32">
        <v>447</v>
      </c>
      <c r="H32" s="32">
        <v>0</v>
      </c>
      <c r="I32" s="32">
        <v>0</v>
      </c>
      <c r="J32" s="117"/>
      <c r="K32" s="31">
        <v>27</v>
      </c>
      <c r="L32" s="32">
        <v>0</v>
      </c>
      <c r="M32" s="32">
        <v>0</v>
      </c>
      <c r="N32" s="32">
        <v>0</v>
      </c>
      <c r="O32" s="32">
        <v>0</v>
      </c>
      <c r="P32" s="46">
        <v>6135</v>
      </c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16" ht="15.6" thickTop="1" thickBot="1" x14ac:dyDescent="0.35">
      <c r="A33" s="31">
        <v>28</v>
      </c>
      <c r="B33" s="32">
        <v>1057</v>
      </c>
      <c r="C33" s="32">
        <v>0</v>
      </c>
      <c r="D33" s="32">
        <v>879</v>
      </c>
      <c r="E33" s="32">
        <v>190</v>
      </c>
      <c r="F33" s="32">
        <v>258</v>
      </c>
      <c r="G33" s="32">
        <v>601</v>
      </c>
      <c r="H33" s="32">
        <v>0</v>
      </c>
      <c r="I33" s="32">
        <v>0</v>
      </c>
      <c r="J33" s="117"/>
      <c r="K33" s="31">
        <v>28</v>
      </c>
      <c r="L33" s="32">
        <v>0</v>
      </c>
      <c r="M33" s="32">
        <v>0</v>
      </c>
      <c r="N33" s="32">
        <v>0</v>
      </c>
      <c r="O33" s="32">
        <v>0</v>
      </c>
      <c r="P33" s="46">
        <v>6135</v>
      </c>
    </row>
    <row r="34" spans="1:16" ht="15.6" thickTop="1" thickBot="1" x14ac:dyDescent="0.35">
      <c r="A34" s="31">
        <v>29</v>
      </c>
      <c r="B34" s="32">
        <v>1086</v>
      </c>
      <c r="C34" s="32">
        <v>0</v>
      </c>
      <c r="D34" s="32">
        <v>870</v>
      </c>
      <c r="E34" s="32">
        <v>260</v>
      </c>
      <c r="F34" s="32">
        <v>288</v>
      </c>
      <c r="G34" s="32">
        <v>623</v>
      </c>
      <c r="H34" s="32">
        <v>0</v>
      </c>
      <c r="I34" s="32">
        <v>0</v>
      </c>
      <c r="J34" s="117"/>
      <c r="K34" s="31">
        <v>29</v>
      </c>
      <c r="L34" s="32">
        <v>0</v>
      </c>
      <c r="M34" s="32">
        <v>0</v>
      </c>
      <c r="N34" s="32">
        <v>0</v>
      </c>
      <c r="O34" s="32">
        <v>0</v>
      </c>
      <c r="P34" s="46">
        <v>6135</v>
      </c>
    </row>
    <row r="35" spans="1:16" ht="15.6" thickTop="1" thickBot="1" x14ac:dyDescent="0.35">
      <c r="A35" s="31">
        <v>30</v>
      </c>
      <c r="B35" s="32">
        <v>1271</v>
      </c>
      <c r="C35" s="32">
        <v>0</v>
      </c>
      <c r="D35" s="32">
        <v>962</v>
      </c>
      <c r="E35" s="32">
        <v>216</v>
      </c>
      <c r="F35" s="32">
        <v>281</v>
      </c>
      <c r="G35" s="32">
        <v>558</v>
      </c>
      <c r="H35" s="32">
        <v>0</v>
      </c>
      <c r="I35" s="32">
        <v>0</v>
      </c>
      <c r="J35" s="117"/>
      <c r="K35" s="31">
        <v>30</v>
      </c>
      <c r="L35" s="32">
        <v>0</v>
      </c>
      <c r="M35" s="32">
        <v>0</v>
      </c>
      <c r="N35" s="32">
        <v>0</v>
      </c>
      <c r="O35" s="32">
        <v>0</v>
      </c>
      <c r="P35" s="46">
        <v>6135</v>
      </c>
    </row>
    <row r="36" spans="1:16" ht="15.6" thickTop="1" thickBot="1" x14ac:dyDescent="0.35">
      <c r="A36" s="31">
        <v>31</v>
      </c>
      <c r="B36" s="32">
        <v>979</v>
      </c>
      <c r="C36" s="32">
        <v>0</v>
      </c>
      <c r="D36" s="32">
        <v>573</v>
      </c>
      <c r="E36" s="32">
        <v>128</v>
      </c>
      <c r="F36" s="32">
        <v>150</v>
      </c>
      <c r="G36" s="32">
        <v>337</v>
      </c>
      <c r="H36" s="32">
        <v>0</v>
      </c>
      <c r="I36" s="32">
        <v>0</v>
      </c>
      <c r="J36" s="117"/>
      <c r="K36" s="31">
        <v>31</v>
      </c>
      <c r="L36" s="32">
        <v>0</v>
      </c>
      <c r="M36" s="32">
        <v>0</v>
      </c>
      <c r="N36" s="32">
        <v>0</v>
      </c>
      <c r="O36" s="32">
        <v>0</v>
      </c>
      <c r="P36" s="46">
        <v>6135</v>
      </c>
    </row>
    <row r="37" spans="1:16" ht="15" thickTop="1" x14ac:dyDescent="0.3">
      <c r="A37" s="56" t="s">
        <v>19</v>
      </c>
      <c r="B37" s="118">
        <f>SUM(B6:B36)</f>
        <v>31856</v>
      </c>
      <c r="C37" s="118">
        <f t="shared" ref="C37:I37" si="0">SUM(C6:C36)</f>
        <v>0</v>
      </c>
      <c r="D37" s="118">
        <f t="shared" si="0"/>
        <v>23078</v>
      </c>
      <c r="E37" s="118">
        <f t="shared" si="0"/>
        <v>5794</v>
      </c>
      <c r="F37" s="118">
        <f t="shared" si="0"/>
        <v>7234</v>
      </c>
      <c r="G37" s="118">
        <f t="shared" si="0"/>
        <v>15161</v>
      </c>
      <c r="H37" s="57">
        <f t="shared" si="0"/>
        <v>0</v>
      </c>
      <c r="I37" s="57">
        <f t="shared" si="0"/>
        <v>0</v>
      </c>
      <c r="J37" s="32"/>
      <c r="K37" s="57"/>
      <c r="L37" s="57">
        <v>0</v>
      </c>
      <c r="M37" s="57">
        <v>0</v>
      </c>
      <c r="N37" s="57">
        <v>0</v>
      </c>
      <c r="O37" s="57">
        <v>0</v>
      </c>
      <c r="P37" s="58"/>
    </row>
    <row r="38" spans="1:16" x14ac:dyDescent="0.3">
      <c r="A38" s="56" t="s">
        <v>19</v>
      </c>
      <c r="B38" s="139">
        <f>B37+C37</f>
        <v>31856</v>
      </c>
      <c r="C38" s="139"/>
      <c r="D38" s="118">
        <f>D37</f>
        <v>23078</v>
      </c>
      <c r="E38" s="118">
        <f t="shared" ref="E38:G38" si="1">E37</f>
        <v>5794</v>
      </c>
      <c r="F38" s="118">
        <f t="shared" si="1"/>
        <v>7234</v>
      </c>
      <c r="G38" s="118">
        <f t="shared" si="1"/>
        <v>15161</v>
      </c>
      <c r="H38" s="112">
        <f>SUM(B38:G38)</f>
        <v>83123</v>
      </c>
      <c r="I38" s="57">
        <v>0</v>
      </c>
      <c r="J38" s="114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53"/>
      <c r="L40" s="52"/>
      <c r="M40" s="58"/>
      <c r="N40" s="58"/>
      <c r="O40" s="58"/>
      <c r="P40" s="58"/>
    </row>
    <row r="41" spans="1:16" x14ac:dyDescent="0.3">
      <c r="A41" s="63"/>
      <c r="B41" s="116"/>
      <c r="D41" s="116"/>
      <c r="E41" s="116"/>
      <c r="F41" s="116"/>
      <c r="G41" s="116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3C37-F8C5-4EA1-9CBB-C83FAE2D5C20}">
  <dimension ref="A1:Z46"/>
  <sheetViews>
    <sheetView topLeftCell="A21" workbookViewId="0">
      <selection activeCell="I38" sqref="I38"/>
    </sheetView>
  </sheetViews>
  <sheetFormatPr baseColWidth="10" defaultRowHeight="14.4" x14ac:dyDescent="0.3"/>
  <cols>
    <col min="16" max="16" width="0" hidden="1" customWidth="1"/>
  </cols>
  <sheetData>
    <row r="1" spans="1:26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6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ht="15.6" x14ac:dyDescent="0.3">
      <c r="A3" s="135" t="s">
        <v>27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26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26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26" ht="15" thickBot="1" x14ac:dyDescent="0.35">
      <c r="A6" s="31">
        <v>1</v>
      </c>
      <c r="B6" s="32">
        <v>2232</v>
      </c>
      <c r="C6" s="32">
        <v>0</v>
      </c>
      <c r="D6" s="32">
        <v>979</v>
      </c>
      <c r="E6" s="32">
        <v>203</v>
      </c>
      <c r="F6" s="32">
        <v>253</v>
      </c>
      <c r="G6" s="32">
        <v>403</v>
      </c>
      <c r="H6" s="32">
        <v>4070</v>
      </c>
      <c r="I6" s="32">
        <v>0</v>
      </c>
      <c r="J6" s="113"/>
      <c r="K6" s="31">
        <v>1</v>
      </c>
      <c r="L6" s="32">
        <v>2</v>
      </c>
      <c r="M6" s="32">
        <v>14</v>
      </c>
      <c r="N6" s="32">
        <v>1</v>
      </c>
      <c r="O6" s="32">
        <v>17</v>
      </c>
      <c r="P6" s="46">
        <v>6135</v>
      </c>
      <c r="Q6" s="58"/>
      <c r="R6" s="58"/>
      <c r="S6" s="58"/>
    </row>
    <row r="7" spans="1:26" ht="15.6" thickTop="1" thickBot="1" x14ac:dyDescent="0.35">
      <c r="A7" s="31">
        <v>2</v>
      </c>
      <c r="B7" s="32">
        <v>2056</v>
      </c>
      <c r="C7" s="32">
        <v>0</v>
      </c>
      <c r="D7" s="32">
        <v>1089</v>
      </c>
      <c r="E7" s="32">
        <v>200</v>
      </c>
      <c r="F7" s="32">
        <v>287</v>
      </c>
      <c r="G7" s="32">
        <v>556</v>
      </c>
      <c r="H7" s="32">
        <v>4188</v>
      </c>
      <c r="I7" s="32">
        <v>0</v>
      </c>
      <c r="J7" s="113"/>
      <c r="K7" s="31">
        <v>2</v>
      </c>
      <c r="L7" s="32">
        <v>2</v>
      </c>
      <c r="M7" s="32">
        <v>14</v>
      </c>
      <c r="N7" s="32">
        <v>14</v>
      </c>
      <c r="O7" s="32">
        <v>30</v>
      </c>
      <c r="P7" s="46">
        <v>6135</v>
      </c>
      <c r="Q7" s="58"/>
      <c r="R7" s="58"/>
      <c r="S7" s="58"/>
    </row>
    <row r="8" spans="1:26" ht="15.6" thickTop="1" thickBot="1" x14ac:dyDescent="0.35">
      <c r="A8" s="31">
        <v>3</v>
      </c>
      <c r="B8" s="32">
        <v>1992</v>
      </c>
      <c r="C8" s="32">
        <v>0</v>
      </c>
      <c r="D8" s="32">
        <v>1143</v>
      </c>
      <c r="E8" s="32">
        <v>217</v>
      </c>
      <c r="F8" s="32">
        <v>320</v>
      </c>
      <c r="G8" s="32">
        <v>599</v>
      </c>
      <c r="H8" s="32">
        <v>4271</v>
      </c>
      <c r="I8" s="32">
        <v>0</v>
      </c>
      <c r="J8" s="113"/>
      <c r="K8" s="31">
        <v>3</v>
      </c>
      <c r="L8" s="32">
        <v>4</v>
      </c>
      <c r="M8" s="32">
        <v>23</v>
      </c>
      <c r="N8" s="32">
        <v>7</v>
      </c>
      <c r="O8" s="32">
        <v>34</v>
      </c>
      <c r="P8" s="46">
        <v>6135</v>
      </c>
      <c r="Q8" s="58"/>
      <c r="R8" s="58"/>
      <c r="S8" s="63"/>
    </row>
    <row r="9" spans="1:26" ht="15.6" thickTop="1" thickBot="1" x14ac:dyDescent="0.35">
      <c r="A9" s="31">
        <v>4</v>
      </c>
      <c r="B9" s="32">
        <v>2129</v>
      </c>
      <c r="C9" s="32">
        <v>0</v>
      </c>
      <c r="D9" s="32">
        <v>1112</v>
      </c>
      <c r="E9" s="32">
        <v>218</v>
      </c>
      <c r="F9" s="32">
        <v>285</v>
      </c>
      <c r="G9" s="32">
        <v>572</v>
      </c>
      <c r="H9" s="32">
        <v>4316</v>
      </c>
      <c r="I9" s="32">
        <v>0</v>
      </c>
      <c r="J9" s="113"/>
      <c r="K9" s="31">
        <v>4</v>
      </c>
      <c r="L9" s="32">
        <v>7</v>
      </c>
      <c r="M9" s="32">
        <v>24</v>
      </c>
      <c r="N9" s="32">
        <v>6</v>
      </c>
      <c r="O9" s="32">
        <v>37</v>
      </c>
      <c r="P9" s="46">
        <v>6135</v>
      </c>
      <c r="Q9" s="58"/>
      <c r="R9" s="58"/>
      <c r="S9" s="58"/>
    </row>
    <row r="10" spans="1:26" ht="15.6" thickTop="1" thickBot="1" x14ac:dyDescent="0.35">
      <c r="A10" s="31">
        <v>5</v>
      </c>
      <c r="B10" s="32">
        <v>2200</v>
      </c>
      <c r="C10" s="32">
        <v>0</v>
      </c>
      <c r="D10" s="32">
        <v>1012</v>
      </c>
      <c r="E10" s="32">
        <v>155</v>
      </c>
      <c r="F10" s="32">
        <v>268</v>
      </c>
      <c r="G10" s="32">
        <v>535</v>
      </c>
      <c r="H10" s="32">
        <v>4170</v>
      </c>
      <c r="I10" s="32">
        <v>0</v>
      </c>
      <c r="J10" s="113"/>
      <c r="K10" s="31">
        <v>5</v>
      </c>
      <c r="L10" s="32">
        <v>17</v>
      </c>
      <c r="M10" s="32">
        <v>14</v>
      </c>
      <c r="N10" s="32">
        <v>3</v>
      </c>
      <c r="O10" s="32">
        <v>34</v>
      </c>
      <c r="P10" s="46">
        <v>6135</v>
      </c>
      <c r="Q10" s="58"/>
      <c r="R10" s="58"/>
      <c r="S10" s="58"/>
    </row>
    <row r="11" spans="1:26" ht="15.6" thickTop="1" thickBot="1" x14ac:dyDescent="0.35">
      <c r="A11" s="31">
        <v>6</v>
      </c>
      <c r="B11" s="32">
        <v>1872</v>
      </c>
      <c r="C11" s="32">
        <v>0</v>
      </c>
      <c r="D11" s="32">
        <v>774</v>
      </c>
      <c r="E11" s="32">
        <v>133</v>
      </c>
      <c r="F11" s="32">
        <v>244</v>
      </c>
      <c r="G11" s="32">
        <v>541</v>
      </c>
      <c r="H11" s="32">
        <v>3564</v>
      </c>
      <c r="I11" s="32">
        <v>0</v>
      </c>
      <c r="J11" s="113"/>
      <c r="K11" s="31">
        <v>6</v>
      </c>
      <c r="L11" s="32">
        <v>5</v>
      </c>
      <c r="M11" s="32">
        <v>10</v>
      </c>
      <c r="N11" s="32">
        <v>3</v>
      </c>
      <c r="O11" s="32">
        <v>18</v>
      </c>
      <c r="P11" s="46">
        <v>6135</v>
      </c>
      <c r="Q11" s="58"/>
      <c r="R11" s="58"/>
      <c r="S11" s="58"/>
    </row>
    <row r="12" spans="1:26" ht="15.6" thickTop="1" thickBot="1" x14ac:dyDescent="0.35">
      <c r="A12" s="31">
        <v>7</v>
      </c>
      <c r="B12" s="32">
        <v>1678</v>
      </c>
      <c r="C12" s="32">
        <v>0</v>
      </c>
      <c r="D12" s="32">
        <v>598</v>
      </c>
      <c r="E12" s="32">
        <v>134</v>
      </c>
      <c r="F12" s="32">
        <v>179</v>
      </c>
      <c r="G12" s="32">
        <v>428</v>
      </c>
      <c r="H12" s="32">
        <v>3017</v>
      </c>
      <c r="I12" s="32">
        <v>0</v>
      </c>
      <c r="J12" s="113"/>
      <c r="K12" s="31">
        <v>7</v>
      </c>
      <c r="L12" s="32">
        <v>3</v>
      </c>
      <c r="M12" s="32">
        <v>6</v>
      </c>
      <c r="N12" s="32">
        <v>0</v>
      </c>
      <c r="O12" s="32">
        <v>9</v>
      </c>
      <c r="P12" s="46">
        <v>6135</v>
      </c>
      <c r="Q12" s="58"/>
      <c r="R12" s="58"/>
      <c r="S12" s="58"/>
    </row>
    <row r="13" spans="1:26" ht="15.6" thickTop="1" thickBot="1" x14ac:dyDescent="0.35">
      <c r="A13" s="31">
        <v>8</v>
      </c>
      <c r="B13" s="32">
        <v>2168</v>
      </c>
      <c r="C13" s="32">
        <v>0</v>
      </c>
      <c r="D13" s="32">
        <v>923</v>
      </c>
      <c r="E13" s="32">
        <v>193</v>
      </c>
      <c r="F13" s="32">
        <v>274</v>
      </c>
      <c r="G13" s="32">
        <v>541</v>
      </c>
      <c r="H13" s="32">
        <v>4099</v>
      </c>
      <c r="I13" s="32">
        <v>0</v>
      </c>
      <c r="J13" s="113"/>
      <c r="K13" s="31">
        <v>8</v>
      </c>
      <c r="L13" s="32">
        <v>5</v>
      </c>
      <c r="M13" s="32">
        <v>22</v>
      </c>
      <c r="N13" s="32">
        <v>2</v>
      </c>
      <c r="O13" s="32">
        <v>29</v>
      </c>
      <c r="P13" s="46">
        <v>6135</v>
      </c>
      <c r="Q13" s="58"/>
      <c r="R13" s="58"/>
      <c r="S13" s="58"/>
    </row>
    <row r="14" spans="1:26" ht="15.6" thickTop="1" thickBot="1" x14ac:dyDescent="0.35">
      <c r="A14" s="31">
        <v>9</v>
      </c>
      <c r="B14" s="32">
        <v>2114</v>
      </c>
      <c r="C14" s="32">
        <v>0</v>
      </c>
      <c r="D14" s="32">
        <v>1114</v>
      </c>
      <c r="E14" s="32">
        <v>174</v>
      </c>
      <c r="F14" s="32">
        <v>294</v>
      </c>
      <c r="G14" s="32">
        <v>640</v>
      </c>
      <c r="H14" s="32">
        <v>4336</v>
      </c>
      <c r="I14" s="32">
        <v>0</v>
      </c>
      <c r="J14" s="113"/>
      <c r="K14" s="31">
        <v>9</v>
      </c>
      <c r="L14" s="32">
        <v>2</v>
      </c>
      <c r="M14" s="32">
        <v>14</v>
      </c>
      <c r="N14" s="32">
        <v>7</v>
      </c>
      <c r="O14" s="32">
        <v>23</v>
      </c>
      <c r="P14" s="47">
        <v>6135</v>
      </c>
      <c r="Q14" s="66"/>
      <c r="R14" s="66"/>
      <c r="S14" s="66"/>
    </row>
    <row r="15" spans="1:26" ht="15.6" thickTop="1" thickBot="1" x14ac:dyDescent="0.35">
      <c r="A15" s="31">
        <v>10</v>
      </c>
      <c r="B15" s="32">
        <v>2467</v>
      </c>
      <c r="C15" s="32">
        <v>0</v>
      </c>
      <c r="D15" s="32">
        <v>1233</v>
      </c>
      <c r="E15" s="32">
        <v>184</v>
      </c>
      <c r="F15" s="32">
        <v>344</v>
      </c>
      <c r="G15" s="32">
        <v>718</v>
      </c>
      <c r="H15" s="32">
        <v>4946</v>
      </c>
      <c r="I15" s="32">
        <v>0</v>
      </c>
      <c r="J15" s="113"/>
      <c r="K15" s="31">
        <v>10</v>
      </c>
      <c r="L15" s="32">
        <v>2</v>
      </c>
      <c r="M15" s="32">
        <v>18</v>
      </c>
      <c r="N15" s="32">
        <v>9</v>
      </c>
      <c r="O15" s="32">
        <v>29</v>
      </c>
      <c r="P15" s="46">
        <v>6135</v>
      </c>
      <c r="Q15" s="58"/>
      <c r="R15" s="58"/>
      <c r="S15" s="58"/>
    </row>
    <row r="16" spans="1:26" ht="15.6" thickTop="1" thickBot="1" x14ac:dyDescent="0.35">
      <c r="A16" s="31">
        <v>11</v>
      </c>
      <c r="B16" s="32">
        <v>2586</v>
      </c>
      <c r="C16" s="32">
        <v>0</v>
      </c>
      <c r="D16" s="32">
        <v>1287</v>
      </c>
      <c r="E16" s="32">
        <v>239</v>
      </c>
      <c r="F16" s="32">
        <v>332</v>
      </c>
      <c r="G16" s="32">
        <v>587</v>
      </c>
      <c r="H16" s="32">
        <v>5031</v>
      </c>
      <c r="I16" s="32">
        <v>0</v>
      </c>
      <c r="J16" s="113"/>
      <c r="K16" s="31">
        <v>11</v>
      </c>
      <c r="L16" s="32">
        <v>2</v>
      </c>
      <c r="M16" s="32">
        <v>23</v>
      </c>
      <c r="N16" s="32">
        <v>8</v>
      </c>
      <c r="O16" s="32">
        <v>33</v>
      </c>
      <c r="P16" s="46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31">
        <v>12</v>
      </c>
      <c r="B17" s="32">
        <v>2151</v>
      </c>
      <c r="C17" s="32">
        <v>0</v>
      </c>
      <c r="D17" s="32">
        <v>980</v>
      </c>
      <c r="E17" s="32">
        <v>182</v>
      </c>
      <c r="F17" s="32">
        <v>294</v>
      </c>
      <c r="G17" s="32">
        <v>479</v>
      </c>
      <c r="H17" s="32">
        <v>4086</v>
      </c>
      <c r="I17" s="32">
        <v>0</v>
      </c>
      <c r="J17" s="113"/>
      <c r="K17" s="31">
        <v>12</v>
      </c>
      <c r="L17" s="32">
        <v>4</v>
      </c>
      <c r="M17" s="32">
        <v>19</v>
      </c>
      <c r="N17" s="32">
        <v>1</v>
      </c>
      <c r="O17" s="32">
        <v>24</v>
      </c>
      <c r="P17" s="46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31">
        <v>13</v>
      </c>
      <c r="B18" s="32">
        <v>1396</v>
      </c>
      <c r="C18" s="32">
        <v>0</v>
      </c>
      <c r="D18" s="32">
        <v>647</v>
      </c>
      <c r="E18" s="32">
        <v>138</v>
      </c>
      <c r="F18" s="32">
        <v>209</v>
      </c>
      <c r="G18" s="32">
        <v>466</v>
      </c>
      <c r="H18" s="32">
        <v>2856</v>
      </c>
      <c r="I18" s="32">
        <v>0</v>
      </c>
      <c r="J18" s="113"/>
      <c r="K18" s="31">
        <v>13</v>
      </c>
      <c r="L18" s="32">
        <v>6</v>
      </c>
      <c r="M18" s="32">
        <v>16</v>
      </c>
      <c r="N18" s="32">
        <v>3</v>
      </c>
      <c r="O18" s="32">
        <v>25</v>
      </c>
      <c r="P18" s="46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31">
        <v>14</v>
      </c>
      <c r="B19" s="32">
        <v>909</v>
      </c>
      <c r="C19" s="32">
        <v>0</v>
      </c>
      <c r="D19" s="32">
        <v>456</v>
      </c>
      <c r="E19" s="32">
        <v>88</v>
      </c>
      <c r="F19" s="32">
        <v>158</v>
      </c>
      <c r="G19" s="32">
        <v>461</v>
      </c>
      <c r="H19" s="32">
        <v>2072</v>
      </c>
      <c r="I19" s="32">
        <v>0</v>
      </c>
      <c r="J19" s="113"/>
      <c r="K19" s="31">
        <v>14</v>
      </c>
      <c r="L19" s="32">
        <v>2</v>
      </c>
      <c r="M19" s="32">
        <v>2</v>
      </c>
      <c r="N19" s="32">
        <v>1</v>
      </c>
      <c r="O19" s="32">
        <v>5</v>
      </c>
      <c r="P19" s="46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31">
        <v>15</v>
      </c>
      <c r="B20" s="32">
        <v>1660</v>
      </c>
      <c r="C20" s="32">
        <v>0</v>
      </c>
      <c r="D20" s="32">
        <v>597</v>
      </c>
      <c r="E20" s="32">
        <v>132</v>
      </c>
      <c r="F20" s="32">
        <v>164</v>
      </c>
      <c r="G20" s="32">
        <v>497</v>
      </c>
      <c r="H20" s="32">
        <v>3050</v>
      </c>
      <c r="I20" s="32">
        <v>0</v>
      </c>
      <c r="J20" s="113"/>
      <c r="K20" s="31">
        <v>15</v>
      </c>
      <c r="L20" s="32">
        <v>18</v>
      </c>
      <c r="M20" s="32">
        <v>14</v>
      </c>
      <c r="N20" s="32">
        <v>1</v>
      </c>
      <c r="O20" s="32">
        <v>33</v>
      </c>
      <c r="P20" s="46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31">
        <v>16</v>
      </c>
      <c r="B21" s="32">
        <v>2759</v>
      </c>
      <c r="C21" s="32">
        <v>0</v>
      </c>
      <c r="D21" s="32">
        <v>1017</v>
      </c>
      <c r="E21" s="32">
        <v>198</v>
      </c>
      <c r="F21" s="32">
        <v>266</v>
      </c>
      <c r="G21" s="32">
        <v>426</v>
      </c>
      <c r="H21" s="32">
        <v>4666</v>
      </c>
      <c r="I21" s="32">
        <v>0</v>
      </c>
      <c r="J21" s="113"/>
      <c r="K21" s="31">
        <v>16</v>
      </c>
      <c r="L21" s="32">
        <v>0</v>
      </c>
      <c r="M21" s="32">
        <v>19</v>
      </c>
      <c r="N21" s="32">
        <v>0</v>
      </c>
      <c r="O21" s="32">
        <v>19</v>
      </c>
      <c r="P21" s="46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31">
        <v>17</v>
      </c>
      <c r="B22" s="32">
        <v>2837</v>
      </c>
      <c r="C22" s="32">
        <v>0</v>
      </c>
      <c r="D22" s="32">
        <v>1133</v>
      </c>
      <c r="E22" s="32">
        <v>196</v>
      </c>
      <c r="F22" s="32">
        <v>265</v>
      </c>
      <c r="G22" s="32">
        <v>493</v>
      </c>
      <c r="H22" s="32">
        <v>4924</v>
      </c>
      <c r="I22" s="32">
        <v>0</v>
      </c>
      <c r="J22" s="113"/>
      <c r="K22" s="31">
        <v>17</v>
      </c>
      <c r="L22" s="32">
        <v>3</v>
      </c>
      <c r="M22" s="32">
        <v>20</v>
      </c>
      <c r="N22" s="32">
        <v>5</v>
      </c>
      <c r="O22" s="32">
        <v>28</v>
      </c>
      <c r="P22" s="46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31">
        <v>18</v>
      </c>
      <c r="B23" s="32">
        <v>2775</v>
      </c>
      <c r="C23" s="32">
        <v>0</v>
      </c>
      <c r="D23" s="32">
        <v>1288</v>
      </c>
      <c r="E23" s="32">
        <v>194</v>
      </c>
      <c r="F23" s="32">
        <v>266</v>
      </c>
      <c r="G23" s="32">
        <v>390</v>
      </c>
      <c r="H23" s="32">
        <v>4913</v>
      </c>
      <c r="I23" s="32">
        <v>0</v>
      </c>
      <c r="J23" s="113"/>
      <c r="K23" s="31">
        <v>18</v>
      </c>
      <c r="L23" s="32">
        <v>2</v>
      </c>
      <c r="M23" s="32">
        <v>13</v>
      </c>
      <c r="N23" s="32">
        <v>3</v>
      </c>
      <c r="O23" s="32">
        <v>18</v>
      </c>
      <c r="P23" s="46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31">
        <v>19</v>
      </c>
      <c r="B24" s="32">
        <v>2160</v>
      </c>
      <c r="C24" s="32">
        <v>0</v>
      </c>
      <c r="D24" s="32">
        <v>1025</v>
      </c>
      <c r="E24" s="32">
        <v>169</v>
      </c>
      <c r="F24" s="32">
        <v>201</v>
      </c>
      <c r="G24" s="32">
        <v>291</v>
      </c>
      <c r="H24" s="32">
        <v>3846</v>
      </c>
      <c r="I24" s="32">
        <v>0</v>
      </c>
      <c r="J24" s="113"/>
      <c r="K24" s="31">
        <v>19</v>
      </c>
      <c r="L24" s="32">
        <v>2</v>
      </c>
      <c r="M24" s="32">
        <v>16</v>
      </c>
      <c r="N24" s="32">
        <v>3</v>
      </c>
      <c r="O24" s="32">
        <v>21</v>
      </c>
      <c r="P24" s="46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31">
        <v>20</v>
      </c>
      <c r="B25" s="32">
        <v>1622</v>
      </c>
      <c r="C25" s="32">
        <v>0</v>
      </c>
      <c r="D25" s="32">
        <v>684</v>
      </c>
      <c r="E25" s="32">
        <v>128</v>
      </c>
      <c r="F25" s="32">
        <v>168</v>
      </c>
      <c r="G25" s="32">
        <v>212</v>
      </c>
      <c r="H25" s="32">
        <v>2814</v>
      </c>
      <c r="I25" s="32">
        <v>0</v>
      </c>
      <c r="J25" s="113"/>
      <c r="K25" s="31">
        <v>20</v>
      </c>
      <c r="L25" s="32">
        <v>12</v>
      </c>
      <c r="M25" s="32">
        <v>10</v>
      </c>
      <c r="N25" s="32">
        <v>4</v>
      </c>
      <c r="O25" s="32">
        <v>26</v>
      </c>
      <c r="P25" s="46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31">
        <v>21</v>
      </c>
      <c r="B26" s="32">
        <v>967</v>
      </c>
      <c r="C26" s="32">
        <v>0</v>
      </c>
      <c r="D26" s="32">
        <v>450</v>
      </c>
      <c r="E26" s="32">
        <v>112</v>
      </c>
      <c r="F26" s="32">
        <v>121</v>
      </c>
      <c r="G26" s="32">
        <v>177</v>
      </c>
      <c r="H26" s="32">
        <v>1827</v>
      </c>
      <c r="I26" s="32">
        <v>0</v>
      </c>
      <c r="J26" s="113"/>
      <c r="K26" s="31">
        <v>21</v>
      </c>
      <c r="L26" s="32">
        <v>2</v>
      </c>
      <c r="M26" s="32">
        <v>6</v>
      </c>
      <c r="N26" s="32">
        <v>2</v>
      </c>
      <c r="O26" s="32">
        <v>10</v>
      </c>
      <c r="P26" s="46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31">
        <v>22</v>
      </c>
      <c r="B27" s="32">
        <v>1800</v>
      </c>
      <c r="C27" s="32">
        <v>0</v>
      </c>
      <c r="D27" s="32">
        <v>586</v>
      </c>
      <c r="E27" s="32">
        <v>131</v>
      </c>
      <c r="F27" s="32">
        <v>100</v>
      </c>
      <c r="G27" s="32">
        <v>244</v>
      </c>
      <c r="H27" s="32">
        <v>2861</v>
      </c>
      <c r="I27" s="32">
        <v>0</v>
      </c>
      <c r="J27" s="113"/>
      <c r="K27" s="31">
        <v>22</v>
      </c>
      <c r="L27" s="32">
        <v>1</v>
      </c>
      <c r="M27" s="32">
        <v>14</v>
      </c>
      <c r="N27" s="32">
        <v>1</v>
      </c>
      <c r="O27" s="32">
        <v>16</v>
      </c>
      <c r="P27" s="46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31">
        <v>23</v>
      </c>
      <c r="B28" s="32">
        <v>2903</v>
      </c>
      <c r="C28" s="32">
        <v>0</v>
      </c>
      <c r="D28" s="32">
        <v>982</v>
      </c>
      <c r="E28" s="32">
        <v>166</v>
      </c>
      <c r="F28" s="32">
        <v>174</v>
      </c>
      <c r="G28" s="32">
        <v>248</v>
      </c>
      <c r="H28" s="32">
        <v>4473</v>
      </c>
      <c r="I28" s="32">
        <v>0</v>
      </c>
      <c r="J28" s="113"/>
      <c r="K28" s="31">
        <v>23</v>
      </c>
      <c r="L28" s="32">
        <v>2</v>
      </c>
      <c r="M28" s="32">
        <v>15</v>
      </c>
      <c r="N28" s="32">
        <v>3</v>
      </c>
      <c r="O28" s="32">
        <v>20</v>
      </c>
      <c r="P28" s="46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31">
        <v>24</v>
      </c>
      <c r="B29" s="32">
        <v>2862</v>
      </c>
      <c r="C29" s="32">
        <v>0</v>
      </c>
      <c r="D29" s="32">
        <v>1182</v>
      </c>
      <c r="E29" s="32">
        <v>223</v>
      </c>
      <c r="F29" s="32">
        <v>257</v>
      </c>
      <c r="G29" s="32">
        <v>323</v>
      </c>
      <c r="H29" s="32">
        <v>4847</v>
      </c>
      <c r="I29" s="32">
        <v>0</v>
      </c>
      <c r="J29" s="113"/>
      <c r="K29" s="31">
        <v>24</v>
      </c>
      <c r="L29" s="32">
        <v>3</v>
      </c>
      <c r="M29" s="32">
        <v>16</v>
      </c>
      <c r="N29" s="32">
        <v>3</v>
      </c>
      <c r="O29" s="32">
        <v>22</v>
      </c>
      <c r="P29" s="46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31">
        <v>25</v>
      </c>
      <c r="B30" s="32">
        <v>2905</v>
      </c>
      <c r="C30" s="32">
        <v>0</v>
      </c>
      <c r="D30" s="32">
        <v>1224</v>
      </c>
      <c r="E30" s="32">
        <v>213</v>
      </c>
      <c r="F30" s="32">
        <v>234</v>
      </c>
      <c r="G30" s="32">
        <v>315</v>
      </c>
      <c r="H30" s="32">
        <v>4891</v>
      </c>
      <c r="I30" s="32">
        <v>0</v>
      </c>
      <c r="J30" s="113"/>
      <c r="K30" s="31">
        <v>25</v>
      </c>
      <c r="L30" s="32">
        <v>3</v>
      </c>
      <c r="M30" s="32">
        <v>16</v>
      </c>
      <c r="N30" s="32">
        <v>5</v>
      </c>
      <c r="O30" s="32">
        <v>24</v>
      </c>
      <c r="P30" s="46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31">
        <v>26</v>
      </c>
      <c r="B31" s="32">
        <v>2616</v>
      </c>
      <c r="C31" s="32">
        <v>0</v>
      </c>
      <c r="D31" s="32">
        <v>1002</v>
      </c>
      <c r="E31" s="32">
        <v>200</v>
      </c>
      <c r="F31" s="32">
        <v>206</v>
      </c>
      <c r="G31" s="32">
        <v>267</v>
      </c>
      <c r="H31" s="32">
        <v>4291</v>
      </c>
      <c r="I31" s="32">
        <v>0</v>
      </c>
      <c r="J31" s="113"/>
      <c r="K31" s="31">
        <v>26</v>
      </c>
      <c r="L31" s="32">
        <v>3</v>
      </c>
      <c r="M31" s="32">
        <v>20</v>
      </c>
      <c r="N31" s="32">
        <v>6</v>
      </c>
      <c r="O31" s="32">
        <v>29</v>
      </c>
      <c r="P31" s="46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31">
        <v>27</v>
      </c>
      <c r="B32" s="32">
        <v>1797</v>
      </c>
      <c r="C32" s="32">
        <v>0</v>
      </c>
      <c r="D32" s="32">
        <v>693</v>
      </c>
      <c r="E32" s="32">
        <v>147</v>
      </c>
      <c r="F32" s="32">
        <v>157</v>
      </c>
      <c r="G32" s="32">
        <v>192</v>
      </c>
      <c r="H32" s="32">
        <v>2986</v>
      </c>
      <c r="I32" s="32">
        <v>0</v>
      </c>
      <c r="J32" s="113"/>
      <c r="K32" s="31">
        <v>27</v>
      </c>
      <c r="L32" s="32">
        <v>3</v>
      </c>
      <c r="M32" s="32">
        <v>22</v>
      </c>
      <c r="N32" s="32">
        <v>5</v>
      </c>
      <c r="O32" s="32">
        <v>30</v>
      </c>
      <c r="P32" s="46">
        <v>6135</v>
      </c>
    </row>
    <row r="33" spans="1:16" ht="15.6" thickTop="1" thickBot="1" x14ac:dyDescent="0.35">
      <c r="A33" s="31">
        <v>28</v>
      </c>
      <c r="B33" s="32">
        <v>1247</v>
      </c>
      <c r="C33" s="32">
        <v>0</v>
      </c>
      <c r="D33" s="32">
        <v>489</v>
      </c>
      <c r="E33" s="32">
        <v>96</v>
      </c>
      <c r="F33" s="32">
        <v>118</v>
      </c>
      <c r="G33" s="32">
        <v>218</v>
      </c>
      <c r="H33" s="32">
        <v>2168</v>
      </c>
      <c r="I33" s="32">
        <v>0</v>
      </c>
      <c r="J33" s="113"/>
      <c r="K33" s="31">
        <v>28</v>
      </c>
      <c r="L33" s="32">
        <v>0</v>
      </c>
      <c r="M33" s="32">
        <v>7</v>
      </c>
      <c r="N33" s="32">
        <v>1</v>
      </c>
      <c r="O33" s="32">
        <v>8</v>
      </c>
      <c r="P33" s="46">
        <v>6135</v>
      </c>
    </row>
    <row r="34" spans="1:16" ht="15.6" thickTop="1" thickBot="1" x14ac:dyDescent="0.35">
      <c r="A34" s="31">
        <v>29</v>
      </c>
      <c r="B34" s="32">
        <v>2025</v>
      </c>
      <c r="C34" s="32">
        <v>0</v>
      </c>
      <c r="D34" s="32">
        <v>642</v>
      </c>
      <c r="E34" s="32">
        <v>149</v>
      </c>
      <c r="F34" s="32">
        <v>124</v>
      </c>
      <c r="G34" s="32">
        <v>255</v>
      </c>
      <c r="H34" s="32">
        <v>3195</v>
      </c>
      <c r="I34" s="32">
        <v>0</v>
      </c>
      <c r="J34" s="113"/>
      <c r="K34" s="31">
        <v>29</v>
      </c>
      <c r="L34" s="32">
        <v>0</v>
      </c>
      <c r="M34" s="32">
        <v>8</v>
      </c>
      <c r="N34" s="32">
        <v>1</v>
      </c>
      <c r="O34" s="32">
        <v>9</v>
      </c>
      <c r="P34" s="46">
        <v>6135</v>
      </c>
    </row>
    <row r="35" spans="1:16" ht="15.6" thickTop="1" thickBot="1" x14ac:dyDescent="0.35">
      <c r="A35" s="31">
        <v>30</v>
      </c>
      <c r="B35" s="32">
        <v>3127</v>
      </c>
      <c r="C35" s="32">
        <v>0</v>
      </c>
      <c r="D35" s="32">
        <v>971</v>
      </c>
      <c r="E35" s="32">
        <v>138</v>
      </c>
      <c r="F35" s="32">
        <v>161</v>
      </c>
      <c r="G35" s="32">
        <v>245</v>
      </c>
      <c r="H35" s="32">
        <v>4642</v>
      </c>
      <c r="I35" s="32">
        <v>0</v>
      </c>
      <c r="J35" s="113"/>
      <c r="K35" s="31">
        <v>30</v>
      </c>
      <c r="L35" s="32">
        <v>2</v>
      </c>
      <c r="M35" s="32">
        <v>16</v>
      </c>
      <c r="N35" s="32">
        <v>1</v>
      </c>
      <c r="O35" s="32">
        <v>19</v>
      </c>
      <c r="P35" s="46">
        <v>6135</v>
      </c>
    </row>
    <row r="36" spans="1:16" ht="15.6" thickTop="1" thickBot="1" x14ac:dyDescent="0.35">
      <c r="A36" s="31">
        <v>31</v>
      </c>
      <c r="B36" s="32"/>
      <c r="C36" s="32"/>
      <c r="D36" s="32"/>
      <c r="E36" s="32"/>
      <c r="F36" s="32"/>
      <c r="G36" s="32"/>
      <c r="H36" s="32">
        <v>0</v>
      </c>
      <c r="I36" s="32">
        <v>0</v>
      </c>
      <c r="J36" s="34"/>
      <c r="K36" s="31">
        <v>31</v>
      </c>
      <c r="L36" s="54">
        <v>0</v>
      </c>
      <c r="M36" s="54">
        <v>0</v>
      </c>
      <c r="N36" s="54">
        <v>0</v>
      </c>
      <c r="O36" s="32">
        <v>0</v>
      </c>
      <c r="P36" s="46">
        <v>6135</v>
      </c>
    </row>
    <row r="37" spans="1:16" ht="15" thickTop="1" x14ac:dyDescent="0.3">
      <c r="A37" s="56" t="s">
        <v>19</v>
      </c>
      <c r="B37" s="57">
        <v>64012</v>
      </c>
      <c r="C37" s="57">
        <v>0</v>
      </c>
      <c r="D37" s="57">
        <v>27312</v>
      </c>
      <c r="E37" s="57">
        <v>5050</v>
      </c>
      <c r="F37" s="57">
        <v>6723</v>
      </c>
      <c r="G37" s="57">
        <v>12319</v>
      </c>
      <c r="H37" s="57">
        <v>115416</v>
      </c>
      <c r="I37" s="57">
        <v>0</v>
      </c>
      <c r="J37" s="57"/>
      <c r="K37" s="57"/>
      <c r="L37" s="57">
        <v>119</v>
      </c>
      <c r="M37" s="57">
        <v>453</v>
      </c>
      <c r="N37" s="57">
        <v>109</v>
      </c>
      <c r="O37" s="112">
        <v>681</v>
      </c>
      <c r="P37" s="58"/>
    </row>
    <row r="38" spans="1:16" x14ac:dyDescent="0.3">
      <c r="A38" s="56" t="s">
        <v>19</v>
      </c>
      <c r="B38" s="137">
        <v>64012</v>
      </c>
      <c r="C38" s="137"/>
      <c r="D38" s="57">
        <v>27312</v>
      </c>
      <c r="E38" s="57">
        <v>5050</v>
      </c>
      <c r="F38" s="57">
        <v>6723</v>
      </c>
      <c r="G38" s="57">
        <v>12319</v>
      </c>
      <c r="H38" s="112">
        <v>115416</v>
      </c>
      <c r="I38" s="57">
        <v>0</v>
      </c>
      <c r="J38" s="114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F6B3-EEC1-407A-9C40-98AE53721337}">
  <dimension ref="A1:Z46"/>
  <sheetViews>
    <sheetView workbookViewId="0">
      <selection activeCell="J11" sqref="J11"/>
    </sheetView>
  </sheetViews>
  <sheetFormatPr baseColWidth="10" defaultRowHeight="14.4" x14ac:dyDescent="0.3"/>
  <sheetData>
    <row r="1" spans="1:26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6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ht="15.6" x14ac:dyDescent="0.3">
      <c r="A3" s="135" t="s">
        <v>28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26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26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26" ht="15" thickBot="1" x14ac:dyDescent="0.35">
      <c r="A6" s="31">
        <v>1</v>
      </c>
      <c r="B6" s="32">
        <v>2991</v>
      </c>
      <c r="C6" s="32">
        <v>0</v>
      </c>
      <c r="D6" s="32">
        <v>1190</v>
      </c>
      <c r="E6" s="32">
        <v>202</v>
      </c>
      <c r="F6" s="32">
        <v>221</v>
      </c>
      <c r="G6" s="32">
        <v>326</v>
      </c>
      <c r="H6" s="32">
        <v>4930</v>
      </c>
      <c r="I6" s="32">
        <v>0</v>
      </c>
      <c r="J6" s="113"/>
      <c r="K6" s="31">
        <v>1</v>
      </c>
      <c r="L6" s="32">
        <v>13</v>
      </c>
      <c r="M6" s="32">
        <v>14</v>
      </c>
      <c r="N6" s="32">
        <v>5</v>
      </c>
      <c r="O6" s="32">
        <v>32</v>
      </c>
      <c r="P6" s="46">
        <v>6135</v>
      </c>
      <c r="Q6" s="58"/>
      <c r="R6" s="58"/>
      <c r="S6" s="58"/>
    </row>
    <row r="7" spans="1:26" ht="15.6" thickTop="1" thickBot="1" x14ac:dyDescent="0.35">
      <c r="A7" s="31">
        <v>2</v>
      </c>
      <c r="B7" s="32">
        <v>3090</v>
      </c>
      <c r="C7" s="32">
        <v>0</v>
      </c>
      <c r="D7" s="32">
        <v>1204</v>
      </c>
      <c r="E7" s="32">
        <v>221</v>
      </c>
      <c r="F7" s="32">
        <v>217</v>
      </c>
      <c r="G7" s="32">
        <v>340</v>
      </c>
      <c r="H7" s="32">
        <v>5072</v>
      </c>
      <c r="I7" s="32">
        <v>0</v>
      </c>
      <c r="J7" s="113"/>
      <c r="K7" s="31">
        <v>2</v>
      </c>
      <c r="L7" s="32">
        <v>2</v>
      </c>
      <c r="M7" s="32">
        <v>18</v>
      </c>
      <c r="N7" s="32">
        <v>1</v>
      </c>
      <c r="O7" s="32">
        <v>21</v>
      </c>
      <c r="P7" s="46">
        <v>6135</v>
      </c>
      <c r="Q7" s="58"/>
      <c r="R7" s="58"/>
      <c r="S7" s="58"/>
    </row>
    <row r="8" spans="1:26" ht="15.6" thickTop="1" thickBot="1" x14ac:dyDescent="0.35">
      <c r="A8" s="31">
        <v>3</v>
      </c>
      <c r="B8" s="32">
        <v>2990</v>
      </c>
      <c r="C8" s="32">
        <v>0</v>
      </c>
      <c r="D8" s="32">
        <v>1047</v>
      </c>
      <c r="E8" s="32">
        <v>166</v>
      </c>
      <c r="F8" s="32">
        <v>198</v>
      </c>
      <c r="G8" s="32">
        <v>281</v>
      </c>
      <c r="H8" s="32">
        <v>4682</v>
      </c>
      <c r="I8" s="32">
        <v>0</v>
      </c>
      <c r="J8" s="113"/>
      <c r="K8" s="31">
        <v>3</v>
      </c>
      <c r="L8" s="32">
        <v>4</v>
      </c>
      <c r="M8" s="32">
        <v>12</v>
      </c>
      <c r="N8" s="32">
        <v>4</v>
      </c>
      <c r="O8" s="32">
        <v>20</v>
      </c>
      <c r="P8" s="46">
        <v>6135</v>
      </c>
      <c r="Q8" s="58"/>
      <c r="R8" s="58"/>
      <c r="S8" s="63"/>
    </row>
    <row r="9" spans="1:26" ht="15.6" thickTop="1" thickBot="1" x14ac:dyDescent="0.35">
      <c r="A9" s="31">
        <v>4</v>
      </c>
      <c r="B9" s="32">
        <v>2484</v>
      </c>
      <c r="C9" s="32">
        <v>0</v>
      </c>
      <c r="D9" s="32">
        <v>884</v>
      </c>
      <c r="E9" s="32">
        <v>168</v>
      </c>
      <c r="F9" s="32">
        <v>204</v>
      </c>
      <c r="G9" s="32">
        <v>216</v>
      </c>
      <c r="H9" s="32">
        <v>3956</v>
      </c>
      <c r="I9" s="32">
        <v>0</v>
      </c>
      <c r="J9" s="113"/>
      <c r="K9" s="31">
        <v>4</v>
      </c>
      <c r="L9" s="32">
        <v>3</v>
      </c>
      <c r="M9" s="32">
        <v>18</v>
      </c>
      <c r="N9" s="32">
        <v>6</v>
      </c>
      <c r="O9" s="32">
        <v>27</v>
      </c>
      <c r="P9" s="46">
        <v>6135</v>
      </c>
      <c r="Q9" s="58"/>
      <c r="R9" s="58"/>
      <c r="S9" s="58"/>
    </row>
    <row r="10" spans="1:26" ht="15.6" thickTop="1" thickBot="1" x14ac:dyDescent="0.35">
      <c r="A10" s="31">
        <v>5</v>
      </c>
      <c r="B10" s="32">
        <v>2438</v>
      </c>
      <c r="C10" s="32">
        <v>0</v>
      </c>
      <c r="D10" s="32">
        <v>604</v>
      </c>
      <c r="E10" s="32">
        <v>122</v>
      </c>
      <c r="F10" s="32">
        <v>138</v>
      </c>
      <c r="G10" s="32">
        <v>273</v>
      </c>
      <c r="H10" s="32">
        <v>3575</v>
      </c>
      <c r="I10" s="32">
        <v>0</v>
      </c>
      <c r="J10" s="113"/>
      <c r="K10" s="31">
        <v>5</v>
      </c>
      <c r="L10" s="32">
        <v>6</v>
      </c>
      <c r="M10" s="32">
        <v>6</v>
      </c>
      <c r="N10" s="32">
        <v>0</v>
      </c>
      <c r="O10" s="32">
        <v>12</v>
      </c>
      <c r="P10" s="46">
        <v>6135</v>
      </c>
      <c r="Q10" s="58"/>
      <c r="R10" s="58"/>
      <c r="S10" s="58"/>
    </row>
    <row r="11" spans="1:26" ht="15.6" thickTop="1" thickBot="1" x14ac:dyDescent="0.35">
      <c r="A11" s="31">
        <v>6</v>
      </c>
      <c r="B11" s="32">
        <v>2746</v>
      </c>
      <c r="C11" s="32">
        <v>0</v>
      </c>
      <c r="D11" s="32">
        <v>997</v>
      </c>
      <c r="E11" s="32">
        <v>198</v>
      </c>
      <c r="F11" s="32">
        <v>197</v>
      </c>
      <c r="G11" s="32">
        <v>306</v>
      </c>
      <c r="H11" s="32">
        <v>4444</v>
      </c>
      <c r="I11" s="32">
        <v>0</v>
      </c>
      <c r="J11" s="113"/>
      <c r="K11" s="31">
        <v>6</v>
      </c>
      <c r="L11" s="32">
        <v>16</v>
      </c>
      <c r="M11" s="32">
        <v>22</v>
      </c>
      <c r="N11" s="32">
        <v>0</v>
      </c>
      <c r="O11" s="32">
        <v>38</v>
      </c>
      <c r="P11" s="46">
        <v>6135</v>
      </c>
      <c r="Q11" s="58"/>
      <c r="R11" s="58"/>
      <c r="S11" s="58"/>
    </row>
    <row r="12" spans="1:26" ht="15.6" thickTop="1" thickBot="1" x14ac:dyDescent="0.35">
      <c r="A12" s="31">
        <v>7</v>
      </c>
      <c r="B12" s="32">
        <v>2843</v>
      </c>
      <c r="C12" s="32">
        <v>0</v>
      </c>
      <c r="D12" s="32">
        <v>1196</v>
      </c>
      <c r="E12" s="32">
        <v>228</v>
      </c>
      <c r="F12" s="32">
        <v>243</v>
      </c>
      <c r="G12" s="32">
        <v>355</v>
      </c>
      <c r="H12" s="32">
        <v>4865</v>
      </c>
      <c r="I12" s="32">
        <v>0</v>
      </c>
      <c r="J12" s="113"/>
      <c r="K12" s="31">
        <v>7</v>
      </c>
      <c r="L12" s="32">
        <v>3</v>
      </c>
      <c r="M12" s="32">
        <v>24</v>
      </c>
      <c r="N12" s="32">
        <v>3</v>
      </c>
      <c r="O12" s="32">
        <v>30</v>
      </c>
      <c r="P12" s="46">
        <v>6135</v>
      </c>
      <c r="Q12" s="58"/>
      <c r="R12" s="58"/>
      <c r="S12" s="58"/>
    </row>
    <row r="13" spans="1:26" ht="15.6" thickTop="1" thickBot="1" x14ac:dyDescent="0.35">
      <c r="A13" s="31">
        <v>8</v>
      </c>
      <c r="B13" s="32">
        <v>2907</v>
      </c>
      <c r="C13" s="32">
        <v>0</v>
      </c>
      <c r="D13" s="32">
        <v>1179</v>
      </c>
      <c r="E13" s="32">
        <v>249</v>
      </c>
      <c r="F13" s="32">
        <v>237</v>
      </c>
      <c r="G13" s="32">
        <v>369</v>
      </c>
      <c r="H13" s="32">
        <v>4941</v>
      </c>
      <c r="I13" s="32">
        <v>0</v>
      </c>
      <c r="J13" s="113"/>
      <c r="K13" s="31">
        <v>8</v>
      </c>
      <c r="L13" s="32">
        <v>4</v>
      </c>
      <c r="M13" s="32">
        <v>16</v>
      </c>
      <c r="N13" s="32">
        <v>9</v>
      </c>
      <c r="O13" s="32">
        <v>29</v>
      </c>
      <c r="P13" s="46">
        <v>6135</v>
      </c>
      <c r="Q13" s="58"/>
      <c r="R13" s="58"/>
      <c r="S13" s="58"/>
    </row>
    <row r="14" spans="1:26" ht="15.6" thickTop="1" thickBot="1" x14ac:dyDescent="0.35">
      <c r="A14" s="31">
        <v>9</v>
      </c>
      <c r="B14" s="32">
        <v>3085</v>
      </c>
      <c r="C14" s="32">
        <v>0</v>
      </c>
      <c r="D14" s="32">
        <v>1245</v>
      </c>
      <c r="E14" s="32">
        <v>236</v>
      </c>
      <c r="F14" s="32">
        <v>292</v>
      </c>
      <c r="G14" s="32">
        <v>374</v>
      </c>
      <c r="H14" s="32">
        <v>5232</v>
      </c>
      <c r="I14" s="32">
        <v>0</v>
      </c>
      <c r="J14" s="113"/>
      <c r="K14" s="31">
        <v>9</v>
      </c>
      <c r="L14" s="32">
        <v>6</v>
      </c>
      <c r="M14" s="32">
        <v>18</v>
      </c>
      <c r="N14" s="32">
        <v>4</v>
      </c>
      <c r="O14" s="32">
        <v>28</v>
      </c>
      <c r="P14" s="47">
        <v>6135</v>
      </c>
      <c r="Q14" s="66"/>
      <c r="R14" s="66"/>
      <c r="S14" s="66"/>
    </row>
    <row r="15" spans="1:26" ht="15.6" thickTop="1" thickBot="1" x14ac:dyDescent="0.35">
      <c r="A15" s="31">
        <v>10</v>
      </c>
      <c r="B15" s="32">
        <v>3327</v>
      </c>
      <c r="C15" s="32">
        <v>0</v>
      </c>
      <c r="D15" s="32">
        <v>1078</v>
      </c>
      <c r="E15" s="32">
        <v>190</v>
      </c>
      <c r="F15" s="32">
        <v>244</v>
      </c>
      <c r="G15" s="32">
        <v>309</v>
      </c>
      <c r="H15" s="32">
        <v>5148</v>
      </c>
      <c r="I15" s="32">
        <v>0</v>
      </c>
      <c r="J15" s="113"/>
      <c r="K15" s="31">
        <v>10</v>
      </c>
      <c r="L15" s="32">
        <v>5</v>
      </c>
      <c r="M15" s="32">
        <v>14</v>
      </c>
      <c r="N15" s="32">
        <v>8</v>
      </c>
      <c r="O15" s="32">
        <v>27</v>
      </c>
      <c r="P15" s="46">
        <v>6135</v>
      </c>
      <c r="Q15" s="58"/>
      <c r="R15" s="58"/>
      <c r="S15" s="58"/>
    </row>
    <row r="16" spans="1:26" ht="15.6" thickTop="1" thickBot="1" x14ac:dyDescent="0.35">
      <c r="A16" s="31">
        <v>11</v>
      </c>
      <c r="B16" s="32">
        <v>2737</v>
      </c>
      <c r="C16" s="32">
        <v>0</v>
      </c>
      <c r="D16" s="32">
        <v>876</v>
      </c>
      <c r="E16" s="32">
        <v>154</v>
      </c>
      <c r="F16" s="32">
        <v>257</v>
      </c>
      <c r="G16" s="32">
        <v>247</v>
      </c>
      <c r="H16" s="32">
        <v>4271</v>
      </c>
      <c r="I16" s="32">
        <v>0</v>
      </c>
      <c r="J16" s="113"/>
      <c r="K16" s="31">
        <v>11</v>
      </c>
      <c r="L16" s="32">
        <v>16</v>
      </c>
      <c r="M16" s="32">
        <v>25</v>
      </c>
      <c r="N16" s="32">
        <v>5</v>
      </c>
      <c r="O16" s="32">
        <v>46</v>
      </c>
      <c r="P16" s="46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31">
        <v>12</v>
      </c>
      <c r="B17" s="32">
        <v>2743</v>
      </c>
      <c r="C17" s="32">
        <v>0</v>
      </c>
      <c r="D17" s="32">
        <v>680</v>
      </c>
      <c r="E17" s="32">
        <v>150</v>
      </c>
      <c r="F17" s="32">
        <v>159</v>
      </c>
      <c r="G17" s="32">
        <v>330</v>
      </c>
      <c r="H17" s="32">
        <v>4062</v>
      </c>
      <c r="I17" s="32">
        <v>0</v>
      </c>
      <c r="J17" s="113"/>
      <c r="K17" s="31">
        <v>12</v>
      </c>
      <c r="L17" s="32">
        <v>5</v>
      </c>
      <c r="M17" s="32">
        <v>6</v>
      </c>
      <c r="N17" s="32">
        <v>1</v>
      </c>
      <c r="O17" s="32">
        <v>12</v>
      </c>
      <c r="P17" s="46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31">
        <v>13</v>
      </c>
      <c r="B18" s="32">
        <v>2843</v>
      </c>
      <c r="C18" s="32">
        <v>0</v>
      </c>
      <c r="D18" s="32">
        <v>1019</v>
      </c>
      <c r="E18" s="32">
        <v>201</v>
      </c>
      <c r="F18" s="32">
        <v>205</v>
      </c>
      <c r="G18" s="32">
        <v>338</v>
      </c>
      <c r="H18" s="32">
        <v>4606</v>
      </c>
      <c r="I18" s="32">
        <v>0</v>
      </c>
      <c r="J18" s="113"/>
      <c r="K18" s="31">
        <v>13</v>
      </c>
      <c r="L18" s="32">
        <v>8</v>
      </c>
      <c r="M18" s="32">
        <v>13</v>
      </c>
      <c r="N18" s="32">
        <v>2</v>
      </c>
      <c r="O18" s="32">
        <v>23</v>
      </c>
      <c r="P18" s="46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31">
        <v>14</v>
      </c>
      <c r="B19" s="32">
        <v>2867</v>
      </c>
      <c r="C19" s="32">
        <v>0</v>
      </c>
      <c r="D19" s="32">
        <v>1267</v>
      </c>
      <c r="E19" s="32">
        <v>217</v>
      </c>
      <c r="F19" s="32">
        <v>232</v>
      </c>
      <c r="G19" s="32">
        <v>330</v>
      </c>
      <c r="H19" s="32">
        <v>4913</v>
      </c>
      <c r="I19" s="32">
        <v>0</v>
      </c>
      <c r="J19" s="113"/>
      <c r="K19" s="31">
        <v>14</v>
      </c>
      <c r="L19" s="32">
        <v>6</v>
      </c>
      <c r="M19" s="32">
        <v>18</v>
      </c>
      <c r="N19" s="32">
        <v>7</v>
      </c>
      <c r="O19" s="32">
        <v>31</v>
      </c>
      <c r="P19" s="46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31">
        <v>15</v>
      </c>
      <c r="B20" s="32">
        <v>3079</v>
      </c>
      <c r="C20" s="32">
        <v>0</v>
      </c>
      <c r="D20" s="32">
        <v>1248</v>
      </c>
      <c r="E20" s="32">
        <v>252</v>
      </c>
      <c r="F20" s="32">
        <v>249</v>
      </c>
      <c r="G20" s="32">
        <v>376</v>
      </c>
      <c r="H20" s="32">
        <v>5204</v>
      </c>
      <c r="I20" s="32">
        <v>0</v>
      </c>
      <c r="J20" s="113"/>
      <c r="K20" s="31">
        <v>15</v>
      </c>
      <c r="L20" s="32">
        <v>4</v>
      </c>
      <c r="M20" s="32">
        <v>14</v>
      </c>
      <c r="N20" s="32">
        <v>2</v>
      </c>
      <c r="O20" s="32">
        <v>20</v>
      </c>
      <c r="P20" s="46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31">
        <v>16</v>
      </c>
      <c r="B21" s="32">
        <v>3143</v>
      </c>
      <c r="C21" s="32">
        <v>0</v>
      </c>
      <c r="D21" s="32">
        <v>1208</v>
      </c>
      <c r="E21" s="32">
        <v>205</v>
      </c>
      <c r="F21" s="32">
        <v>254</v>
      </c>
      <c r="G21" s="32">
        <v>347</v>
      </c>
      <c r="H21" s="32">
        <v>5157</v>
      </c>
      <c r="I21" s="32">
        <v>0</v>
      </c>
      <c r="J21" s="113"/>
      <c r="K21" s="31">
        <v>16</v>
      </c>
      <c r="L21" s="32">
        <v>4</v>
      </c>
      <c r="M21" s="32">
        <v>18</v>
      </c>
      <c r="N21" s="32">
        <v>5</v>
      </c>
      <c r="O21" s="32">
        <v>27</v>
      </c>
      <c r="P21" s="46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31">
        <v>17</v>
      </c>
      <c r="B22" s="32">
        <v>2187</v>
      </c>
      <c r="C22" s="32">
        <v>0</v>
      </c>
      <c r="D22" s="32">
        <v>976</v>
      </c>
      <c r="E22" s="32">
        <v>183</v>
      </c>
      <c r="F22" s="32">
        <v>206</v>
      </c>
      <c r="G22" s="32">
        <v>266</v>
      </c>
      <c r="H22" s="32">
        <v>3818</v>
      </c>
      <c r="I22" s="32">
        <v>0</v>
      </c>
      <c r="J22" s="113"/>
      <c r="K22" s="31">
        <v>17</v>
      </c>
      <c r="L22" s="32">
        <v>4</v>
      </c>
      <c r="M22" s="32">
        <v>10</v>
      </c>
      <c r="N22" s="32">
        <v>5</v>
      </c>
      <c r="O22" s="32">
        <v>19</v>
      </c>
      <c r="P22" s="46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31">
        <v>18</v>
      </c>
      <c r="B23" s="32">
        <v>1511</v>
      </c>
      <c r="C23" s="32">
        <v>0</v>
      </c>
      <c r="D23" s="32">
        <v>592</v>
      </c>
      <c r="E23" s="32">
        <v>116</v>
      </c>
      <c r="F23" s="32">
        <v>159</v>
      </c>
      <c r="G23" s="32">
        <v>207</v>
      </c>
      <c r="H23" s="32">
        <v>2585</v>
      </c>
      <c r="I23" s="32">
        <v>0</v>
      </c>
      <c r="J23" s="113"/>
      <c r="K23" s="31">
        <v>18</v>
      </c>
      <c r="L23" s="32">
        <v>7</v>
      </c>
      <c r="M23" s="32">
        <v>6</v>
      </c>
      <c r="N23" s="32">
        <v>2</v>
      </c>
      <c r="O23" s="32">
        <v>15</v>
      </c>
      <c r="P23" s="46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31">
        <v>19</v>
      </c>
      <c r="B24" s="32">
        <v>1049</v>
      </c>
      <c r="C24" s="32">
        <v>0</v>
      </c>
      <c r="D24" s="32">
        <v>457</v>
      </c>
      <c r="E24" s="32">
        <v>92</v>
      </c>
      <c r="F24" s="32">
        <v>92</v>
      </c>
      <c r="G24" s="32">
        <v>176</v>
      </c>
      <c r="H24" s="32">
        <v>1866</v>
      </c>
      <c r="I24" s="32">
        <v>0</v>
      </c>
      <c r="J24" s="113"/>
      <c r="K24" s="31">
        <v>19</v>
      </c>
      <c r="L24" s="32">
        <v>19</v>
      </c>
      <c r="M24" s="32">
        <v>4</v>
      </c>
      <c r="N24" s="32">
        <v>4</v>
      </c>
      <c r="O24" s="32">
        <v>27</v>
      </c>
      <c r="P24" s="46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31">
        <v>20</v>
      </c>
      <c r="B25" s="32">
        <v>1796</v>
      </c>
      <c r="C25" s="32">
        <v>0</v>
      </c>
      <c r="D25" s="32">
        <v>609</v>
      </c>
      <c r="E25" s="32">
        <v>126</v>
      </c>
      <c r="F25" s="32">
        <v>94</v>
      </c>
      <c r="G25" s="32">
        <v>283</v>
      </c>
      <c r="H25" s="32">
        <v>2908</v>
      </c>
      <c r="I25" s="32">
        <v>0</v>
      </c>
      <c r="J25" s="113"/>
      <c r="K25" s="31">
        <v>20</v>
      </c>
      <c r="L25" s="32">
        <v>2</v>
      </c>
      <c r="M25" s="32">
        <v>2</v>
      </c>
      <c r="N25" s="32">
        <v>0</v>
      </c>
      <c r="O25" s="32">
        <v>4</v>
      </c>
      <c r="P25" s="46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31">
        <v>21</v>
      </c>
      <c r="B26" s="32">
        <v>3106</v>
      </c>
      <c r="C26" s="32">
        <v>0</v>
      </c>
      <c r="D26" s="32">
        <v>1023</v>
      </c>
      <c r="E26" s="32">
        <v>200</v>
      </c>
      <c r="F26" s="32">
        <v>215</v>
      </c>
      <c r="G26" s="32">
        <v>266</v>
      </c>
      <c r="H26" s="32">
        <v>4810</v>
      </c>
      <c r="I26" s="32">
        <v>0</v>
      </c>
      <c r="J26" s="113"/>
      <c r="K26" s="31">
        <v>21</v>
      </c>
      <c r="L26" s="32">
        <v>0</v>
      </c>
      <c r="M26" s="32">
        <v>6</v>
      </c>
      <c r="N26" s="32">
        <v>2</v>
      </c>
      <c r="O26" s="32">
        <v>8</v>
      </c>
      <c r="P26" s="46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31">
        <v>22</v>
      </c>
      <c r="B27" s="32">
        <v>2908</v>
      </c>
      <c r="C27" s="32">
        <v>0</v>
      </c>
      <c r="D27" s="32">
        <v>1312</v>
      </c>
      <c r="E27" s="32">
        <v>215</v>
      </c>
      <c r="F27" s="32">
        <v>244</v>
      </c>
      <c r="G27" s="32">
        <v>353</v>
      </c>
      <c r="H27" s="32">
        <v>5032</v>
      </c>
      <c r="I27" s="32">
        <v>0</v>
      </c>
      <c r="J27" s="113"/>
      <c r="K27" s="31">
        <v>22</v>
      </c>
      <c r="L27" s="32">
        <v>5</v>
      </c>
      <c r="M27" s="32">
        <v>16</v>
      </c>
      <c r="N27" s="32">
        <v>3</v>
      </c>
      <c r="O27" s="32">
        <v>24</v>
      </c>
      <c r="P27" s="46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31">
        <v>23</v>
      </c>
      <c r="B28" s="32">
        <v>2857</v>
      </c>
      <c r="C28" s="32">
        <v>0</v>
      </c>
      <c r="D28" s="32">
        <v>1203</v>
      </c>
      <c r="E28" s="32">
        <v>211</v>
      </c>
      <c r="F28" s="32">
        <v>228</v>
      </c>
      <c r="G28" s="32">
        <v>358</v>
      </c>
      <c r="H28" s="32">
        <v>4857</v>
      </c>
      <c r="I28" s="32">
        <v>0</v>
      </c>
      <c r="J28" s="113"/>
      <c r="K28" s="31">
        <v>23</v>
      </c>
      <c r="L28" s="32">
        <v>4</v>
      </c>
      <c r="M28" s="32">
        <v>7</v>
      </c>
      <c r="N28" s="32">
        <v>4</v>
      </c>
      <c r="O28" s="32">
        <v>15</v>
      </c>
      <c r="P28" s="46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31">
        <v>24</v>
      </c>
      <c r="B29" s="32">
        <v>2929</v>
      </c>
      <c r="C29" s="32">
        <v>0</v>
      </c>
      <c r="D29" s="32">
        <v>997</v>
      </c>
      <c r="E29" s="32">
        <v>215</v>
      </c>
      <c r="F29" s="32">
        <v>209</v>
      </c>
      <c r="G29" s="32">
        <v>323</v>
      </c>
      <c r="H29" s="32">
        <v>4673</v>
      </c>
      <c r="I29" s="32">
        <v>0</v>
      </c>
      <c r="J29" s="113"/>
      <c r="K29" s="31">
        <v>24</v>
      </c>
      <c r="L29" s="32">
        <v>7</v>
      </c>
      <c r="M29" s="32">
        <v>14</v>
      </c>
      <c r="N29" s="32">
        <v>2</v>
      </c>
      <c r="O29" s="32">
        <v>23</v>
      </c>
      <c r="P29" s="46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31">
        <v>25</v>
      </c>
      <c r="B30" s="32">
        <v>2233</v>
      </c>
      <c r="C30" s="32">
        <v>0</v>
      </c>
      <c r="D30" s="32">
        <v>785</v>
      </c>
      <c r="E30" s="32">
        <v>142</v>
      </c>
      <c r="F30" s="32">
        <v>223</v>
      </c>
      <c r="G30" s="32">
        <v>283</v>
      </c>
      <c r="H30" s="32">
        <v>3666</v>
      </c>
      <c r="I30" s="32">
        <v>0</v>
      </c>
      <c r="J30" s="113"/>
      <c r="K30" s="31">
        <v>25</v>
      </c>
      <c r="L30" s="32">
        <v>5</v>
      </c>
      <c r="M30" s="32">
        <v>10</v>
      </c>
      <c r="N30" s="32">
        <v>0</v>
      </c>
      <c r="O30" s="32">
        <v>15</v>
      </c>
      <c r="P30" s="46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31">
        <v>26</v>
      </c>
      <c r="B31" s="32">
        <v>2198</v>
      </c>
      <c r="C31" s="32">
        <v>0</v>
      </c>
      <c r="D31" s="32">
        <v>632</v>
      </c>
      <c r="E31" s="32">
        <v>161</v>
      </c>
      <c r="F31" s="32">
        <v>136</v>
      </c>
      <c r="G31" s="32">
        <v>294</v>
      </c>
      <c r="H31" s="32">
        <v>3421</v>
      </c>
      <c r="I31" s="32">
        <v>0</v>
      </c>
      <c r="J31" s="113"/>
      <c r="K31" s="31">
        <v>26</v>
      </c>
      <c r="L31" s="32">
        <v>0</v>
      </c>
      <c r="M31" s="32">
        <v>4</v>
      </c>
      <c r="N31" s="32">
        <v>5</v>
      </c>
      <c r="O31" s="32">
        <v>9</v>
      </c>
      <c r="P31" s="46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31">
        <v>27</v>
      </c>
      <c r="B32" s="32">
        <v>2670</v>
      </c>
      <c r="C32" s="32">
        <v>0</v>
      </c>
      <c r="D32" s="32">
        <v>985</v>
      </c>
      <c r="E32" s="32">
        <v>189</v>
      </c>
      <c r="F32" s="32">
        <v>208</v>
      </c>
      <c r="G32" s="32">
        <v>281</v>
      </c>
      <c r="H32" s="32">
        <v>4333</v>
      </c>
      <c r="I32" s="32">
        <v>0</v>
      </c>
      <c r="J32" s="113"/>
      <c r="K32" s="31">
        <v>27</v>
      </c>
      <c r="L32" s="32">
        <v>1</v>
      </c>
      <c r="M32" s="32">
        <v>14</v>
      </c>
      <c r="N32" s="32">
        <v>4</v>
      </c>
      <c r="O32" s="32">
        <v>19</v>
      </c>
      <c r="P32" s="46">
        <v>6135</v>
      </c>
    </row>
    <row r="33" spans="1:16" ht="15.6" thickTop="1" thickBot="1" x14ac:dyDescent="0.35">
      <c r="A33" s="31">
        <v>28</v>
      </c>
      <c r="B33" s="32">
        <v>2763</v>
      </c>
      <c r="C33" s="32">
        <v>0</v>
      </c>
      <c r="D33" s="32">
        <v>1177</v>
      </c>
      <c r="E33" s="32">
        <v>190</v>
      </c>
      <c r="F33" s="32">
        <v>230</v>
      </c>
      <c r="G33" s="32">
        <v>378</v>
      </c>
      <c r="H33" s="32">
        <v>4738</v>
      </c>
      <c r="I33" s="32">
        <v>0</v>
      </c>
      <c r="J33" s="113"/>
      <c r="K33" s="31">
        <v>28</v>
      </c>
      <c r="L33" s="32">
        <v>0</v>
      </c>
      <c r="M33" s="32">
        <v>12</v>
      </c>
      <c r="N33" s="32">
        <v>4</v>
      </c>
      <c r="O33" s="32">
        <v>16</v>
      </c>
      <c r="P33" s="46">
        <v>6135</v>
      </c>
    </row>
    <row r="34" spans="1:16" ht="15.6" thickTop="1" thickBot="1" x14ac:dyDescent="0.35">
      <c r="A34" s="31">
        <v>29</v>
      </c>
      <c r="B34" s="32">
        <v>2838</v>
      </c>
      <c r="C34" s="32">
        <v>0</v>
      </c>
      <c r="D34" s="32">
        <v>1164</v>
      </c>
      <c r="E34" s="32">
        <v>262</v>
      </c>
      <c r="F34" s="32">
        <v>256</v>
      </c>
      <c r="G34" s="32">
        <v>392</v>
      </c>
      <c r="H34" s="32">
        <v>4912</v>
      </c>
      <c r="I34" s="32">
        <v>0</v>
      </c>
      <c r="J34" s="113"/>
      <c r="K34" s="31">
        <v>29</v>
      </c>
      <c r="L34" s="32">
        <v>2</v>
      </c>
      <c r="M34" s="32">
        <v>13</v>
      </c>
      <c r="N34" s="32">
        <v>4</v>
      </c>
      <c r="O34" s="32">
        <v>19</v>
      </c>
      <c r="P34" s="46">
        <v>6135</v>
      </c>
    </row>
    <row r="35" spans="1:16" ht="15.6" thickTop="1" thickBot="1" x14ac:dyDescent="0.35">
      <c r="A35" s="31">
        <v>30</v>
      </c>
      <c r="B35" s="32">
        <v>3322</v>
      </c>
      <c r="C35" s="32">
        <v>0</v>
      </c>
      <c r="D35" s="32">
        <v>1287</v>
      </c>
      <c r="E35" s="32">
        <v>216</v>
      </c>
      <c r="F35" s="32">
        <v>250</v>
      </c>
      <c r="G35" s="32">
        <v>351</v>
      </c>
      <c r="H35" s="32">
        <v>5426</v>
      </c>
      <c r="I35" s="32">
        <v>0</v>
      </c>
      <c r="J35" s="113"/>
      <c r="K35" s="31">
        <v>30</v>
      </c>
      <c r="L35" s="32">
        <v>2</v>
      </c>
      <c r="M35" s="32">
        <v>11</v>
      </c>
      <c r="N35" s="32">
        <v>6</v>
      </c>
      <c r="O35" s="32">
        <v>19</v>
      </c>
      <c r="P35" s="46">
        <v>6135</v>
      </c>
    </row>
    <row r="36" spans="1:16" ht="15.6" thickTop="1" thickBot="1" x14ac:dyDescent="0.35">
      <c r="A36" s="31">
        <v>31</v>
      </c>
      <c r="B36" s="32">
        <v>2555</v>
      </c>
      <c r="C36" s="32">
        <v>0</v>
      </c>
      <c r="D36" s="32">
        <v>766</v>
      </c>
      <c r="E36" s="32">
        <v>129</v>
      </c>
      <c r="F36" s="32">
        <v>133</v>
      </c>
      <c r="G36" s="32">
        <v>212</v>
      </c>
      <c r="H36" s="32">
        <v>3795</v>
      </c>
      <c r="I36" s="32">
        <v>0</v>
      </c>
      <c r="J36" s="113"/>
      <c r="K36" s="31">
        <v>31</v>
      </c>
      <c r="L36" s="54">
        <v>0</v>
      </c>
      <c r="M36" s="54">
        <v>2</v>
      </c>
      <c r="N36" s="54">
        <v>4</v>
      </c>
      <c r="O36" s="32">
        <v>6</v>
      </c>
      <c r="P36" s="46">
        <v>6135</v>
      </c>
    </row>
    <row r="37" spans="1:16" ht="15" thickTop="1" x14ac:dyDescent="0.3">
      <c r="A37" s="56" t="s">
        <v>19</v>
      </c>
      <c r="B37" s="57">
        <v>83235</v>
      </c>
      <c r="C37" s="57">
        <v>0</v>
      </c>
      <c r="D37" s="57">
        <v>30887</v>
      </c>
      <c r="E37" s="57">
        <v>5806</v>
      </c>
      <c r="F37" s="57">
        <v>6430</v>
      </c>
      <c r="G37" s="57">
        <v>9540</v>
      </c>
      <c r="H37" s="57">
        <v>135898</v>
      </c>
      <c r="I37" s="57">
        <v>0</v>
      </c>
      <c r="J37" s="57"/>
      <c r="K37" s="57"/>
      <c r="L37" s="57">
        <v>163</v>
      </c>
      <c r="M37" s="57">
        <v>387</v>
      </c>
      <c r="N37" s="57">
        <v>111</v>
      </c>
      <c r="O37" s="112">
        <v>661</v>
      </c>
      <c r="P37" s="58"/>
    </row>
    <row r="38" spans="1:16" x14ac:dyDescent="0.3">
      <c r="A38" s="56" t="s">
        <v>19</v>
      </c>
      <c r="B38" s="137">
        <v>83235</v>
      </c>
      <c r="C38" s="137"/>
      <c r="D38" s="57">
        <v>30887</v>
      </c>
      <c r="E38" s="57">
        <v>5806</v>
      </c>
      <c r="F38" s="57">
        <v>6430</v>
      </c>
      <c r="G38" s="57">
        <v>9540</v>
      </c>
      <c r="H38" s="112">
        <v>135898</v>
      </c>
      <c r="I38" s="57">
        <v>0</v>
      </c>
      <c r="J38" s="114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3402-8C6B-49FF-8FCA-DA9C931EC8B8}">
  <dimension ref="A1:Z46"/>
  <sheetViews>
    <sheetView workbookViewId="0">
      <selection activeCell="H38" sqref="H38"/>
    </sheetView>
  </sheetViews>
  <sheetFormatPr baseColWidth="10" defaultRowHeight="14.4" x14ac:dyDescent="0.3"/>
  <cols>
    <col min="16" max="16" width="0" hidden="1" customWidth="1"/>
  </cols>
  <sheetData>
    <row r="1" spans="1:26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6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ht="15.6" x14ac:dyDescent="0.3">
      <c r="A3" s="135" t="s">
        <v>29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26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26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26" ht="15" thickBot="1" x14ac:dyDescent="0.35">
      <c r="A6" s="72">
        <v>1</v>
      </c>
      <c r="B6" s="73">
        <v>2547</v>
      </c>
      <c r="C6" s="73">
        <v>0</v>
      </c>
      <c r="D6" s="73">
        <v>879</v>
      </c>
      <c r="E6" s="73">
        <v>175</v>
      </c>
      <c r="F6" s="73">
        <v>222</v>
      </c>
      <c r="G6" s="73">
        <v>297</v>
      </c>
      <c r="H6" s="73">
        <v>4120</v>
      </c>
      <c r="I6" s="73">
        <v>0</v>
      </c>
      <c r="J6" s="113"/>
      <c r="K6" s="72">
        <v>1</v>
      </c>
      <c r="L6" s="73">
        <v>0</v>
      </c>
      <c r="M6" s="73">
        <v>15</v>
      </c>
      <c r="N6" s="73">
        <v>1</v>
      </c>
      <c r="O6" s="73">
        <v>16</v>
      </c>
      <c r="P6" s="74">
        <v>6135</v>
      </c>
      <c r="Q6" s="58"/>
      <c r="R6" s="58"/>
      <c r="S6" s="58"/>
    </row>
    <row r="7" spans="1:26" ht="15.6" thickTop="1" thickBot="1" x14ac:dyDescent="0.35">
      <c r="A7" s="72">
        <v>2</v>
      </c>
      <c r="B7" s="73">
        <v>2153</v>
      </c>
      <c r="C7" s="73">
        <v>0</v>
      </c>
      <c r="D7" s="73">
        <v>603</v>
      </c>
      <c r="E7" s="73">
        <v>90</v>
      </c>
      <c r="F7" s="73">
        <v>137</v>
      </c>
      <c r="G7" s="73">
        <v>289</v>
      </c>
      <c r="H7" s="73">
        <v>3272</v>
      </c>
      <c r="I7" s="73">
        <v>0</v>
      </c>
      <c r="J7" s="113"/>
      <c r="K7" s="72">
        <v>2</v>
      </c>
      <c r="L7" s="73">
        <v>2</v>
      </c>
      <c r="M7" s="73">
        <v>4</v>
      </c>
      <c r="N7" s="73">
        <v>1</v>
      </c>
      <c r="O7" s="73">
        <v>7</v>
      </c>
      <c r="P7" s="74">
        <v>6135</v>
      </c>
      <c r="Q7" s="58"/>
      <c r="R7" s="58"/>
      <c r="S7" s="58"/>
    </row>
    <row r="8" spans="1:26" ht="15.6" thickTop="1" thickBot="1" x14ac:dyDescent="0.35">
      <c r="A8" s="72">
        <v>3</v>
      </c>
      <c r="B8" s="73">
        <v>2855</v>
      </c>
      <c r="C8" s="73">
        <v>0</v>
      </c>
      <c r="D8" s="73">
        <v>820</v>
      </c>
      <c r="E8" s="73">
        <v>188</v>
      </c>
      <c r="F8" s="73">
        <v>185</v>
      </c>
      <c r="G8" s="73">
        <v>295</v>
      </c>
      <c r="H8" s="73">
        <v>4343</v>
      </c>
      <c r="I8" s="73">
        <v>0</v>
      </c>
      <c r="J8" s="113"/>
      <c r="K8" s="72">
        <v>3</v>
      </c>
      <c r="L8" s="73">
        <v>1</v>
      </c>
      <c r="M8" s="73">
        <v>10</v>
      </c>
      <c r="N8" s="73">
        <v>2</v>
      </c>
      <c r="O8" s="73">
        <v>13</v>
      </c>
      <c r="P8" s="74">
        <v>6135</v>
      </c>
      <c r="Q8" s="58"/>
      <c r="R8" s="58"/>
      <c r="S8" s="63"/>
    </row>
    <row r="9" spans="1:26" ht="15.6" thickTop="1" thickBot="1" x14ac:dyDescent="0.35">
      <c r="A9" s="72">
        <v>4</v>
      </c>
      <c r="B9" s="73">
        <v>2761</v>
      </c>
      <c r="C9" s="73">
        <v>0</v>
      </c>
      <c r="D9" s="73">
        <v>1149</v>
      </c>
      <c r="E9" s="73">
        <v>211</v>
      </c>
      <c r="F9" s="73">
        <v>246</v>
      </c>
      <c r="G9" s="73">
        <v>360</v>
      </c>
      <c r="H9" s="73">
        <v>4727</v>
      </c>
      <c r="I9" s="73">
        <v>0</v>
      </c>
      <c r="J9" s="113"/>
      <c r="K9" s="72">
        <v>4</v>
      </c>
      <c r="L9" s="73">
        <v>2</v>
      </c>
      <c r="M9" s="73">
        <v>28</v>
      </c>
      <c r="N9" s="73">
        <v>3</v>
      </c>
      <c r="O9" s="73">
        <v>33</v>
      </c>
      <c r="P9" s="74">
        <v>6135</v>
      </c>
      <c r="Q9" s="58"/>
      <c r="R9" s="58"/>
      <c r="S9" s="58"/>
    </row>
    <row r="10" spans="1:26" ht="15.6" thickTop="1" thickBot="1" x14ac:dyDescent="0.35">
      <c r="A10" s="72">
        <v>5</v>
      </c>
      <c r="B10" s="73">
        <v>3410</v>
      </c>
      <c r="C10" s="73">
        <v>0</v>
      </c>
      <c r="D10" s="73">
        <v>1245</v>
      </c>
      <c r="E10" s="73">
        <v>227</v>
      </c>
      <c r="F10" s="73">
        <v>273</v>
      </c>
      <c r="G10" s="73">
        <v>374</v>
      </c>
      <c r="H10" s="73">
        <v>5529</v>
      </c>
      <c r="I10" s="73">
        <v>0</v>
      </c>
      <c r="J10" s="113"/>
      <c r="K10" s="72">
        <v>5</v>
      </c>
      <c r="L10" s="73">
        <v>3</v>
      </c>
      <c r="M10" s="73">
        <v>12</v>
      </c>
      <c r="N10" s="73">
        <v>7</v>
      </c>
      <c r="O10" s="73">
        <v>22</v>
      </c>
      <c r="P10" s="74">
        <v>6135</v>
      </c>
      <c r="Q10" s="58"/>
      <c r="R10" s="58"/>
      <c r="S10" s="58"/>
    </row>
    <row r="11" spans="1:26" ht="15.6" thickTop="1" thickBot="1" x14ac:dyDescent="0.35">
      <c r="A11" s="72">
        <v>6</v>
      </c>
      <c r="B11" s="73">
        <v>3218</v>
      </c>
      <c r="C11" s="73">
        <v>0</v>
      </c>
      <c r="D11" s="73">
        <v>1115</v>
      </c>
      <c r="E11" s="73">
        <v>191</v>
      </c>
      <c r="F11" s="73">
        <v>277</v>
      </c>
      <c r="G11" s="73">
        <v>342</v>
      </c>
      <c r="H11" s="73">
        <v>5143</v>
      </c>
      <c r="I11" s="73">
        <v>0</v>
      </c>
      <c r="J11" s="113"/>
      <c r="K11" s="72">
        <v>6</v>
      </c>
      <c r="L11" s="73">
        <v>1</v>
      </c>
      <c r="M11" s="73">
        <v>18</v>
      </c>
      <c r="N11" s="73">
        <v>7</v>
      </c>
      <c r="O11" s="73">
        <v>26</v>
      </c>
      <c r="P11" s="74">
        <v>6135</v>
      </c>
      <c r="Q11" s="58"/>
      <c r="R11" s="58"/>
      <c r="S11" s="58"/>
    </row>
    <row r="12" spans="1:26" ht="15.6" thickTop="1" thickBot="1" x14ac:dyDescent="0.35">
      <c r="A12" s="72">
        <v>7</v>
      </c>
      <c r="B12" s="73">
        <v>1822</v>
      </c>
      <c r="C12" s="73">
        <v>0</v>
      </c>
      <c r="D12" s="73">
        <v>870</v>
      </c>
      <c r="E12" s="73">
        <v>143</v>
      </c>
      <c r="F12" s="73">
        <v>258</v>
      </c>
      <c r="G12" s="73">
        <v>308</v>
      </c>
      <c r="H12" s="73">
        <v>3401</v>
      </c>
      <c r="I12" s="73">
        <v>0</v>
      </c>
      <c r="J12" s="113"/>
      <c r="K12" s="72">
        <v>7</v>
      </c>
      <c r="L12" s="73">
        <v>1</v>
      </c>
      <c r="M12" s="73">
        <v>10</v>
      </c>
      <c r="N12" s="73">
        <v>2</v>
      </c>
      <c r="O12" s="73">
        <v>13</v>
      </c>
      <c r="P12" s="74">
        <v>6135</v>
      </c>
      <c r="Q12" s="58"/>
      <c r="R12" s="58"/>
      <c r="S12" s="58"/>
    </row>
    <row r="13" spans="1:26" ht="15.6" thickTop="1" thickBot="1" x14ac:dyDescent="0.35">
      <c r="A13" s="72">
        <v>8</v>
      </c>
      <c r="B13" s="73">
        <v>1644</v>
      </c>
      <c r="C13" s="73">
        <v>0</v>
      </c>
      <c r="D13" s="73">
        <v>676</v>
      </c>
      <c r="E13" s="73">
        <v>139</v>
      </c>
      <c r="F13" s="73">
        <v>208</v>
      </c>
      <c r="G13" s="73">
        <v>257</v>
      </c>
      <c r="H13" s="73">
        <v>2924</v>
      </c>
      <c r="I13" s="73">
        <v>0</v>
      </c>
      <c r="J13" s="113"/>
      <c r="K13" s="72">
        <v>8</v>
      </c>
      <c r="L13" s="73">
        <v>2</v>
      </c>
      <c r="M13" s="73">
        <v>6</v>
      </c>
      <c r="N13" s="73">
        <v>0</v>
      </c>
      <c r="O13" s="73">
        <v>8</v>
      </c>
      <c r="P13" s="74">
        <v>6135</v>
      </c>
      <c r="Q13" s="58"/>
      <c r="R13" s="58"/>
      <c r="S13" s="58"/>
    </row>
    <row r="14" spans="1:26" ht="15.6" thickTop="1" thickBot="1" x14ac:dyDescent="0.35">
      <c r="A14" s="72">
        <v>9</v>
      </c>
      <c r="B14" s="73">
        <v>1870</v>
      </c>
      <c r="C14" s="73">
        <v>0</v>
      </c>
      <c r="D14" s="73">
        <v>526</v>
      </c>
      <c r="E14" s="73">
        <v>105</v>
      </c>
      <c r="F14" s="73">
        <v>117</v>
      </c>
      <c r="G14" s="73">
        <v>253</v>
      </c>
      <c r="H14" s="73">
        <v>2871</v>
      </c>
      <c r="I14" s="73">
        <v>0</v>
      </c>
      <c r="J14" s="113"/>
      <c r="K14" s="72">
        <v>9</v>
      </c>
      <c r="L14" s="73">
        <v>1</v>
      </c>
      <c r="M14" s="73">
        <v>3</v>
      </c>
      <c r="N14" s="73">
        <v>2</v>
      </c>
      <c r="O14" s="73">
        <v>6</v>
      </c>
      <c r="P14" s="75">
        <v>6135</v>
      </c>
      <c r="Q14" s="66"/>
      <c r="R14" s="66"/>
      <c r="S14" s="66"/>
    </row>
    <row r="15" spans="1:26" ht="15.6" thickTop="1" thickBot="1" x14ac:dyDescent="0.35">
      <c r="A15" s="72">
        <v>10</v>
      </c>
      <c r="B15" s="73">
        <v>2996</v>
      </c>
      <c r="C15" s="73">
        <v>0</v>
      </c>
      <c r="D15" s="73">
        <v>790</v>
      </c>
      <c r="E15" s="73">
        <v>193</v>
      </c>
      <c r="F15" s="73">
        <v>204</v>
      </c>
      <c r="G15" s="73">
        <v>249</v>
      </c>
      <c r="H15" s="73">
        <v>4432</v>
      </c>
      <c r="I15" s="73">
        <v>0</v>
      </c>
      <c r="J15" s="113"/>
      <c r="K15" s="72">
        <v>10</v>
      </c>
      <c r="L15" s="73">
        <v>1</v>
      </c>
      <c r="M15" s="73">
        <v>8</v>
      </c>
      <c r="N15" s="73">
        <v>0</v>
      </c>
      <c r="O15" s="73">
        <v>9</v>
      </c>
      <c r="P15" s="74">
        <v>6135</v>
      </c>
      <c r="Q15" s="58"/>
      <c r="R15" s="58"/>
      <c r="S15" s="58"/>
    </row>
    <row r="16" spans="1:26" ht="15.6" thickTop="1" thickBot="1" x14ac:dyDescent="0.35">
      <c r="A16" s="72">
        <v>11</v>
      </c>
      <c r="B16" s="73">
        <v>3412</v>
      </c>
      <c r="C16" s="73">
        <v>0</v>
      </c>
      <c r="D16" s="73">
        <v>1244</v>
      </c>
      <c r="E16" s="73">
        <v>189</v>
      </c>
      <c r="F16" s="73">
        <v>248</v>
      </c>
      <c r="G16" s="73">
        <v>351</v>
      </c>
      <c r="H16" s="73">
        <v>5444</v>
      </c>
      <c r="I16" s="73">
        <v>0</v>
      </c>
      <c r="J16" s="113"/>
      <c r="K16" s="72">
        <v>11</v>
      </c>
      <c r="L16" s="73">
        <v>1</v>
      </c>
      <c r="M16" s="73">
        <v>16</v>
      </c>
      <c r="N16" s="73">
        <v>3</v>
      </c>
      <c r="O16" s="73">
        <v>20</v>
      </c>
      <c r="P16" s="74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72">
        <v>12</v>
      </c>
      <c r="B17" s="73">
        <v>3235</v>
      </c>
      <c r="C17" s="73">
        <v>0</v>
      </c>
      <c r="D17" s="73">
        <v>1243</v>
      </c>
      <c r="E17" s="73">
        <v>234</v>
      </c>
      <c r="F17" s="73">
        <v>287</v>
      </c>
      <c r="G17" s="73">
        <v>371</v>
      </c>
      <c r="H17" s="73">
        <v>5370</v>
      </c>
      <c r="I17" s="73">
        <v>0</v>
      </c>
      <c r="J17" s="113"/>
      <c r="K17" s="72">
        <v>12</v>
      </c>
      <c r="L17" s="73">
        <v>0</v>
      </c>
      <c r="M17" s="73">
        <v>17</v>
      </c>
      <c r="N17" s="73">
        <v>4</v>
      </c>
      <c r="O17" s="73">
        <v>21</v>
      </c>
      <c r="P17" s="74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72">
        <v>13</v>
      </c>
      <c r="B18" s="73">
        <v>3499</v>
      </c>
      <c r="C18" s="73">
        <v>0</v>
      </c>
      <c r="D18" s="73">
        <v>1304</v>
      </c>
      <c r="E18" s="73">
        <v>226</v>
      </c>
      <c r="F18" s="73">
        <v>274</v>
      </c>
      <c r="G18" s="73">
        <v>332</v>
      </c>
      <c r="H18" s="73">
        <v>5635</v>
      </c>
      <c r="I18" s="73">
        <v>0</v>
      </c>
      <c r="J18" s="113"/>
      <c r="K18" s="72">
        <v>13</v>
      </c>
      <c r="L18" s="73">
        <v>2</v>
      </c>
      <c r="M18" s="73">
        <v>18</v>
      </c>
      <c r="N18" s="73">
        <v>2</v>
      </c>
      <c r="O18" s="73">
        <v>22</v>
      </c>
      <c r="P18" s="74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72">
        <v>14</v>
      </c>
      <c r="B19" s="73">
        <v>3024</v>
      </c>
      <c r="C19" s="73">
        <v>0</v>
      </c>
      <c r="D19" s="73">
        <v>1132</v>
      </c>
      <c r="E19" s="73">
        <v>197</v>
      </c>
      <c r="F19" s="73">
        <v>264</v>
      </c>
      <c r="G19" s="73">
        <v>347</v>
      </c>
      <c r="H19" s="73">
        <v>4964</v>
      </c>
      <c r="I19" s="73">
        <v>0</v>
      </c>
      <c r="J19" s="113"/>
      <c r="K19" s="72">
        <v>14</v>
      </c>
      <c r="L19" s="73">
        <v>2</v>
      </c>
      <c r="M19" s="73">
        <v>20</v>
      </c>
      <c r="N19" s="73">
        <v>2</v>
      </c>
      <c r="O19" s="73">
        <v>24</v>
      </c>
      <c r="P19" s="74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72">
        <v>15</v>
      </c>
      <c r="B20" s="73">
        <v>2401</v>
      </c>
      <c r="C20" s="73">
        <v>0</v>
      </c>
      <c r="D20" s="73">
        <v>900</v>
      </c>
      <c r="E20" s="73">
        <v>180</v>
      </c>
      <c r="F20" s="73">
        <v>284</v>
      </c>
      <c r="G20" s="73">
        <v>289</v>
      </c>
      <c r="H20" s="73">
        <v>4054</v>
      </c>
      <c r="I20" s="73">
        <v>0</v>
      </c>
      <c r="J20" s="113"/>
      <c r="K20" s="72">
        <v>15</v>
      </c>
      <c r="L20" s="73">
        <v>7</v>
      </c>
      <c r="M20" s="73">
        <v>10</v>
      </c>
      <c r="N20" s="73">
        <v>3</v>
      </c>
      <c r="O20" s="73">
        <v>20</v>
      </c>
      <c r="P20" s="74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72">
        <v>16</v>
      </c>
      <c r="B21" s="73">
        <v>1615</v>
      </c>
      <c r="C21" s="73">
        <v>0</v>
      </c>
      <c r="D21" s="73">
        <v>578</v>
      </c>
      <c r="E21" s="73">
        <v>109</v>
      </c>
      <c r="F21" s="73">
        <v>166</v>
      </c>
      <c r="G21" s="73">
        <v>225</v>
      </c>
      <c r="H21" s="73">
        <v>2693</v>
      </c>
      <c r="I21" s="73">
        <v>0</v>
      </c>
      <c r="J21" s="113"/>
      <c r="K21" s="72">
        <v>16</v>
      </c>
      <c r="L21" s="73">
        <v>1</v>
      </c>
      <c r="M21" s="73">
        <v>0</v>
      </c>
      <c r="N21" s="73">
        <v>1</v>
      </c>
      <c r="O21" s="73">
        <v>2</v>
      </c>
      <c r="P21" s="74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72">
        <v>17</v>
      </c>
      <c r="B22" s="73">
        <v>2190</v>
      </c>
      <c r="C22" s="73">
        <v>0</v>
      </c>
      <c r="D22" s="73">
        <v>538</v>
      </c>
      <c r="E22" s="73">
        <v>128</v>
      </c>
      <c r="F22" s="73">
        <v>104</v>
      </c>
      <c r="G22" s="73">
        <v>312</v>
      </c>
      <c r="H22" s="73">
        <v>3272</v>
      </c>
      <c r="I22" s="73">
        <v>0</v>
      </c>
      <c r="J22" s="113"/>
      <c r="K22" s="72">
        <v>17</v>
      </c>
      <c r="L22" s="73">
        <v>0</v>
      </c>
      <c r="M22" s="73">
        <v>3</v>
      </c>
      <c r="N22" s="73">
        <v>1</v>
      </c>
      <c r="O22" s="73">
        <v>4</v>
      </c>
      <c r="P22" s="74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72">
        <v>18</v>
      </c>
      <c r="B23" s="73">
        <v>3532</v>
      </c>
      <c r="C23" s="73">
        <v>0</v>
      </c>
      <c r="D23" s="73">
        <v>913</v>
      </c>
      <c r="E23" s="73">
        <v>159</v>
      </c>
      <c r="F23" s="73">
        <v>162</v>
      </c>
      <c r="G23" s="73">
        <v>253</v>
      </c>
      <c r="H23" s="77">
        <v>5019</v>
      </c>
      <c r="I23" s="73">
        <v>0</v>
      </c>
      <c r="J23" s="113"/>
      <c r="K23" s="72">
        <v>18</v>
      </c>
      <c r="L23" s="73">
        <v>0</v>
      </c>
      <c r="M23" s="73">
        <v>16</v>
      </c>
      <c r="N23" s="73">
        <v>0</v>
      </c>
      <c r="O23" s="73">
        <v>16</v>
      </c>
      <c r="P23" s="74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72">
        <v>19</v>
      </c>
      <c r="B24" s="73">
        <v>3305</v>
      </c>
      <c r="C24" s="73">
        <v>0</v>
      </c>
      <c r="D24" s="73">
        <v>1217</v>
      </c>
      <c r="E24" s="73">
        <v>229</v>
      </c>
      <c r="F24" s="73">
        <v>255</v>
      </c>
      <c r="G24" s="73">
        <v>365</v>
      </c>
      <c r="H24" s="77">
        <v>5371</v>
      </c>
      <c r="I24" s="73">
        <v>0</v>
      </c>
      <c r="J24" s="113"/>
      <c r="K24" s="72">
        <v>19</v>
      </c>
      <c r="L24" s="73">
        <v>0</v>
      </c>
      <c r="M24" s="73">
        <v>6</v>
      </c>
      <c r="N24" s="73">
        <v>2</v>
      </c>
      <c r="O24" s="73">
        <v>8</v>
      </c>
      <c r="P24" s="74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72">
        <v>20</v>
      </c>
      <c r="B25" s="73">
        <v>3384</v>
      </c>
      <c r="C25" s="73">
        <v>0</v>
      </c>
      <c r="D25" s="73">
        <v>1307</v>
      </c>
      <c r="E25" s="73">
        <v>247</v>
      </c>
      <c r="F25" s="73">
        <v>285</v>
      </c>
      <c r="G25" s="73">
        <v>417</v>
      </c>
      <c r="H25" s="73">
        <v>5640</v>
      </c>
      <c r="I25" s="73">
        <v>0</v>
      </c>
      <c r="J25" s="113"/>
      <c r="K25" s="72">
        <v>20</v>
      </c>
      <c r="L25" s="73">
        <v>3</v>
      </c>
      <c r="M25" s="73">
        <v>16</v>
      </c>
      <c r="N25" s="73">
        <v>5</v>
      </c>
      <c r="O25" s="73">
        <v>24</v>
      </c>
      <c r="P25" s="74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72">
        <v>21</v>
      </c>
      <c r="B26" s="73">
        <v>3475</v>
      </c>
      <c r="C26" s="73">
        <v>0</v>
      </c>
      <c r="D26" s="73">
        <v>1162</v>
      </c>
      <c r="E26" s="73">
        <v>212</v>
      </c>
      <c r="F26" s="73">
        <v>277</v>
      </c>
      <c r="G26" s="73">
        <v>361</v>
      </c>
      <c r="H26" s="73">
        <v>5487</v>
      </c>
      <c r="I26" s="73">
        <v>0</v>
      </c>
      <c r="J26" s="113"/>
      <c r="K26" s="72">
        <v>21</v>
      </c>
      <c r="L26" s="73">
        <v>4</v>
      </c>
      <c r="M26" s="73">
        <v>11</v>
      </c>
      <c r="N26" s="73">
        <v>5</v>
      </c>
      <c r="O26" s="73">
        <v>20</v>
      </c>
      <c r="P26" s="74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72">
        <v>22</v>
      </c>
      <c r="B27" s="73">
        <v>3084</v>
      </c>
      <c r="C27" s="73">
        <v>0</v>
      </c>
      <c r="D27" s="73">
        <v>1017</v>
      </c>
      <c r="E27" s="73">
        <v>178</v>
      </c>
      <c r="F27" s="73">
        <v>304</v>
      </c>
      <c r="G27" s="73">
        <v>351</v>
      </c>
      <c r="H27" s="73">
        <v>4934</v>
      </c>
      <c r="I27" s="73">
        <v>0</v>
      </c>
      <c r="J27" s="113"/>
      <c r="K27" s="72">
        <v>22</v>
      </c>
      <c r="L27" s="73">
        <v>4</v>
      </c>
      <c r="M27" s="73">
        <v>14</v>
      </c>
      <c r="N27" s="73">
        <v>4</v>
      </c>
      <c r="O27" s="73">
        <v>22</v>
      </c>
      <c r="P27" s="74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72">
        <v>23</v>
      </c>
      <c r="B28" s="73">
        <v>2742</v>
      </c>
      <c r="C28" s="73">
        <v>0</v>
      </c>
      <c r="D28" s="73">
        <v>783</v>
      </c>
      <c r="E28" s="73">
        <v>130</v>
      </c>
      <c r="F28" s="73">
        <v>229</v>
      </c>
      <c r="G28" s="73">
        <v>319</v>
      </c>
      <c r="H28" s="73">
        <v>4203</v>
      </c>
      <c r="I28" s="73">
        <v>0</v>
      </c>
      <c r="J28" s="113"/>
      <c r="K28" s="72">
        <v>23</v>
      </c>
      <c r="L28" s="73">
        <v>0</v>
      </c>
      <c r="M28" s="73">
        <v>6</v>
      </c>
      <c r="N28" s="73">
        <v>1</v>
      </c>
      <c r="O28" s="73">
        <v>7</v>
      </c>
      <c r="P28" s="74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72">
        <v>24</v>
      </c>
      <c r="B29" s="73">
        <v>3109</v>
      </c>
      <c r="C29" s="73">
        <v>0</v>
      </c>
      <c r="D29" s="73">
        <v>798</v>
      </c>
      <c r="E29" s="73">
        <v>246</v>
      </c>
      <c r="F29" s="73">
        <v>188</v>
      </c>
      <c r="G29" s="73">
        <v>312</v>
      </c>
      <c r="H29" s="73">
        <v>4653</v>
      </c>
      <c r="I29" s="73">
        <v>0</v>
      </c>
      <c r="J29" s="113"/>
      <c r="K29" s="72">
        <v>24</v>
      </c>
      <c r="L29" s="73">
        <v>1</v>
      </c>
      <c r="M29" s="73">
        <v>8</v>
      </c>
      <c r="N29" s="73">
        <v>4</v>
      </c>
      <c r="O29" s="73">
        <v>13</v>
      </c>
      <c r="P29" s="74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72">
        <v>25</v>
      </c>
      <c r="B30" s="73">
        <v>3104</v>
      </c>
      <c r="C30" s="73">
        <v>0</v>
      </c>
      <c r="D30" s="73">
        <v>1217</v>
      </c>
      <c r="E30" s="73">
        <v>245</v>
      </c>
      <c r="F30" s="73">
        <v>270</v>
      </c>
      <c r="G30" s="73">
        <v>378</v>
      </c>
      <c r="H30" s="73">
        <v>5214</v>
      </c>
      <c r="I30" s="73">
        <v>0</v>
      </c>
      <c r="J30" s="113"/>
      <c r="K30" s="72">
        <v>25</v>
      </c>
      <c r="L30" s="73">
        <v>2</v>
      </c>
      <c r="M30" s="73">
        <v>10</v>
      </c>
      <c r="N30" s="73">
        <v>4</v>
      </c>
      <c r="O30" s="73">
        <v>16</v>
      </c>
      <c r="P30" s="74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72">
        <v>26</v>
      </c>
      <c r="B31" s="73">
        <v>3145</v>
      </c>
      <c r="C31" s="73">
        <v>0</v>
      </c>
      <c r="D31" s="73">
        <v>1233</v>
      </c>
      <c r="E31" s="73">
        <v>248</v>
      </c>
      <c r="F31" s="73">
        <v>257</v>
      </c>
      <c r="G31" s="73">
        <v>387</v>
      </c>
      <c r="H31" s="73">
        <v>5270</v>
      </c>
      <c r="I31" s="73">
        <v>0</v>
      </c>
      <c r="J31" s="113"/>
      <c r="K31" s="72">
        <v>26</v>
      </c>
      <c r="L31" s="73">
        <v>6</v>
      </c>
      <c r="M31" s="73">
        <v>10</v>
      </c>
      <c r="N31" s="73">
        <v>1</v>
      </c>
      <c r="O31" s="73">
        <v>17</v>
      </c>
      <c r="P31" s="74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72">
        <v>27</v>
      </c>
      <c r="B32" s="73">
        <v>3210</v>
      </c>
      <c r="C32" s="73">
        <v>0</v>
      </c>
      <c r="D32" s="73">
        <v>1283</v>
      </c>
      <c r="E32" s="73">
        <v>229</v>
      </c>
      <c r="F32" s="73">
        <v>288</v>
      </c>
      <c r="G32" s="73">
        <v>376</v>
      </c>
      <c r="H32" s="73">
        <v>5386</v>
      </c>
      <c r="I32" s="73">
        <v>0</v>
      </c>
      <c r="J32" s="113"/>
      <c r="K32" s="72">
        <v>27</v>
      </c>
      <c r="L32" s="73">
        <v>6</v>
      </c>
      <c r="M32" s="73">
        <v>12</v>
      </c>
      <c r="N32" s="73">
        <v>3</v>
      </c>
      <c r="O32" s="73">
        <v>21</v>
      </c>
      <c r="P32" s="74">
        <v>6135</v>
      </c>
    </row>
    <row r="33" spans="1:16" ht="15.6" thickTop="1" thickBot="1" x14ac:dyDescent="0.35">
      <c r="A33" s="72">
        <v>28</v>
      </c>
      <c r="B33" s="73">
        <v>3788</v>
      </c>
      <c r="C33" s="73">
        <v>0</v>
      </c>
      <c r="D33" s="73">
        <v>1205</v>
      </c>
      <c r="E33" s="73">
        <v>220</v>
      </c>
      <c r="F33" s="73">
        <v>252</v>
      </c>
      <c r="G33" s="73">
        <v>380</v>
      </c>
      <c r="H33" s="73">
        <v>5845</v>
      </c>
      <c r="I33" s="73">
        <v>0</v>
      </c>
      <c r="J33" s="113"/>
      <c r="K33" s="72">
        <v>28</v>
      </c>
      <c r="L33" s="73">
        <v>4</v>
      </c>
      <c r="M33" s="73">
        <v>14</v>
      </c>
      <c r="N33" s="73">
        <v>4</v>
      </c>
      <c r="O33" s="73">
        <v>22</v>
      </c>
      <c r="P33" s="74">
        <v>6135</v>
      </c>
    </row>
    <row r="34" spans="1:16" ht="15.6" thickTop="1" thickBot="1" x14ac:dyDescent="0.35">
      <c r="A34" s="72">
        <v>29</v>
      </c>
      <c r="B34" s="73">
        <v>3222</v>
      </c>
      <c r="C34" s="73">
        <v>0</v>
      </c>
      <c r="D34" s="73">
        <v>1003</v>
      </c>
      <c r="E34" s="73">
        <v>214</v>
      </c>
      <c r="F34" s="73">
        <v>263</v>
      </c>
      <c r="G34" s="73">
        <v>314</v>
      </c>
      <c r="H34" s="73">
        <v>5016</v>
      </c>
      <c r="I34" s="73">
        <v>0</v>
      </c>
      <c r="J34" s="113"/>
      <c r="K34" s="72">
        <v>29</v>
      </c>
      <c r="L34" s="73">
        <v>5</v>
      </c>
      <c r="M34" s="73">
        <v>34</v>
      </c>
      <c r="N34" s="73">
        <v>5</v>
      </c>
      <c r="O34" s="73">
        <v>44</v>
      </c>
      <c r="P34" s="74">
        <v>6135</v>
      </c>
    </row>
    <row r="35" spans="1:16" ht="15.6" thickTop="1" thickBot="1" x14ac:dyDescent="0.35">
      <c r="A35" s="72">
        <v>30</v>
      </c>
      <c r="B35" s="73">
        <v>3182</v>
      </c>
      <c r="C35" s="73">
        <v>0</v>
      </c>
      <c r="D35" s="73">
        <v>819</v>
      </c>
      <c r="E35" s="73">
        <v>115</v>
      </c>
      <c r="F35" s="73">
        <v>152</v>
      </c>
      <c r="G35" s="73">
        <v>270</v>
      </c>
      <c r="H35" s="73">
        <v>4538</v>
      </c>
      <c r="I35" s="73">
        <v>0</v>
      </c>
      <c r="J35" s="113"/>
      <c r="K35" s="72">
        <v>30</v>
      </c>
      <c r="L35" s="73">
        <v>3</v>
      </c>
      <c r="M35" s="73">
        <v>4</v>
      </c>
      <c r="N35" s="73">
        <v>1</v>
      </c>
      <c r="O35" s="73">
        <v>8</v>
      </c>
      <c r="P35" s="74">
        <v>6135</v>
      </c>
    </row>
    <row r="36" spans="1:16" ht="15.6" thickTop="1" thickBot="1" x14ac:dyDescent="0.35">
      <c r="A36" s="72">
        <v>31</v>
      </c>
      <c r="B36" s="73">
        <v>2944</v>
      </c>
      <c r="C36" s="73">
        <v>0</v>
      </c>
      <c r="D36" s="73">
        <v>828</v>
      </c>
      <c r="E36" s="73">
        <v>199</v>
      </c>
      <c r="F36" s="73">
        <v>161</v>
      </c>
      <c r="G36" s="73">
        <v>327</v>
      </c>
      <c r="H36" s="73">
        <v>4459</v>
      </c>
      <c r="I36" s="73">
        <v>0</v>
      </c>
      <c r="J36" s="113"/>
      <c r="K36" s="72">
        <v>31</v>
      </c>
      <c r="L36" s="76">
        <v>4</v>
      </c>
      <c r="M36" s="76">
        <v>2</v>
      </c>
      <c r="N36" s="76">
        <v>0</v>
      </c>
      <c r="O36" s="73">
        <v>6</v>
      </c>
      <c r="P36" s="74">
        <v>6135</v>
      </c>
    </row>
    <row r="37" spans="1:16" ht="15" thickTop="1" x14ac:dyDescent="0.3">
      <c r="A37" s="56" t="s">
        <v>19</v>
      </c>
      <c r="B37" s="57">
        <v>89878</v>
      </c>
      <c r="C37" s="57">
        <v>0</v>
      </c>
      <c r="D37" s="57">
        <v>30397</v>
      </c>
      <c r="E37" s="57">
        <v>5796</v>
      </c>
      <c r="F37" s="57">
        <v>7097</v>
      </c>
      <c r="G37" s="57">
        <v>10061</v>
      </c>
      <c r="H37" s="57">
        <v>143229</v>
      </c>
      <c r="I37" s="57">
        <v>0</v>
      </c>
      <c r="J37" s="57"/>
      <c r="K37" s="57"/>
      <c r="L37" s="57">
        <v>69</v>
      </c>
      <c r="M37" s="57">
        <v>361</v>
      </c>
      <c r="N37" s="57">
        <v>80</v>
      </c>
      <c r="O37" s="57">
        <v>510</v>
      </c>
      <c r="P37" s="58"/>
    </row>
    <row r="38" spans="1:16" x14ac:dyDescent="0.3">
      <c r="A38" s="56" t="s">
        <v>19</v>
      </c>
      <c r="B38" s="137">
        <v>89878</v>
      </c>
      <c r="C38" s="137"/>
      <c r="D38" s="57">
        <v>30397</v>
      </c>
      <c r="E38" s="57">
        <v>5796</v>
      </c>
      <c r="F38" s="57">
        <v>7097</v>
      </c>
      <c r="G38" s="57">
        <v>10061</v>
      </c>
      <c r="H38" s="112">
        <v>143229</v>
      </c>
      <c r="I38" s="57">
        <v>0</v>
      </c>
      <c r="J38" s="114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94A5-2476-48B6-A40B-114515321880}">
  <dimension ref="A1:Z46"/>
  <sheetViews>
    <sheetView workbookViewId="0">
      <selection activeCell="J11" sqref="J11"/>
    </sheetView>
  </sheetViews>
  <sheetFormatPr baseColWidth="10" defaultRowHeight="14.4" x14ac:dyDescent="0.3"/>
  <cols>
    <col min="16" max="16" width="0" hidden="1" customWidth="1"/>
  </cols>
  <sheetData>
    <row r="1" spans="1:26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6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ht="15.6" x14ac:dyDescent="0.3">
      <c r="A3" s="135" t="s">
        <v>30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26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26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26" ht="15" thickBot="1" x14ac:dyDescent="0.35">
      <c r="A6" s="78">
        <v>1</v>
      </c>
      <c r="B6" s="79">
        <v>3768</v>
      </c>
      <c r="C6" s="79">
        <v>0</v>
      </c>
      <c r="D6" s="79">
        <v>1162</v>
      </c>
      <c r="E6" s="79">
        <v>223</v>
      </c>
      <c r="F6" s="79">
        <v>249</v>
      </c>
      <c r="G6" s="79">
        <v>317</v>
      </c>
      <c r="H6" s="79">
        <v>5719</v>
      </c>
      <c r="I6" s="79">
        <v>0</v>
      </c>
      <c r="J6" s="80"/>
      <c r="K6" s="78">
        <v>1</v>
      </c>
      <c r="L6" s="79">
        <v>1</v>
      </c>
      <c r="M6" s="79">
        <v>18</v>
      </c>
      <c r="N6" s="79">
        <v>5</v>
      </c>
      <c r="O6" s="79">
        <v>24</v>
      </c>
      <c r="P6" s="82">
        <v>6135</v>
      </c>
      <c r="Q6" s="58"/>
      <c r="R6" s="58"/>
      <c r="S6" s="58"/>
    </row>
    <row r="7" spans="1:26" ht="15.6" thickTop="1" thickBot="1" x14ac:dyDescent="0.35">
      <c r="A7" s="78">
        <v>2</v>
      </c>
      <c r="B7" s="79">
        <v>3587</v>
      </c>
      <c r="C7" s="79">
        <v>0</v>
      </c>
      <c r="D7" s="79">
        <v>1257</v>
      </c>
      <c r="E7" s="79">
        <v>215</v>
      </c>
      <c r="F7" s="79">
        <v>260</v>
      </c>
      <c r="G7" s="79">
        <v>370</v>
      </c>
      <c r="H7" s="79">
        <v>5689</v>
      </c>
      <c r="I7" s="79">
        <v>0</v>
      </c>
      <c r="J7" s="80"/>
      <c r="K7" s="78">
        <v>2</v>
      </c>
      <c r="L7" s="79">
        <v>9</v>
      </c>
      <c r="M7" s="79">
        <v>12</v>
      </c>
      <c r="N7" s="79">
        <v>6</v>
      </c>
      <c r="O7" s="79">
        <v>27</v>
      </c>
      <c r="P7" s="82">
        <v>6135</v>
      </c>
      <c r="Q7" s="58"/>
      <c r="R7" s="58"/>
      <c r="S7" s="58"/>
    </row>
    <row r="8" spans="1:26" ht="15.6" thickTop="1" thickBot="1" x14ac:dyDescent="0.35">
      <c r="A8" s="78">
        <v>3</v>
      </c>
      <c r="B8" s="79">
        <v>3964</v>
      </c>
      <c r="C8" s="79">
        <v>0</v>
      </c>
      <c r="D8" s="79">
        <v>1348</v>
      </c>
      <c r="E8" s="79">
        <v>233</v>
      </c>
      <c r="F8" s="79">
        <v>262</v>
      </c>
      <c r="G8" s="79">
        <v>358</v>
      </c>
      <c r="H8" s="79">
        <v>6165</v>
      </c>
      <c r="I8" s="79">
        <v>0</v>
      </c>
      <c r="J8" s="80"/>
      <c r="K8" s="78">
        <v>3</v>
      </c>
      <c r="L8" s="79">
        <v>9</v>
      </c>
      <c r="M8" s="79">
        <v>16</v>
      </c>
      <c r="N8" s="79">
        <v>6</v>
      </c>
      <c r="O8" s="79">
        <v>31</v>
      </c>
      <c r="P8" s="82">
        <v>6135</v>
      </c>
      <c r="Q8" s="58"/>
      <c r="R8" s="58"/>
      <c r="S8" s="63"/>
    </row>
    <row r="9" spans="1:26" ht="15.6" thickTop="1" thickBot="1" x14ac:dyDescent="0.35">
      <c r="A9" s="78">
        <v>4</v>
      </c>
      <c r="B9" s="79">
        <v>5528</v>
      </c>
      <c r="C9" s="79">
        <v>0</v>
      </c>
      <c r="D9" s="79">
        <v>1269</v>
      </c>
      <c r="E9" s="79">
        <v>236</v>
      </c>
      <c r="F9" s="79">
        <v>306</v>
      </c>
      <c r="G9" s="79">
        <v>332</v>
      </c>
      <c r="H9" s="79">
        <v>7671</v>
      </c>
      <c r="I9" s="79">
        <v>0</v>
      </c>
      <c r="J9" s="80"/>
      <c r="K9" s="78">
        <v>4</v>
      </c>
      <c r="L9" s="79">
        <v>11</v>
      </c>
      <c r="M9" s="79">
        <v>16</v>
      </c>
      <c r="N9" s="79">
        <v>5</v>
      </c>
      <c r="O9" s="79">
        <v>32</v>
      </c>
      <c r="P9" s="82">
        <v>6135</v>
      </c>
      <c r="Q9" s="58"/>
      <c r="R9" s="58"/>
      <c r="S9" s="58"/>
    </row>
    <row r="10" spans="1:26" ht="15.6" thickTop="1" thickBot="1" x14ac:dyDescent="0.35">
      <c r="A10" s="78">
        <v>5</v>
      </c>
      <c r="B10" s="79">
        <v>5197</v>
      </c>
      <c r="C10" s="79">
        <v>0</v>
      </c>
      <c r="D10" s="79">
        <v>1157</v>
      </c>
      <c r="E10" s="79">
        <v>171</v>
      </c>
      <c r="F10" s="79">
        <v>246</v>
      </c>
      <c r="G10" s="79">
        <v>324</v>
      </c>
      <c r="H10" s="79">
        <v>7095</v>
      </c>
      <c r="I10" s="79">
        <v>0</v>
      </c>
      <c r="J10" s="80"/>
      <c r="K10" s="78">
        <v>5</v>
      </c>
      <c r="L10" s="79">
        <v>14</v>
      </c>
      <c r="M10" s="79">
        <v>28</v>
      </c>
      <c r="N10" s="79">
        <v>4</v>
      </c>
      <c r="O10" s="79">
        <v>46</v>
      </c>
      <c r="P10" s="82">
        <v>6135</v>
      </c>
      <c r="Q10" s="58"/>
      <c r="R10" s="58"/>
      <c r="S10" s="58"/>
    </row>
    <row r="11" spans="1:26" ht="15.6" thickTop="1" thickBot="1" x14ac:dyDescent="0.35">
      <c r="A11" s="78">
        <v>6</v>
      </c>
      <c r="B11" s="79">
        <v>6292</v>
      </c>
      <c r="C11" s="79">
        <v>0</v>
      </c>
      <c r="D11" s="79">
        <v>725</v>
      </c>
      <c r="E11" s="79">
        <v>118</v>
      </c>
      <c r="F11" s="79">
        <v>148</v>
      </c>
      <c r="G11" s="79">
        <v>257</v>
      </c>
      <c r="H11" s="79">
        <v>7540</v>
      </c>
      <c r="I11" s="79">
        <v>0</v>
      </c>
      <c r="J11" s="80"/>
      <c r="K11" s="78">
        <v>6</v>
      </c>
      <c r="L11" s="79">
        <v>1</v>
      </c>
      <c r="M11" s="79">
        <v>2</v>
      </c>
      <c r="N11" s="79">
        <v>1</v>
      </c>
      <c r="O11" s="79">
        <v>4</v>
      </c>
      <c r="P11" s="82">
        <v>6135</v>
      </c>
      <c r="Q11" s="58"/>
      <c r="R11" s="58"/>
      <c r="S11" s="58"/>
    </row>
    <row r="12" spans="1:26" ht="15.6" thickTop="1" thickBot="1" x14ac:dyDescent="0.35">
      <c r="A12" s="78">
        <v>7</v>
      </c>
      <c r="B12" s="79">
        <v>4042</v>
      </c>
      <c r="C12" s="79">
        <v>0</v>
      </c>
      <c r="D12" s="79">
        <v>882</v>
      </c>
      <c r="E12" s="79">
        <v>224</v>
      </c>
      <c r="F12" s="79">
        <v>185</v>
      </c>
      <c r="G12" s="79">
        <v>313</v>
      </c>
      <c r="H12" s="79">
        <v>5646</v>
      </c>
      <c r="I12" s="79">
        <v>0</v>
      </c>
      <c r="J12" s="81"/>
      <c r="K12" s="78">
        <v>7</v>
      </c>
      <c r="L12" s="79">
        <v>10</v>
      </c>
      <c r="M12" s="79">
        <v>6</v>
      </c>
      <c r="N12" s="79">
        <v>0</v>
      </c>
      <c r="O12" s="79">
        <v>16</v>
      </c>
      <c r="P12" s="82">
        <v>6135</v>
      </c>
      <c r="Q12" s="58"/>
      <c r="R12" s="58"/>
      <c r="S12" s="58"/>
    </row>
    <row r="13" spans="1:26" ht="15.6" thickTop="1" thickBot="1" x14ac:dyDescent="0.35">
      <c r="A13" s="78">
        <v>8</v>
      </c>
      <c r="B13" s="79">
        <v>3531</v>
      </c>
      <c r="C13" s="79">
        <v>0</v>
      </c>
      <c r="D13" s="79">
        <v>1241</v>
      </c>
      <c r="E13" s="79">
        <v>240</v>
      </c>
      <c r="F13" s="79">
        <v>218</v>
      </c>
      <c r="G13" s="79">
        <v>354</v>
      </c>
      <c r="H13" s="79">
        <v>5584</v>
      </c>
      <c r="I13" s="79">
        <v>0</v>
      </c>
      <c r="J13" s="81"/>
      <c r="K13" s="78">
        <v>8</v>
      </c>
      <c r="L13" s="79">
        <v>4</v>
      </c>
      <c r="M13" s="79">
        <v>4</v>
      </c>
      <c r="N13" s="79">
        <v>7</v>
      </c>
      <c r="O13" s="79">
        <v>15</v>
      </c>
      <c r="P13" s="82">
        <v>6135</v>
      </c>
      <c r="Q13" s="58"/>
      <c r="R13" s="58"/>
      <c r="S13" s="58"/>
    </row>
    <row r="14" spans="1:26" ht="15.6" thickTop="1" thickBot="1" x14ac:dyDescent="0.35">
      <c r="A14" s="78">
        <v>9</v>
      </c>
      <c r="B14" s="79">
        <v>3627</v>
      </c>
      <c r="C14" s="79">
        <v>0</v>
      </c>
      <c r="D14" s="79">
        <v>1250</v>
      </c>
      <c r="E14" s="79">
        <v>230</v>
      </c>
      <c r="F14" s="79">
        <v>254</v>
      </c>
      <c r="G14" s="79">
        <v>412</v>
      </c>
      <c r="H14" s="79">
        <v>5773</v>
      </c>
      <c r="I14" s="79">
        <v>0</v>
      </c>
      <c r="J14" s="81"/>
      <c r="K14" s="78">
        <v>9</v>
      </c>
      <c r="L14" s="79">
        <v>2</v>
      </c>
      <c r="M14" s="79">
        <v>16</v>
      </c>
      <c r="N14" s="79">
        <v>4</v>
      </c>
      <c r="O14" s="79">
        <v>22</v>
      </c>
      <c r="P14" s="83">
        <v>6135</v>
      </c>
      <c r="Q14" s="66"/>
      <c r="R14" s="66"/>
      <c r="S14" s="66"/>
    </row>
    <row r="15" spans="1:26" ht="15.6" thickTop="1" thickBot="1" x14ac:dyDescent="0.35">
      <c r="A15" s="78">
        <v>10</v>
      </c>
      <c r="B15" s="79">
        <v>3963</v>
      </c>
      <c r="C15" s="79">
        <v>0</v>
      </c>
      <c r="D15" s="79">
        <v>1354</v>
      </c>
      <c r="E15" s="79">
        <v>234</v>
      </c>
      <c r="F15" s="79">
        <v>242</v>
      </c>
      <c r="G15" s="79">
        <v>430</v>
      </c>
      <c r="H15" s="79">
        <v>6223</v>
      </c>
      <c r="I15" s="79">
        <v>0</v>
      </c>
      <c r="J15" s="81"/>
      <c r="K15" s="78">
        <v>10</v>
      </c>
      <c r="L15" s="79">
        <v>22</v>
      </c>
      <c r="M15" s="79">
        <v>18</v>
      </c>
      <c r="N15" s="79">
        <v>7</v>
      </c>
      <c r="O15" s="79">
        <v>47</v>
      </c>
      <c r="P15" s="82">
        <v>6135</v>
      </c>
      <c r="Q15" s="58"/>
      <c r="R15" s="58"/>
      <c r="S15" s="58"/>
    </row>
    <row r="16" spans="1:26" ht="15.6" thickTop="1" thickBot="1" x14ac:dyDescent="0.35">
      <c r="A16" s="78">
        <v>11</v>
      </c>
      <c r="B16" s="79">
        <v>5183</v>
      </c>
      <c r="C16" s="79">
        <v>0</v>
      </c>
      <c r="D16" s="79">
        <v>1268</v>
      </c>
      <c r="E16" s="79">
        <v>241</v>
      </c>
      <c r="F16" s="79">
        <v>238</v>
      </c>
      <c r="G16" s="79">
        <v>387</v>
      </c>
      <c r="H16" s="79">
        <v>7317</v>
      </c>
      <c r="I16" s="79">
        <v>0</v>
      </c>
      <c r="J16" s="81"/>
      <c r="K16" s="78">
        <v>11</v>
      </c>
      <c r="L16" s="79">
        <v>4</v>
      </c>
      <c r="M16" s="79">
        <v>21</v>
      </c>
      <c r="N16" s="79">
        <v>8</v>
      </c>
      <c r="O16" s="79">
        <v>33</v>
      </c>
      <c r="P16" s="82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78">
        <v>12</v>
      </c>
      <c r="B17" s="79">
        <v>5450</v>
      </c>
      <c r="C17" s="79">
        <v>0</v>
      </c>
      <c r="D17" s="79">
        <v>1117</v>
      </c>
      <c r="E17" s="79">
        <v>207</v>
      </c>
      <c r="F17" s="79">
        <v>258</v>
      </c>
      <c r="G17" s="79">
        <v>290</v>
      </c>
      <c r="H17" s="79">
        <v>7322</v>
      </c>
      <c r="I17" s="79">
        <v>0</v>
      </c>
      <c r="J17" s="81"/>
      <c r="K17" s="78">
        <v>12</v>
      </c>
      <c r="L17" s="79">
        <v>10</v>
      </c>
      <c r="M17" s="79">
        <v>12</v>
      </c>
      <c r="N17" s="79">
        <v>2</v>
      </c>
      <c r="O17" s="79">
        <v>24</v>
      </c>
      <c r="P17" s="82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78">
        <v>13</v>
      </c>
      <c r="B18" s="79">
        <v>6573</v>
      </c>
      <c r="C18" s="79">
        <v>0</v>
      </c>
      <c r="D18" s="79">
        <v>835</v>
      </c>
      <c r="E18" s="79">
        <v>130</v>
      </c>
      <c r="F18" s="79">
        <v>135</v>
      </c>
      <c r="G18" s="79">
        <v>232</v>
      </c>
      <c r="H18" s="79">
        <v>7905</v>
      </c>
      <c r="I18" s="79">
        <v>0</v>
      </c>
      <c r="J18" s="81"/>
      <c r="K18" s="78">
        <v>13</v>
      </c>
      <c r="L18" s="79">
        <v>6</v>
      </c>
      <c r="M18" s="79">
        <v>2</v>
      </c>
      <c r="N18" s="79">
        <v>1</v>
      </c>
      <c r="O18" s="79">
        <v>9</v>
      </c>
      <c r="P18" s="82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78">
        <v>14</v>
      </c>
      <c r="B19" s="79">
        <v>4106</v>
      </c>
      <c r="C19" s="79">
        <v>0</v>
      </c>
      <c r="D19" s="79">
        <v>969</v>
      </c>
      <c r="E19" s="79">
        <v>248</v>
      </c>
      <c r="F19" s="79">
        <v>188</v>
      </c>
      <c r="G19" s="79">
        <v>352</v>
      </c>
      <c r="H19" s="79">
        <v>5863</v>
      </c>
      <c r="I19" s="79">
        <v>0</v>
      </c>
      <c r="J19" s="81"/>
      <c r="K19" s="78">
        <v>14</v>
      </c>
      <c r="L19" s="79">
        <v>14</v>
      </c>
      <c r="M19" s="79">
        <v>6</v>
      </c>
      <c r="N19" s="79">
        <v>1</v>
      </c>
      <c r="O19" s="79">
        <v>21</v>
      </c>
      <c r="P19" s="82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78">
        <v>15</v>
      </c>
      <c r="B20" s="79">
        <v>3540</v>
      </c>
      <c r="C20" s="79">
        <v>0</v>
      </c>
      <c r="D20" s="79">
        <v>1286</v>
      </c>
      <c r="E20" s="79">
        <v>235</v>
      </c>
      <c r="F20" s="79">
        <v>215</v>
      </c>
      <c r="G20" s="79">
        <v>371</v>
      </c>
      <c r="H20" s="79">
        <v>5647</v>
      </c>
      <c r="I20" s="79">
        <v>0</v>
      </c>
      <c r="J20" s="81"/>
      <c r="K20" s="78">
        <v>15</v>
      </c>
      <c r="L20" s="79">
        <v>23</v>
      </c>
      <c r="M20" s="79">
        <v>14</v>
      </c>
      <c r="N20" s="79">
        <v>2</v>
      </c>
      <c r="O20" s="79">
        <v>39</v>
      </c>
      <c r="P20" s="82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78">
        <v>16</v>
      </c>
      <c r="B21" s="79">
        <v>3682</v>
      </c>
      <c r="C21" s="79">
        <v>0</v>
      </c>
      <c r="D21" s="79">
        <v>1308</v>
      </c>
      <c r="E21" s="79">
        <v>260</v>
      </c>
      <c r="F21" s="79">
        <v>251</v>
      </c>
      <c r="G21" s="79">
        <v>369</v>
      </c>
      <c r="H21" s="79">
        <v>5870</v>
      </c>
      <c r="I21" s="79">
        <v>0</v>
      </c>
      <c r="J21" s="81"/>
      <c r="K21" s="78">
        <v>16</v>
      </c>
      <c r="L21" s="79">
        <v>11</v>
      </c>
      <c r="M21" s="79">
        <v>8</v>
      </c>
      <c r="N21" s="79">
        <v>6</v>
      </c>
      <c r="O21" s="79">
        <v>25</v>
      </c>
      <c r="P21" s="82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78">
        <v>17</v>
      </c>
      <c r="B22" s="79">
        <v>4051</v>
      </c>
      <c r="C22" s="79">
        <v>0</v>
      </c>
      <c r="D22" s="79">
        <v>1329</v>
      </c>
      <c r="E22" s="79">
        <v>285</v>
      </c>
      <c r="F22" s="79">
        <v>305</v>
      </c>
      <c r="G22" s="79">
        <v>373</v>
      </c>
      <c r="H22" s="79">
        <v>6343</v>
      </c>
      <c r="I22" s="79">
        <v>0</v>
      </c>
      <c r="J22" s="81"/>
      <c r="K22" s="78">
        <v>17</v>
      </c>
      <c r="L22" s="79">
        <v>13</v>
      </c>
      <c r="M22" s="79">
        <v>11</v>
      </c>
      <c r="N22" s="79">
        <v>3</v>
      </c>
      <c r="O22" s="79">
        <v>27</v>
      </c>
      <c r="P22" s="82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78">
        <v>18</v>
      </c>
      <c r="B23" s="79">
        <v>5422</v>
      </c>
      <c r="C23" s="79">
        <v>0</v>
      </c>
      <c r="D23" s="79">
        <v>1224</v>
      </c>
      <c r="E23" s="79">
        <v>247</v>
      </c>
      <c r="F23" s="79">
        <v>213</v>
      </c>
      <c r="G23" s="79">
        <v>344</v>
      </c>
      <c r="H23" s="85">
        <v>7450</v>
      </c>
      <c r="I23" s="79">
        <v>0</v>
      </c>
      <c r="J23" s="81"/>
      <c r="K23" s="78">
        <v>18</v>
      </c>
      <c r="L23" s="79">
        <v>9</v>
      </c>
      <c r="M23" s="79">
        <v>14</v>
      </c>
      <c r="N23" s="79">
        <v>3</v>
      </c>
      <c r="O23" s="79">
        <v>26</v>
      </c>
      <c r="P23" s="82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78">
        <v>19</v>
      </c>
      <c r="B24" s="79">
        <v>5520</v>
      </c>
      <c r="C24" s="79">
        <v>0</v>
      </c>
      <c r="D24" s="79">
        <v>999</v>
      </c>
      <c r="E24" s="79">
        <v>164</v>
      </c>
      <c r="F24" s="79">
        <v>221</v>
      </c>
      <c r="G24" s="79">
        <v>263</v>
      </c>
      <c r="H24" s="85">
        <v>7167</v>
      </c>
      <c r="I24" s="79">
        <v>0</v>
      </c>
      <c r="J24" s="81"/>
      <c r="K24" s="78">
        <v>19</v>
      </c>
      <c r="L24" s="79">
        <v>22</v>
      </c>
      <c r="M24" s="79">
        <v>21</v>
      </c>
      <c r="N24" s="79">
        <v>1</v>
      </c>
      <c r="O24" s="79">
        <v>44</v>
      </c>
      <c r="P24" s="82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78">
        <v>20</v>
      </c>
      <c r="B25" s="79">
        <v>7909</v>
      </c>
      <c r="C25" s="79">
        <v>0</v>
      </c>
      <c r="D25" s="79">
        <v>1019</v>
      </c>
      <c r="E25" s="79">
        <v>158</v>
      </c>
      <c r="F25" s="79">
        <v>154</v>
      </c>
      <c r="G25" s="79">
        <v>296</v>
      </c>
      <c r="H25" s="79">
        <v>9536</v>
      </c>
      <c r="I25" s="79">
        <v>0</v>
      </c>
      <c r="J25" s="81"/>
      <c r="K25" s="78">
        <v>20</v>
      </c>
      <c r="L25" s="79">
        <v>4</v>
      </c>
      <c r="M25" s="79">
        <v>1</v>
      </c>
      <c r="N25" s="79">
        <v>2</v>
      </c>
      <c r="O25" s="79">
        <v>7</v>
      </c>
      <c r="P25" s="82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78">
        <v>21</v>
      </c>
      <c r="B26" s="79">
        <v>3918</v>
      </c>
      <c r="C26" s="79">
        <v>0</v>
      </c>
      <c r="D26" s="79">
        <v>1012</v>
      </c>
      <c r="E26" s="79">
        <v>253</v>
      </c>
      <c r="F26" s="79">
        <v>184</v>
      </c>
      <c r="G26" s="79">
        <v>379</v>
      </c>
      <c r="H26" s="79">
        <v>5746</v>
      </c>
      <c r="I26" s="79">
        <v>0</v>
      </c>
      <c r="J26" s="81"/>
      <c r="K26" s="78">
        <v>21</v>
      </c>
      <c r="L26" s="79">
        <v>4</v>
      </c>
      <c r="M26" s="79">
        <v>6</v>
      </c>
      <c r="N26" s="79">
        <v>4</v>
      </c>
      <c r="O26" s="79">
        <v>14</v>
      </c>
      <c r="P26" s="82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78">
        <v>22</v>
      </c>
      <c r="B27" s="79">
        <v>3696</v>
      </c>
      <c r="C27" s="79">
        <v>0</v>
      </c>
      <c r="D27" s="79">
        <v>1300</v>
      </c>
      <c r="E27" s="79">
        <v>243</v>
      </c>
      <c r="F27" s="79">
        <v>241</v>
      </c>
      <c r="G27" s="79">
        <v>402</v>
      </c>
      <c r="H27" s="79">
        <v>5882</v>
      </c>
      <c r="I27" s="79">
        <v>0</v>
      </c>
      <c r="J27" s="81"/>
      <c r="K27" s="78">
        <v>22</v>
      </c>
      <c r="L27" s="79">
        <v>5</v>
      </c>
      <c r="M27" s="79">
        <v>26</v>
      </c>
      <c r="N27" s="79">
        <v>4</v>
      </c>
      <c r="O27" s="79">
        <v>35</v>
      </c>
      <c r="P27" s="82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78">
        <v>23</v>
      </c>
      <c r="B28" s="79">
        <v>3680</v>
      </c>
      <c r="C28" s="79">
        <v>0</v>
      </c>
      <c r="D28" s="79">
        <v>1331</v>
      </c>
      <c r="E28" s="79">
        <v>240</v>
      </c>
      <c r="F28" s="79">
        <v>253</v>
      </c>
      <c r="G28" s="79">
        <v>428</v>
      </c>
      <c r="H28" s="79">
        <v>5932</v>
      </c>
      <c r="I28" s="79">
        <v>0</v>
      </c>
      <c r="J28" s="81"/>
      <c r="K28" s="78">
        <v>23</v>
      </c>
      <c r="L28" s="79">
        <v>5</v>
      </c>
      <c r="M28" s="79">
        <v>11</v>
      </c>
      <c r="N28" s="79">
        <v>4</v>
      </c>
      <c r="O28" s="79">
        <v>20</v>
      </c>
      <c r="P28" s="82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78">
        <v>24</v>
      </c>
      <c r="B29" s="79">
        <v>4112</v>
      </c>
      <c r="C29" s="79">
        <v>0</v>
      </c>
      <c r="D29" s="79">
        <v>1473</v>
      </c>
      <c r="E29" s="79">
        <v>247</v>
      </c>
      <c r="F29" s="79">
        <v>255</v>
      </c>
      <c r="G29" s="79">
        <v>400</v>
      </c>
      <c r="H29" s="79">
        <v>6487</v>
      </c>
      <c r="I29" s="79">
        <v>0</v>
      </c>
      <c r="J29" s="81"/>
      <c r="K29" s="78">
        <v>24</v>
      </c>
      <c r="L29" s="79">
        <v>5</v>
      </c>
      <c r="M29" s="79">
        <v>18</v>
      </c>
      <c r="N29" s="79">
        <v>4</v>
      </c>
      <c r="O29" s="79">
        <v>27</v>
      </c>
      <c r="P29" s="82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78">
        <v>25</v>
      </c>
      <c r="B30" s="79">
        <v>5642</v>
      </c>
      <c r="C30" s="79">
        <v>0</v>
      </c>
      <c r="D30" s="79">
        <v>1323</v>
      </c>
      <c r="E30" s="79">
        <v>268</v>
      </c>
      <c r="F30" s="79">
        <v>265</v>
      </c>
      <c r="G30" s="79">
        <v>371</v>
      </c>
      <c r="H30" s="79">
        <v>7869</v>
      </c>
      <c r="I30" s="79">
        <v>0</v>
      </c>
      <c r="J30" s="81"/>
      <c r="K30" s="78">
        <v>25</v>
      </c>
      <c r="L30" s="79">
        <v>6</v>
      </c>
      <c r="M30" s="79">
        <v>13</v>
      </c>
      <c r="N30" s="79">
        <v>4</v>
      </c>
      <c r="O30" s="79">
        <v>23</v>
      </c>
      <c r="P30" s="82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78">
        <v>26</v>
      </c>
      <c r="B31" s="79">
        <v>6163</v>
      </c>
      <c r="C31" s="79">
        <v>0</v>
      </c>
      <c r="D31" s="79">
        <v>1263</v>
      </c>
      <c r="E31" s="79">
        <v>209</v>
      </c>
      <c r="F31" s="79">
        <v>258</v>
      </c>
      <c r="G31" s="79">
        <v>296</v>
      </c>
      <c r="H31" s="79">
        <v>8189</v>
      </c>
      <c r="I31" s="79">
        <v>0</v>
      </c>
      <c r="J31" s="81"/>
      <c r="K31" s="78">
        <v>26</v>
      </c>
      <c r="L31" s="79">
        <v>9</v>
      </c>
      <c r="M31" s="79">
        <v>27</v>
      </c>
      <c r="N31" s="79">
        <v>5</v>
      </c>
      <c r="O31" s="79">
        <v>41</v>
      </c>
      <c r="P31" s="82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78">
        <v>27</v>
      </c>
      <c r="B32" s="79">
        <v>8178</v>
      </c>
      <c r="C32" s="79">
        <v>0</v>
      </c>
      <c r="D32" s="79">
        <v>860</v>
      </c>
      <c r="E32" s="79">
        <v>105</v>
      </c>
      <c r="F32" s="79">
        <v>163</v>
      </c>
      <c r="G32" s="79">
        <v>305</v>
      </c>
      <c r="H32" s="79">
        <v>9611</v>
      </c>
      <c r="I32" s="79">
        <v>0</v>
      </c>
      <c r="J32" s="81"/>
      <c r="K32" s="78">
        <v>27</v>
      </c>
      <c r="L32" s="79">
        <v>3</v>
      </c>
      <c r="M32" s="79">
        <v>7</v>
      </c>
      <c r="N32" s="79">
        <v>0</v>
      </c>
      <c r="O32" s="79">
        <v>10</v>
      </c>
      <c r="P32" s="82">
        <v>6135</v>
      </c>
    </row>
    <row r="33" spans="1:16" ht="15.6" thickTop="1" thickBot="1" x14ac:dyDescent="0.35">
      <c r="A33" s="78">
        <v>28</v>
      </c>
      <c r="B33" s="79">
        <v>4138</v>
      </c>
      <c r="C33" s="79">
        <v>0</v>
      </c>
      <c r="D33" s="79">
        <v>1062</v>
      </c>
      <c r="E33" s="79">
        <v>246</v>
      </c>
      <c r="F33" s="79">
        <v>177</v>
      </c>
      <c r="G33" s="79">
        <v>341</v>
      </c>
      <c r="H33" s="79">
        <v>5964</v>
      </c>
      <c r="I33" s="79">
        <v>0</v>
      </c>
      <c r="J33" s="81"/>
      <c r="K33" s="78">
        <v>28</v>
      </c>
      <c r="L33" s="79">
        <v>7</v>
      </c>
      <c r="M33" s="79">
        <v>7</v>
      </c>
      <c r="N33" s="79">
        <v>2</v>
      </c>
      <c r="O33" s="79">
        <v>16</v>
      </c>
      <c r="P33" s="82">
        <v>6135</v>
      </c>
    </row>
    <row r="34" spans="1:16" ht="15.6" thickTop="1" thickBot="1" x14ac:dyDescent="0.35">
      <c r="A34" s="78">
        <v>29</v>
      </c>
      <c r="B34" s="79">
        <v>3703</v>
      </c>
      <c r="C34" s="79">
        <v>0</v>
      </c>
      <c r="D34" s="79">
        <v>1373</v>
      </c>
      <c r="E34" s="79">
        <v>249</v>
      </c>
      <c r="F34" s="79">
        <v>243</v>
      </c>
      <c r="G34" s="79">
        <v>389</v>
      </c>
      <c r="H34" s="79">
        <v>5957</v>
      </c>
      <c r="I34" s="79">
        <v>0</v>
      </c>
      <c r="J34" s="81"/>
      <c r="K34" s="78">
        <v>29</v>
      </c>
      <c r="L34" s="79">
        <v>3</v>
      </c>
      <c r="M34" s="79">
        <v>4</v>
      </c>
      <c r="N34" s="79">
        <v>1</v>
      </c>
      <c r="O34" s="79">
        <v>8</v>
      </c>
      <c r="P34" s="82">
        <v>6135</v>
      </c>
    </row>
    <row r="35" spans="1:16" ht="15.6" thickTop="1" thickBot="1" x14ac:dyDescent="0.35">
      <c r="A35" s="78">
        <v>30</v>
      </c>
      <c r="B35" s="79">
        <v>3893</v>
      </c>
      <c r="C35" s="79">
        <v>0</v>
      </c>
      <c r="D35" s="79">
        <v>1435</v>
      </c>
      <c r="E35" s="79">
        <v>255</v>
      </c>
      <c r="F35" s="79">
        <v>250</v>
      </c>
      <c r="G35" s="79">
        <v>409</v>
      </c>
      <c r="H35" s="79">
        <v>6242</v>
      </c>
      <c r="I35" s="79">
        <v>0</v>
      </c>
      <c r="J35" s="81"/>
      <c r="K35" s="78">
        <v>30</v>
      </c>
      <c r="L35" s="79">
        <v>8</v>
      </c>
      <c r="M35" s="79">
        <v>20</v>
      </c>
      <c r="N35" s="79">
        <v>5</v>
      </c>
      <c r="O35" s="79">
        <v>33</v>
      </c>
      <c r="P35" s="82">
        <v>6135</v>
      </c>
    </row>
    <row r="36" spans="1:16" ht="15.6" thickTop="1" thickBot="1" x14ac:dyDescent="0.35">
      <c r="A36" s="78">
        <v>31</v>
      </c>
      <c r="B36" s="79"/>
      <c r="C36" s="79"/>
      <c r="D36" s="79"/>
      <c r="E36" s="79"/>
      <c r="F36" s="79"/>
      <c r="G36" s="79"/>
      <c r="H36" s="79">
        <v>0</v>
      </c>
      <c r="I36" s="79">
        <v>0</v>
      </c>
      <c r="J36" s="81"/>
      <c r="K36" s="78">
        <v>31</v>
      </c>
      <c r="L36" s="84"/>
      <c r="M36" s="84"/>
      <c r="N36" s="84"/>
      <c r="O36" s="79">
        <v>0</v>
      </c>
      <c r="P36" s="82">
        <v>6135</v>
      </c>
    </row>
    <row r="37" spans="1:16" ht="15" thickTop="1" x14ac:dyDescent="0.3">
      <c r="A37" s="56" t="s">
        <v>19</v>
      </c>
      <c r="B37" s="57">
        <v>142058</v>
      </c>
      <c r="C37" s="57">
        <v>0</v>
      </c>
      <c r="D37" s="57">
        <v>35431</v>
      </c>
      <c r="E37" s="57">
        <v>6614</v>
      </c>
      <c r="F37" s="57">
        <v>6837</v>
      </c>
      <c r="G37" s="57">
        <v>10464</v>
      </c>
      <c r="H37" s="57">
        <v>201404</v>
      </c>
      <c r="I37" s="57">
        <v>0</v>
      </c>
      <c r="J37" s="57"/>
      <c r="K37" s="57"/>
      <c r="L37" s="57">
        <v>254</v>
      </c>
      <c r="M37" s="57">
        <v>385</v>
      </c>
      <c r="N37" s="57">
        <v>107</v>
      </c>
      <c r="O37" s="112">
        <v>746</v>
      </c>
      <c r="P37" s="58"/>
    </row>
    <row r="38" spans="1:16" x14ac:dyDescent="0.3">
      <c r="A38" s="56" t="s">
        <v>19</v>
      </c>
      <c r="B38" s="137">
        <v>142058</v>
      </c>
      <c r="C38" s="137"/>
      <c r="D38" s="57">
        <v>35431</v>
      </c>
      <c r="E38" s="57">
        <v>6614</v>
      </c>
      <c r="F38" s="57">
        <v>6837</v>
      </c>
      <c r="G38" s="57">
        <v>10464</v>
      </c>
      <c r="H38" s="112">
        <v>201404</v>
      </c>
      <c r="I38" s="57">
        <v>0</v>
      </c>
      <c r="J38" s="60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67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1B52-B9CE-4E5E-B917-662C5193DA36}">
  <dimension ref="A1:Z46"/>
  <sheetViews>
    <sheetView topLeftCell="A21" workbookViewId="0">
      <selection activeCell="J13" sqref="J13"/>
    </sheetView>
  </sheetViews>
  <sheetFormatPr baseColWidth="10" defaultRowHeight="14.4" x14ac:dyDescent="0.3"/>
  <cols>
    <col min="16" max="16" width="0" hidden="1" customWidth="1"/>
  </cols>
  <sheetData>
    <row r="1" spans="1:26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6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ht="15.6" x14ac:dyDescent="0.3">
      <c r="A3" s="135" t="s">
        <v>31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26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26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26" ht="15" thickBot="1" x14ac:dyDescent="0.35">
      <c r="A6" s="86">
        <v>1</v>
      </c>
      <c r="B6" s="87">
        <v>4179</v>
      </c>
      <c r="C6" s="87">
        <v>0</v>
      </c>
      <c r="D6" s="87">
        <v>1438</v>
      </c>
      <c r="E6" s="87">
        <v>258</v>
      </c>
      <c r="F6" s="87">
        <v>231</v>
      </c>
      <c r="G6" s="87">
        <v>405</v>
      </c>
      <c r="H6" s="87">
        <v>6511</v>
      </c>
      <c r="I6" s="87">
        <v>0</v>
      </c>
      <c r="J6" s="88"/>
      <c r="K6" s="86">
        <v>1</v>
      </c>
      <c r="L6" s="87">
        <v>5</v>
      </c>
      <c r="M6" s="87">
        <v>4</v>
      </c>
      <c r="N6" s="87">
        <v>1</v>
      </c>
      <c r="O6" s="87">
        <v>10</v>
      </c>
      <c r="P6" s="90">
        <v>6135</v>
      </c>
      <c r="Q6" s="58"/>
      <c r="R6" s="58"/>
      <c r="S6" s="58"/>
    </row>
    <row r="7" spans="1:26" ht="15.6" thickTop="1" thickBot="1" x14ac:dyDescent="0.35">
      <c r="A7" s="86">
        <v>2</v>
      </c>
      <c r="B7" s="87">
        <v>6258</v>
      </c>
      <c r="C7" s="87">
        <v>0</v>
      </c>
      <c r="D7" s="87">
        <v>1172</v>
      </c>
      <c r="E7" s="87">
        <v>202</v>
      </c>
      <c r="F7" s="87">
        <v>208</v>
      </c>
      <c r="G7" s="87">
        <v>303</v>
      </c>
      <c r="H7" s="87">
        <v>8143</v>
      </c>
      <c r="I7" s="87">
        <v>0</v>
      </c>
      <c r="J7" s="88"/>
      <c r="K7" s="86">
        <v>2</v>
      </c>
      <c r="L7" s="87">
        <v>8</v>
      </c>
      <c r="M7" s="87">
        <v>12</v>
      </c>
      <c r="N7" s="87">
        <v>1</v>
      </c>
      <c r="O7" s="87">
        <v>21</v>
      </c>
      <c r="P7" s="90">
        <v>6135</v>
      </c>
      <c r="Q7" s="58"/>
      <c r="R7" s="58"/>
      <c r="S7" s="58"/>
    </row>
    <row r="8" spans="1:26" ht="15.6" thickTop="1" thickBot="1" x14ac:dyDescent="0.35">
      <c r="A8" s="86">
        <v>3</v>
      </c>
      <c r="B8" s="87">
        <v>7879</v>
      </c>
      <c r="C8" s="87">
        <v>0</v>
      </c>
      <c r="D8" s="87">
        <v>1162</v>
      </c>
      <c r="E8" s="87">
        <v>140</v>
      </c>
      <c r="F8" s="87">
        <v>207</v>
      </c>
      <c r="G8" s="87">
        <v>202</v>
      </c>
      <c r="H8" s="87">
        <v>9590</v>
      </c>
      <c r="I8" s="87">
        <v>0</v>
      </c>
      <c r="J8" s="88"/>
      <c r="K8" s="86">
        <v>3</v>
      </c>
      <c r="L8" s="87">
        <v>0</v>
      </c>
      <c r="M8" s="87">
        <v>1</v>
      </c>
      <c r="N8" s="87">
        <v>4</v>
      </c>
      <c r="O8" s="87">
        <v>5</v>
      </c>
      <c r="P8" s="90">
        <v>6135</v>
      </c>
      <c r="Q8" s="58"/>
      <c r="R8" s="58"/>
      <c r="S8" s="63"/>
    </row>
    <row r="9" spans="1:26" ht="15.6" thickTop="1" thickBot="1" x14ac:dyDescent="0.35">
      <c r="A9" s="86">
        <v>4</v>
      </c>
      <c r="B9" s="87">
        <v>9332</v>
      </c>
      <c r="C9" s="87">
        <v>0</v>
      </c>
      <c r="D9" s="87">
        <v>964</v>
      </c>
      <c r="E9" s="87">
        <v>124</v>
      </c>
      <c r="F9" s="87">
        <v>143</v>
      </c>
      <c r="G9" s="87">
        <v>273</v>
      </c>
      <c r="H9" s="87">
        <v>10836</v>
      </c>
      <c r="I9" s="87">
        <v>0</v>
      </c>
      <c r="J9" s="88"/>
      <c r="K9" s="86">
        <v>4</v>
      </c>
      <c r="L9" s="87">
        <v>1</v>
      </c>
      <c r="M9" s="87">
        <v>6</v>
      </c>
      <c r="N9" s="87">
        <v>3</v>
      </c>
      <c r="O9" s="87">
        <v>10</v>
      </c>
      <c r="P9" s="90">
        <v>6135</v>
      </c>
      <c r="Q9" s="58"/>
      <c r="R9" s="58"/>
      <c r="S9" s="58"/>
    </row>
    <row r="10" spans="1:26" ht="15.6" thickTop="1" thickBot="1" x14ac:dyDescent="0.35">
      <c r="A10" s="86">
        <v>5</v>
      </c>
      <c r="B10" s="87">
        <v>5048</v>
      </c>
      <c r="C10" s="87">
        <v>0</v>
      </c>
      <c r="D10" s="87">
        <v>1164</v>
      </c>
      <c r="E10" s="87">
        <v>230</v>
      </c>
      <c r="F10" s="87">
        <v>216</v>
      </c>
      <c r="G10" s="87">
        <v>388</v>
      </c>
      <c r="H10" s="87">
        <v>7046</v>
      </c>
      <c r="I10" s="87">
        <v>0</v>
      </c>
      <c r="J10" s="88"/>
      <c r="K10" s="86">
        <v>5</v>
      </c>
      <c r="L10" s="87">
        <v>4</v>
      </c>
      <c r="M10" s="87">
        <v>20</v>
      </c>
      <c r="N10" s="87">
        <v>2</v>
      </c>
      <c r="O10" s="87">
        <v>26</v>
      </c>
      <c r="P10" s="90">
        <v>6135</v>
      </c>
      <c r="Q10" s="58"/>
      <c r="R10" s="58"/>
      <c r="S10" s="58"/>
    </row>
    <row r="11" spans="1:26" ht="15.6" thickTop="1" thickBot="1" x14ac:dyDescent="0.35">
      <c r="A11" s="86">
        <v>6</v>
      </c>
      <c r="B11" s="87">
        <v>4612</v>
      </c>
      <c r="C11" s="87">
        <v>0</v>
      </c>
      <c r="D11" s="87">
        <v>1374</v>
      </c>
      <c r="E11" s="87">
        <v>234</v>
      </c>
      <c r="F11" s="87">
        <v>265</v>
      </c>
      <c r="G11" s="87">
        <v>373</v>
      </c>
      <c r="H11" s="87">
        <v>6858</v>
      </c>
      <c r="I11" s="87">
        <v>0</v>
      </c>
      <c r="J11" s="88"/>
      <c r="K11" s="86">
        <v>6</v>
      </c>
      <c r="L11" s="87">
        <v>9</v>
      </c>
      <c r="M11" s="87">
        <v>18</v>
      </c>
      <c r="N11" s="87">
        <v>2</v>
      </c>
      <c r="O11" s="87">
        <v>29</v>
      </c>
      <c r="P11" s="90">
        <v>6135</v>
      </c>
      <c r="Q11" s="58"/>
      <c r="R11" s="58"/>
      <c r="S11" s="58"/>
    </row>
    <row r="12" spans="1:26" ht="15.6" thickTop="1" thickBot="1" x14ac:dyDescent="0.35">
      <c r="A12" s="86">
        <v>7</v>
      </c>
      <c r="B12" s="87">
        <v>4930</v>
      </c>
      <c r="C12" s="87">
        <v>0</v>
      </c>
      <c r="D12" s="87">
        <v>1432</v>
      </c>
      <c r="E12" s="87">
        <v>266</v>
      </c>
      <c r="F12" s="87">
        <v>242</v>
      </c>
      <c r="G12" s="87">
        <v>393</v>
      </c>
      <c r="H12" s="87">
        <v>7263</v>
      </c>
      <c r="I12" s="87">
        <v>0</v>
      </c>
      <c r="J12" s="89"/>
      <c r="K12" s="86">
        <v>7</v>
      </c>
      <c r="L12" s="87">
        <v>8</v>
      </c>
      <c r="M12" s="87">
        <v>20</v>
      </c>
      <c r="N12" s="87">
        <v>3</v>
      </c>
      <c r="O12" s="87">
        <v>31</v>
      </c>
      <c r="P12" s="90">
        <v>6135</v>
      </c>
      <c r="Q12" s="58"/>
      <c r="R12" s="58"/>
      <c r="S12" s="58"/>
    </row>
    <row r="13" spans="1:26" ht="15.6" thickTop="1" thickBot="1" x14ac:dyDescent="0.35">
      <c r="A13" s="86">
        <v>8</v>
      </c>
      <c r="B13" s="87">
        <v>6211</v>
      </c>
      <c r="C13" s="87">
        <v>0</v>
      </c>
      <c r="D13" s="87">
        <v>1516</v>
      </c>
      <c r="E13" s="87">
        <v>266</v>
      </c>
      <c r="F13" s="87">
        <v>266</v>
      </c>
      <c r="G13" s="87">
        <v>408</v>
      </c>
      <c r="H13" s="87">
        <v>8667</v>
      </c>
      <c r="I13" s="87">
        <v>0</v>
      </c>
      <c r="J13" s="89"/>
      <c r="K13" s="86">
        <v>8</v>
      </c>
      <c r="L13" s="87">
        <v>12</v>
      </c>
      <c r="M13" s="87">
        <v>10</v>
      </c>
      <c r="N13" s="87">
        <v>5</v>
      </c>
      <c r="O13" s="87">
        <v>27</v>
      </c>
      <c r="P13" s="90">
        <v>6135</v>
      </c>
      <c r="Q13" s="58"/>
      <c r="R13" s="58"/>
      <c r="S13" s="58"/>
    </row>
    <row r="14" spans="1:26" ht="15.6" thickTop="1" thickBot="1" x14ac:dyDescent="0.35">
      <c r="A14" s="86">
        <v>9</v>
      </c>
      <c r="B14" s="87">
        <v>8582</v>
      </c>
      <c r="C14" s="87">
        <v>0</v>
      </c>
      <c r="D14" s="87">
        <v>1307</v>
      </c>
      <c r="E14" s="87">
        <v>239</v>
      </c>
      <c r="F14" s="87">
        <v>231</v>
      </c>
      <c r="G14" s="87">
        <v>306</v>
      </c>
      <c r="H14" s="87">
        <v>10665</v>
      </c>
      <c r="I14" s="87">
        <v>0</v>
      </c>
      <c r="J14" s="89"/>
      <c r="K14" s="86">
        <v>9</v>
      </c>
      <c r="L14" s="87">
        <v>6</v>
      </c>
      <c r="M14" s="87">
        <v>20</v>
      </c>
      <c r="N14" s="87">
        <v>2</v>
      </c>
      <c r="O14" s="87">
        <v>28</v>
      </c>
      <c r="P14" s="91">
        <v>6135</v>
      </c>
      <c r="Q14" s="66"/>
      <c r="R14" s="66"/>
      <c r="S14" s="66"/>
    </row>
    <row r="15" spans="1:26" ht="15.6" thickTop="1" thickBot="1" x14ac:dyDescent="0.35">
      <c r="A15" s="86">
        <v>10</v>
      </c>
      <c r="B15" s="87">
        <v>10261</v>
      </c>
      <c r="C15" s="87">
        <v>0</v>
      </c>
      <c r="D15" s="87">
        <v>1087</v>
      </c>
      <c r="E15" s="87">
        <v>146</v>
      </c>
      <c r="F15" s="87">
        <v>216</v>
      </c>
      <c r="G15" s="87">
        <v>225</v>
      </c>
      <c r="H15" s="87">
        <v>11935</v>
      </c>
      <c r="I15" s="87">
        <v>0</v>
      </c>
      <c r="J15" s="89"/>
      <c r="K15" s="86">
        <v>10</v>
      </c>
      <c r="L15" s="87">
        <v>0</v>
      </c>
      <c r="M15" s="87">
        <v>10</v>
      </c>
      <c r="N15" s="87">
        <v>0</v>
      </c>
      <c r="O15" s="87">
        <v>10</v>
      </c>
      <c r="P15" s="90">
        <v>6135</v>
      </c>
      <c r="Q15" s="58"/>
      <c r="R15" s="58"/>
      <c r="S15" s="58"/>
    </row>
    <row r="16" spans="1:26" ht="15.6" thickTop="1" thickBot="1" x14ac:dyDescent="0.35">
      <c r="A16" s="86">
        <v>11</v>
      </c>
      <c r="B16" s="87">
        <v>10122</v>
      </c>
      <c r="C16" s="87">
        <v>0</v>
      </c>
      <c r="D16" s="87">
        <v>1062</v>
      </c>
      <c r="E16" s="87">
        <v>205</v>
      </c>
      <c r="F16" s="87">
        <v>177</v>
      </c>
      <c r="G16" s="87">
        <v>302</v>
      </c>
      <c r="H16" s="87">
        <v>11868</v>
      </c>
      <c r="I16" s="87">
        <v>0</v>
      </c>
      <c r="J16" s="89"/>
      <c r="K16" s="86">
        <v>11</v>
      </c>
      <c r="L16" s="87">
        <v>2</v>
      </c>
      <c r="M16" s="87">
        <v>2</v>
      </c>
      <c r="N16" s="87">
        <v>4</v>
      </c>
      <c r="O16" s="87">
        <v>8</v>
      </c>
      <c r="P16" s="90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86">
        <v>12</v>
      </c>
      <c r="B17" s="87">
        <v>13620</v>
      </c>
      <c r="C17" s="87">
        <v>0</v>
      </c>
      <c r="D17" s="87">
        <v>468</v>
      </c>
      <c r="E17" s="87">
        <v>36</v>
      </c>
      <c r="F17" s="87">
        <v>34</v>
      </c>
      <c r="G17" s="87">
        <v>32</v>
      </c>
      <c r="H17" s="87">
        <v>14190</v>
      </c>
      <c r="I17" s="87">
        <v>0</v>
      </c>
      <c r="J17" s="89"/>
      <c r="K17" s="86">
        <v>12</v>
      </c>
      <c r="L17" s="87">
        <v>0</v>
      </c>
      <c r="M17" s="87">
        <v>0</v>
      </c>
      <c r="N17" s="87">
        <v>0</v>
      </c>
      <c r="O17" s="87">
        <v>0</v>
      </c>
      <c r="P17" s="90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86">
        <v>13</v>
      </c>
      <c r="B18" s="87">
        <v>5890</v>
      </c>
      <c r="C18" s="87">
        <v>0</v>
      </c>
      <c r="D18" s="87">
        <v>1320</v>
      </c>
      <c r="E18" s="87">
        <v>278</v>
      </c>
      <c r="F18" s="87">
        <v>181</v>
      </c>
      <c r="G18" s="87">
        <v>411</v>
      </c>
      <c r="H18" s="87">
        <v>8080</v>
      </c>
      <c r="I18" s="87">
        <v>0</v>
      </c>
      <c r="J18" s="89"/>
      <c r="K18" s="86">
        <v>13</v>
      </c>
      <c r="L18" s="87">
        <v>4</v>
      </c>
      <c r="M18" s="87">
        <v>13</v>
      </c>
      <c r="N18" s="87">
        <v>2</v>
      </c>
      <c r="O18" s="87">
        <v>19</v>
      </c>
      <c r="P18" s="90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86">
        <v>14</v>
      </c>
      <c r="B19" s="87">
        <v>4187</v>
      </c>
      <c r="C19" s="87">
        <v>0</v>
      </c>
      <c r="D19" s="87">
        <v>1515</v>
      </c>
      <c r="E19" s="87">
        <v>252</v>
      </c>
      <c r="F19" s="87">
        <v>239</v>
      </c>
      <c r="G19" s="87">
        <v>404</v>
      </c>
      <c r="H19" s="87">
        <v>6597</v>
      </c>
      <c r="I19" s="87">
        <v>0</v>
      </c>
      <c r="J19" s="89"/>
      <c r="K19" s="86">
        <v>14</v>
      </c>
      <c r="L19" s="87">
        <v>7</v>
      </c>
      <c r="M19" s="87">
        <v>16</v>
      </c>
      <c r="N19" s="87">
        <v>3</v>
      </c>
      <c r="O19" s="87">
        <v>26</v>
      </c>
      <c r="P19" s="90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86">
        <v>15</v>
      </c>
      <c r="B20" s="87">
        <v>4031</v>
      </c>
      <c r="C20" s="87">
        <v>0</v>
      </c>
      <c r="D20" s="87">
        <v>1495</v>
      </c>
      <c r="E20" s="87">
        <v>244</v>
      </c>
      <c r="F20" s="87">
        <v>221</v>
      </c>
      <c r="G20" s="87">
        <v>383</v>
      </c>
      <c r="H20" s="87">
        <v>6374</v>
      </c>
      <c r="I20" s="87">
        <v>0</v>
      </c>
      <c r="J20" s="89"/>
      <c r="K20" s="86">
        <v>15</v>
      </c>
      <c r="L20" s="87">
        <v>5</v>
      </c>
      <c r="M20" s="87">
        <v>16</v>
      </c>
      <c r="N20" s="87">
        <v>8</v>
      </c>
      <c r="O20" s="87">
        <v>29</v>
      </c>
      <c r="P20" s="90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86">
        <v>16</v>
      </c>
      <c r="B21" s="87">
        <v>5165</v>
      </c>
      <c r="C21" s="87">
        <v>0</v>
      </c>
      <c r="D21" s="87">
        <v>1456</v>
      </c>
      <c r="E21" s="87">
        <v>252</v>
      </c>
      <c r="F21" s="87">
        <v>220</v>
      </c>
      <c r="G21" s="87">
        <v>379</v>
      </c>
      <c r="H21" s="87">
        <v>7472</v>
      </c>
      <c r="I21" s="87">
        <v>0</v>
      </c>
      <c r="J21" s="89"/>
      <c r="K21" s="86">
        <v>16</v>
      </c>
      <c r="L21" s="87">
        <v>5</v>
      </c>
      <c r="M21" s="87">
        <v>8</v>
      </c>
      <c r="N21" s="87">
        <v>8</v>
      </c>
      <c r="O21" s="87">
        <v>21</v>
      </c>
      <c r="P21" s="90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86">
        <v>17</v>
      </c>
      <c r="B22" s="87">
        <v>6210</v>
      </c>
      <c r="C22" s="87">
        <v>0</v>
      </c>
      <c r="D22" s="87">
        <v>1359</v>
      </c>
      <c r="E22" s="87">
        <v>215</v>
      </c>
      <c r="F22" s="87">
        <v>233</v>
      </c>
      <c r="G22" s="87">
        <v>331</v>
      </c>
      <c r="H22" s="87">
        <v>8348</v>
      </c>
      <c r="I22" s="87">
        <v>0</v>
      </c>
      <c r="J22" s="89"/>
      <c r="K22" s="86">
        <v>17</v>
      </c>
      <c r="L22" s="87">
        <v>2</v>
      </c>
      <c r="M22" s="87">
        <v>8</v>
      </c>
      <c r="N22" s="87">
        <v>6</v>
      </c>
      <c r="O22" s="87">
        <v>16</v>
      </c>
      <c r="P22" s="90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86">
        <v>18</v>
      </c>
      <c r="B23" s="87">
        <v>7673</v>
      </c>
      <c r="C23" s="87">
        <v>0</v>
      </c>
      <c r="D23" s="87">
        <v>1008</v>
      </c>
      <c r="E23" s="87">
        <v>157</v>
      </c>
      <c r="F23" s="87">
        <v>168</v>
      </c>
      <c r="G23" s="87">
        <v>258</v>
      </c>
      <c r="H23" s="93">
        <v>9264</v>
      </c>
      <c r="I23" s="87">
        <v>0</v>
      </c>
      <c r="J23" s="89"/>
      <c r="K23" s="86">
        <v>18</v>
      </c>
      <c r="L23" s="87">
        <v>4</v>
      </c>
      <c r="M23" s="87">
        <v>15</v>
      </c>
      <c r="N23" s="87">
        <v>4</v>
      </c>
      <c r="O23" s="87">
        <v>23</v>
      </c>
      <c r="P23" s="90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86">
        <v>19</v>
      </c>
      <c r="B24" s="87">
        <v>4120</v>
      </c>
      <c r="C24" s="87">
        <v>0</v>
      </c>
      <c r="D24" s="87">
        <v>1133</v>
      </c>
      <c r="E24" s="87">
        <v>270</v>
      </c>
      <c r="F24" s="87">
        <v>219</v>
      </c>
      <c r="G24" s="87">
        <v>364</v>
      </c>
      <c r="H24" s="93">
        <v>6106</v>
      </c>
      <c r="I24" s="87">
        <v>0</v>
      </c>
      <c r="J24" s="89"/>
      <c r="K24" s="86">
        <v>19</v>
      </c>
      <c r="L24" s="87">
        <v>5</v>
      </c>
      <c r="M24" s="87">
        <v>12</v>
      </c>
      <c r="N24" s="87">
        <v>10</v>
      </c>
      <c r="O24" s="87">
        <v>27</v>
      </c>
      <c r="P24" s="90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86">
        <v>20</v>
      </c>
      <c r="B25" s="87">
        <v>3730</v>
      </c>
      <c r="C25" s="87">
        <v>0</v>
      </c>
      <c r="D25" s="87">
        <v>1345</v>
      </c>
      <c r="E25" s="87">
        <v>275</v>
      </c>
      <c r="F25" s="87">
        <v>255</v>
      </c>
      <c r="G25" s="87">
        <v>403</v>
      </c>
      <c r="H25" s="87">
        <v>6008</v>
      </c>
      <c r="I25" s="87">
        <v>0</v>
      </c>
      <c r="J25" s="89"/>
      <c r="K25" s="86">
        <v>20</v>
      </c>
      <c r="L25" s="87">
        <v>2</v>
      </c>
      <c r="M25" s="87">
        <v>9</v>
      </c>
      <c r="N25" s="87">
        <v>3</v>
      </c>
      <c r="O25" s="87">
        <v>14</v>
      </c>
      <c r="P25" s="90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86">
        <v>21</v>
      </c>
      <c r="B26" s="87">
        <v>3398</v>
      </c>
      <c r="C26" s="87">
        <v>0</v>
      </c>
      <c r="D26" s="87">
        <v>1459</v>
      </c>
      <c r="E26" s="87">
        <v>335</v>
      </c>
      <c r="F26" s="87">
        <v>317</v>
      </c>
      <c r="G26" s="87">
        <v>490</v>
      </c>
      <c r="H26" s="87">
        <v>5999</v>
      </c>
      <c r="I26" s="87">
        <v>0</v>
      </c>
      <c r="J26" s="89"/>
      <c r="K26" s="86">
        <v>21</v>
      </c>
      <c r="L26" s="87">
        <v>4</v>
      </c>
      <c r="M26" s="87">
        <v>14</v>
      </c>
      <c r="N26" s="87">
        <v>4</v>
      </c>
      <c r="O26" s="87">
        <v>22</v>
      </c>
      <c r="P26" s="90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86">
        <v>22</v>
      </c>
      <c r="B27" s="87">
        <v>3872</v>
      </c>
      <c r="C27" s="87">
        <v>0</v>
      </c>
      <c r="D27" s="87">
        <v>1557</v>
      </c>
      <c r="E27" s="87">
        <v>290</v>
      </c>
      <c r="F27" s="87">
        <v>282</v>
      </c>
      <c r="G27" s="87">
        <v>459</v>
      </c>
      <c r="H27" s="87">
        <v>6460</v>
      </c>
      <c r="I27" s="87">
        <v>0</v>
      </c>
      <c r="J27" s="89"/>
      <c r="K27" s="86">
        <v>22</v>
      </c>
      <c r="L27" s="87">
        <v>3</v>
      </c>
      <c r="M27" s="87">
        <v>12</v>
      </c>
      <c r="N27" s="87">
        <v>8</v>
      </c>
      <c r="O27" s="87">
        <v>23</v>
      </c>
      <c r="P27" s="90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86">
        <v>23</v>
      </c>
      <c r="B28" s="87">
        <v>5198</v>
      </c>
      <c r="C28" s="87">
        <v>0</v>
      </c>
      <c r="D28" s="87">
        <v>1378</v>
      </c>
      <c r="E28" s="87">
        <v>287</v>
      </c>
      <c r="F28" s="87">
        <v>256</v>
      </c>
      <c r="G28" s="87">
        <v>407</v>
      </c>
      <c r="H28" s="87">
        <v>7526</v>
      </c>
      <c r="I28" s="87">
        <v>0</v>
      </c>
      <c r="J28" s="89"/>
      <c r="K28" s="86">
        <v>23</v>
      </c>
      <c r="L28" s="87">
        <v>0</v>
      </c>
      <c r="M28" s="87">
        <v>16</v>
      </c>
      <c r="N28" s="87">
        <v>4</v>
      </c>
      <c r="O28" s="87">
        <v>20</v>
      </c>
      <c r="P28" s="90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86">
        <v>24</v>
      </c>
      <c r="B29" s="87">
        <v>5827</v>
      </c>
      <c r="C29" s="87">
        <v>0</v>
      </c>
      <c r="D29" s="87">
        <v>1261</v>
      </c>
      <c r="E29" s="87">
        <v>219</v>
      </c>
      <c r="F29" s="87">
        <v>265</v>
      </c>
      <c r="G29" s="87">
        <v>352</v>
      </c>
      <c r="H29" s="87">
        <v>7924</v>
      </c>
      <c r="I29" s="87">
        <v>0</v>
      </c>
      <c r="J29" s="89"/>
      <c r="K29" s="86">
        <v>24</v>
      </c>
      <c r="L29" s="87">
        <v>5</v>
      </c>
      <c r="M29" s="87">
        <v>17</v>
      </c>
      <c r="N29" s="87">
        <v>8</v>
      </c>
      <c r="O29" s="87">
        <v>30</v>
      </c>
      <c r="P29" s="90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86">
        <v>25</v>
      </c>
      <c r="B30" s="87">
        <v>7377</v>
      </c>
      <c r="C30" s="87">
        <v>0</v>
      </c>
      <c r="D30" s="87">
        <v>1017</v>
      </c>
      <c r="E30" s="87">
        <v>151</v>
      </c>
      <c r="F30" s="87">
        <v>176</v>
      </c>
      <c r="G30" s="87">
        <v>284</v>
      </c>
      <c r="H30" s="87">
        <v>9005</v>
      </c>
      <c r="I30" s="87">
        <v>0</v>
      </c>
      <c r="J30" s="89"/>
      <c r="K30" s="86">
        <v>25</v>
      </c>
      <c r="L30" s="87">
        <v>0</v>
      </c>
      <c r="M30" s="87">
        <v>5</v>
      </c>
      <c r="N30" s="87">
        <v>4</v>
      </c>
      <c r="O30" s="87">
        <v>9</v>
      </c>
      <c r="P30" s="90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86">
        <v>26</v>
      </c>
      <c r="B31" s="87">
        <v>4042</v>
      </c>
      <c r="C31" s="87">
        <v>0</v>
      </c>
      <c r="D31" s="87">
        <v>1173</v>
      </c>
      <c r="E31" s="87">
        <v>234</v>
      </c>
      <c r="F31" s="87">
        <v>190</v>
      </c>
      <c r="G31" s="87">
        <v>406</v>
      </c>
      <c r="H31" s="87">
        <v>6045</v>
      </c>
      <c r="I31" s="87">
        <v>0</v>
      </c>
      <c r="J31" s="89"/>
      <c r="K31" s="86">
        <v>26</v>
      </c>
      <c r="L31" s="87">
        <v>10</v>
      </c>
      <c r="M31" s="87">
        <v>18</v>
      </c>
      <c r="N31" s="87">
        <v>0</v>
      </c>
      <c r="O31" s="87">
        <v>28</v>
      </c>
      <c r="P31" s="90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86">
        <v>27</v>
      </c>
      <c r="B32" s="87">
        <v>3738</v>
      </c>
      <c r="C32" s="87">
        <v>0</v>
      </c>
      <c r="D32" s="87">
        <v>1535</v>
      </c>
      <c r="E32" s="87">
        <v>281</v>
      </c>
      <c r="F32" s="87">
        <v>303</v>
      </c>
      <c r="G32" s="87">
        <v>435</v>
      </c>
      <c r="H32" s="87">
        <v>6292</v>
      </c>
      <c r="I32" s="87">
        <v>0</v>
      </c>
      <c r="J32" s="89"/>
      <c r="K32" s="86">
        <v>27</v>
      </c>
      <c r="L32" s="87">
        <v>2</v>
      </c>
      <c r="M32" s="87">
        <v>12</v>
      </c>
      <c r="N32" s="87">
        <v>3</v>
      </c>
      <c r="O32" s="87">
        <v>17</v>
      </c>
      <c r="P32" s="90">
        <v>6135</v>
      </c>
    </row>
    <row r="33" spans="1:16" ht="15.6" thickTop="1" thickBot="1" x14ac:dyDescent="0.35">
      <c r="A33" s="86">
        <v>28</v>
      </c>
      <c r="B33" s="87">
        <v>3690</v>
      </c>
      <c r="C33" s="87">
        <v>0</v>
      </c>
      <c r="D33" s="87">
        <v>1593</v>
      </c>
      <c r="E33" s="87">
        <v>274</v>
      </c>
      <c r="F33" s="87">
        <v>301</v>
      </c>
      <c r="G33" s="87">
        <v>428</v>
      </c>
      <c r="H33" s="87">
        <v>6286</v>
      </c>
      <c r="I33" s="87">
        <v>0</v>
      </c>
      <c r="J33" s="89"/>
      <c r="K33" s="86">
        <v>28</v>
      </c>
      <c r="L33" s="87">
        <v>1</v>
      </c>
      <c r="M33" s="87">
        <v>17</v>
      </c>
      <c r="N33" s="87">
        <v>2</v>
      </c>
      <c r="O33" s="87">
        <v>20</v>
      </c>
      <c r="P33" s="90">
        <v>6135</v>
      </c>
    </row>
    <row r="34" spans="1:16" ht="15.6" thickTop="1" thickBot="1" x14ac:dyDescent="0.35">
      <c r="A34" s="86">
        <v>29</v>
      </c>
      <c r="B34" s="87">
        <v>4596</v>
      </c>
      <c r="C34" s="87">
        <v>0</v>
      </c>
      <c r="D34" s="87">
        <v>1738</v>
      </c>
      <c r="E34" s="87">
        <v>285</v>
      </c>
      <c r="F34" s="87">
        <v>280</v>
      </c>
      <c r="G34" s="87">
        <v>442</v>
      </c>
      <c r="H34" s="87">
        <v>7341</v>
      </c>
      <c r="I34" s="87">
        <v>0</v>
      </c>
      <c r="J34" s="89"/>
      <c r="K34" s="86">
        <v>29</v>
      </c>
      <c r="L34" s="87">
        <v>5</v>
      </c>
      <c r="M34" s="87">
        <v>6</v>
      </c>
      <c r="N34" s="87">
        <v>8</v>
      </c>
      <c r="O34" s="87">
        <v>19</v>
      </c>
      <c r="P34" s="90">
        <v>6135</v>
      </c>
    </row>
    <row r="35" spans="1:16" ht="15.6" thickTop="1" thickBot="1" x14ac:dyDescent="0.35">
      <c r="A35" s="86">
        <v>30</v>
      </c>
      <c r="B35" s="87">
        <v>6590</v>
      </c>
      <c r="C35" s="87">
        <v>0</v>
      </c>
      <c r="D35" s="87">
        <v>1399</v>
      </c>
      <c r="E35" s="87">
        <v>251</v>
      </c>
      <c r="F35" s="87">
        <v>259</v>
      </c>
      <c r="G35" s="87">
        <v>370</v>
      </c>
      <c r="H35" s="87">
        <v>8869</v>
      </c>
      <c r="I35" s="87">
        <v>0</v>
      </c>
      <c r="J35" s="89"/>
      <c r="K35" s="86">
        <v>30</v>
      </c>
      <c r="L35" s="87">
        <v>6</v>
      </c>
      <c r="M35" s="87">
        <v>12</v>
      </c>
      <c r="N35" s="87">
        <v>6</v>
      </c>
      <c r="O35" s="87">
        <v>24</v>
      </c>
      <c r="P35" s="90">
        <v>6135</v>
      </c>
    </row>
    <row r="36" spans="1:16" ht="15.6" thickTop="1" thickBot="1" x14ac:dyDescent="0.35">
      <c r="A36" s="86">
        <v>31</v>
      </c>
      <c r="B36" s="87">
        <v>7573</v>
      </c>
      <c r="C36" s="87">
        <v>0</v>
      </c>
      <c r="D36" s="87">
        <v>1053</v>
      </c>
      <c r="E36" s="87">
        <v>123</v>
      </c>
      <c r="F36" s="87">
        <v>206</v>
      </c>
      <c r="G36" s="87">
        <v>155</v>
      </c>
      <c r="H36" s="87">
        <v>9110</v>
      </c>
      <c r="I36" s="87">
        <v>0</v>
      </c>
      <c r="J36" s="89"/>
      <c r="K36" s="86">
        <v>31</v>
      </c>
      <c r="L36" s="92">
        <v>2</v>
      </c>
      <c r="M36" s="92">
        <v>4</v>
      </c>
      <c r="N36" s="92">
        <v>3</v>
      </c>
      <c r="O36" s="87">
        <v>9</v>
      </c>
      <c r="P36" s="90">
        <v>6135</v>
      </c>
    </row>
    <row r="37" spans="1:16" ht="15" thickTop="1" x14ac:dyDescent="0.3">
      <c r="A37" s="56" t="s">
        <v>19</v>
      </c>
      <c r="B37" s="57">
        <v>187941</v>
      </c>
      <c r="C37" s="57">
        <v>0</v>
      </c>
      <c r="D37" s="57">
        <v>39940</v>
      </c>
      <c r="E37" s="57">
        <v>7019</v>
      </c>
      <c r="F37" s="57">
        <v>7007</v>
      </c>
      <c r="G37" s="57">
        <v>10771</v>
      </c>
      <c r="H37" s="57">
        <v>252678</v>
      </c>
      <c r="I37" s="57">
        <v>0</v>
      </c>
      <c r="J37" s="57"/>
      <c r="K37" s="57"/>
      <c r="L37" s="57">
        <v>127</v>
      </c>
      <c r="M37" s="57">
        <v>353</v>
      </c>
      <c r="N37" s="57">
        <v>121</v>
      </c>
      <c r="O37" s="112">
        <v>601</v>
      </c>
      <c r="P37" s="58"/>
    </row>
    <row r="38" spans="1:16" x14ac:dyDescent="0.3">
      <c r="A38" s="56" t="s">
        <v>19</v>
      </c>
      <c r="B38" s="137">
        <v>187941</v>
      </c>
      <c r="C38" s="137"/>
      <c r="D38" s="57">
        <v>39940</v>
      </c>
      <c r="E38" s="57">
        <v>7019</v>
      </c>
      <c r="F38" s="57">
        <v>7007</v>
      </c>
      <c r="G38" s="57">
        <v>10771</v>
      </c>
      <c r="H38" s="112">
        <v>252678</v>
      </c>
      <c r="I38" s="57">
        <v>0</v>
      </c>
      <c r="J38" s="60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67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4D19-43AD-401F-9770-B48AC0EAEB4A}">
  <dimension ref="A1:Z46"/>
  <sheetViews>
    <sheetView topLeftCell="A5" workbookViewId="0">
      <selection activeCell="F27" sqref="F27"/>
    </sheetView>
  </sheetViews>
  <sheetFormatPr baseColWidth="10" defaultRowHeight="14.4" x14ac:dyDescent="0.3"/>
  <cols>
    <col min="16" max="16" width="0" hidden="1" customWidth="1"/>
  </cols>
  <sheetData>
    <row r="1" spans="1:26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6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ht="15.6" x14ac:dyDescent="0.3">
      <c r="A3" s="135" t="s">
        <v>32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26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26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26" ht="15" thickBot="1" x14ac:dyDescent="0.35">
      <c r="A6" s="94">
        <v>1</v>
      </c>
      <c r="B6" s="95">
        <v>6566</v>
      </c>
      <c r="C6" s="95">
        <v>0</v>
      </c>
      <c r="D6" s="95">
        <v>1113</v>
      </c>
      <c r="E6" s="95">
        <v>169</v>
      </c>
      <c r="F6" s="95">
        <v>174</v>
      </c>
      <c r="G6" s="95">
        <v>307</v>
      </c>
      <c r="H6" s="95">
        <v>8329</v>
      </c>
      <c r="I6" s="95">
        <v>0</v>
      </c>
      <c r="J6" s="96"/>
      <c r="K6" s="94">
        <v>1</v>
      </c>
      <c r="L6" s="95">
        <v>8</v>
      </c>
      <c r="M6" s="95">
        <v>13</v>
      </c>
      <c r="N6" s="95">
        <v>3</v>
      </c>
      <c r="O6" s="95">
        <v>24</v>
      </c>
      <c r="P6" s="98">
        <v>6135</v>
      </c>
      <c r="Q6" s="58"/>
      <c r="R6" s="58"/>
      <c r="S6" s="58"/>
    </row>
    <row r="7" spans="1:26" ht="15.6" thickTop="1" thickBot="1" x14ac:dyDescent="0.35">
      <c r="A7" s="94">
        <v>2</v>
      </c>
      <c r="B7" s="95">
        <v>9510</v>
      </c>
      <c r="C7" s="95">
        <v>0</v>
      </c>
      <c r="D7" s="95">
        <v>571</v>
      </c>
      <c r="E7" s="95">
        <v>62</v>
      </c>
      <c r="F7" s="95">
        <v>36</v>
      </c>
      <c r="G7" s="95">
        <v>106</v>
      </c>
      <c r="H7" s="95">
        <v>10285</v>
      </c>
      <c r="I7" s="95">
        <v>0</v>
      </c>
      <c r="J7" s="96"/>
      <c r="K7" s="94">
        <v>2</v>
      </c>
      <c r="L7" s="95">
        <v>0</v>
      </c>
      <c r="M7" s="95">
        <v>4</v>
      </c>
      <c r="N7" s="95">
        <v>2</v>
      </c>
      <c r="O7" s="95">
        <v>6</v>
      </c>
      <c r="P7" s="98">
        <v>6135</v>
      </c>
      <c r="Q7" s="58"/>
      <c r="R7" s="58"/>
      <c r="S7" s="58"/>
    </row>
    <row r="8" spans="1:26" ht="15.6" thickTop="1" thickBot="1" x14ac:dyDescent="0.35">
      <c r="A8" s="94">
        <v>3</v>
      </c>
      <c r="B8" s="95">
        <v>4681</v>
      </c>
      <c r="C8" s="95">
        <v>0</v>
      </c>
      <c r="D8" s="95">
        <v>1300</v>
      </c>
      <c r="E8" s="95">
        <v>264</v>
      </c>
      <c r="F8" s="95">
        <v>204</v>
      </c>
      <c r="G8" s="95">
        <v>396</v>
      </c>
      <c r="H8" s="95">
        <v>6845</v>
      </c>
      <c r="I8" s="95">
        <v>0</v>
      </c>
      <c r="J8" s="96"/>
      <c r="K8" s="94">
        <v>3</v>
      </c>
      <c r="L8" s="95">
        <v>4</v>
      </c>
      <c r="M8" s="95">
        <v>14</v>
      </c>
      <c r="N8" s="95">
        <v>6</v>
      </c>
      <c r="O8" s="95">
        <v>24</v>
      </c>
      <c r="P8" s="98">
        <v>6135</v>
      </c>
      <c r="Q8" s="58"/>
      <c r="R8" s="58"/>
      <c r="S8" s="63"/>
    </row>
    <row r="9" spans="1:26" ht="15.6" thickTop="1" thickBot="1" x14ac:dyDescent="0.35">
      <c r="A9" s="94">
        <v>4</v>
      </c>
      <c r="B9" s="95">
        <v>3768</v>
      </c>
      <c r="C9" s="95">
        <v>0</v>
      </c>
      <c r="D9" s="95">
        <v>1487</v>
      </c>
      <c r="E9" s="95">
        <v>276</v>
      </c>
      <c r="F9" s="95">
        <v>287</v>
      </c>
      <c r="G9" s="95">
        <v>381</v>
      </c>
      <c r="H9" s="95">
        <v>6199</v>
      </c>
      <c r="I9" s="95">
        <v>0</v>
      </c>
      <c r="J9" s="96"/>
      <c r="K9" s="94">
        <v>4</v>
      </c>
      <c r="L9" s="95">
        <v>4</v>
      </c>
      <c r="M9" s="95">
        <v>4</v>
      </c>
      <c r="N9" s="95">
        <v>0</v>
      </c>
      <c r="O9" s="95">
        <v>8</v>
      </c>
      <c r="P9" s="98">
        <v>6135</v>
      </c>
      <c r="Q9" s="58"/>
      <c r="R9" s="58"/>
      <c r="S9" s="58"/>
    </row>
    <row r="10" spans="1:26" ht="15.6" thickTop="1" thickBot="1" x14ac:dyDescent="0.35">
      <c r="A10" s="94">
        <v>5</v>
      </c>
      <c r="B10" s="95">
        <v>3968</v>
      </c>
      <c r="C10" s="95">
        <v>0</v>
      </c>
      <c r="D10" s="95">
        <v>1655</v>
      </c>
      <c r="E10" s="95">
        <v>270</v>
      </c>
      <c r="F10" s="95">
        <v>279</v>
      </c>
      <c r="G10" s="95">
        <v>487</v>
      </c>
      <c r="H10" s="95">
        <v>6659</v>
      </c>
      <c r="I10" s="95">
        <v>0</v>
      </c>
      <c r="J10" s="96"/>
      <c r="K10" s="94">
        <v>5</v>
      </c>
      <c r="L10" s="95">
        <v>6</v>
      </c>
      <c r="M10" s="95">
        <v>8</v>
      </c>
      <c r="N10" s="95">
        <v>4</v>
      </c>
      <c r="O10" s="95">
        <v>18</v>
      </c>
      <c r="P10" s="98">
        <v>6135</v>
      </c>
      <c r="Q10" s="58"/>
      <c r="R10" s="58"/>
      <c r="S10" s="58"/>
    </row>
    <row r="11" spans="1:26" ht="15.6" thickTop="1" thickBot="1" x14ac:dyDescent="0.35">
      <c r="A11" s="94">
        <v>6</v>
      </c>
      <c r="B11" s="95">
        <v>4846</v>
      </c>
      <c r="C11" s="95">
        <v>0</v>
      </c>
      <c r="D11" s="95">
        <v>1430</v>
      </c>
      <c r="E11" s="95">
        <v>245</v>
      </c>
      <c r="F11" s="95">
        <v>251</v>
      </c>
      <c r="G11" s="95">
        <v>411</v>
      </c>
      <c r="H11" s="95">
        <v>7183</v>
      </c>
      <c r="I11" s="95">
        <v>0</v>
      </c>
      <c r="J11" s="96"/>
      <c r="K11" s="94">
        <v>6</v>
      </c>
      <c r="L11" s="95">
        <v>1</v>
      </c>
      <c r="M11" s="95">
        <v>13</v>
      </c>
      <c r="N11" s="95">
        <v>2</v>
      </c>
      <c r="O11" s="95">
        <v>16</v>
      </c>
      <c r="P11" s="98">
        <v>6135</v>
      </c>
      <c r="Q11" s="58"/>
      <c r="R11" s="58"/>
      <c r="S11" s="58"/>
    </row>
    <row r="12" spans="1:26" ht="15.6" thickTop="1" thickBot="1" x14ac:dyDescent="0.35">
      <c r="A12" s="94">
        <v>7</v>
      </c>
      <c r="B12" s="95">
        <v>5473</v>
      </c>
      <c r="C12" s="95">
        <v>0</v>
      </c>
      <c r="D12" s="95">
        <v>1337</v>
      </c>
      <c r="E12" s="95">
        <v>223</v>
      </c>
      <c r="F12" s="95">
        <v>250</v>
      </c>
      <c r="G12" s="95">
        <v>355</v>
      </c>
      <c r="H12" s="95">
        <v>7638</v>
      </c>
      <c r="I12" s="95">
        <v>0</v>
      </c>
      <c r="J12" s="97"/>
      <c r="K12" s="94">
        <v>7</v>
      </c>
      <c r="L12" s="95">
        <v>3</v>
      </c>
      <c r="M12" s="95">
        <v>16</v>
      </c>
      <c r="N12" s="95">
        <v>5</v>
      </c>
      <c r="O12" s="95">
        <v>24</v>
      </c>
      <c r="P12" s="98">
        <v>6135</v>
      </c>
      <c r="Q12" s="58"/>
      <c r="R12" s="58"/>
      <c r="S12" s="58"/>
    </row>
    <row r="13" spans="1:26" ht="15.6" thickTop="1" thickBot="1" x14ac:dyDescent="0.35">
      <c r="A13" s="94">
        <v>8</v>
      </c>
      <c r="B13" s="95">
        <v>6860</v>
      </c>
      <c r="C13" s="95">
        <v>0</v>
      </c>
      <c r="D13" s="95">
        <v>1027</v>
      </c>
      <c r="E13" s="95">
        <v>130</v>
      </c>
      <c r="F13" s="95">
        <v>174</v>
      </c>
      <c r="G13" s="95">
        <v>289</v>
      </c>
      <c r="H13" s="95">
        <v>8480</v>
      </c>
      <c r="I13" s="95">
        <v>0</v>
      </c>
      <c r="J13" s="97"/>
      <c r="K13" s="94">
        <v>8</v>
      </c>
      <c r="L13" s="95">
        <v>1</v>
      </c>
      <c r="M13" s="95">
        <v>6</v>
      </c>
      <c r="N13" s="95">
        <v>1</v>
      </c>
      <c r="O13" s="95">
        <v>8</v>
      </c>
      <c r="P13" s="98">
        <v>6135</v>
      </c>
      <c r="Q13" s="58"/>
      <c r="R13" s="58"/>
      <c r="S13" s="58"/>
    </row>
    <row r="14" spans="1:26" ht="15.6" thickTop="1" thickBot="1" x14ac:dyDescent="0.35">
      <c r="A14" s="94">
        <v>9</v>
      </c>
      <c r="B14" s="95">
        <v>3929</v>
      </c>
      <c r="C14" s="95">
        <v>0</v>
      </c>
      <c r="D14" s="95">
        <v>1187</v>
      </c>
      <c r="E14" s="95">
        <v>275</v>
      </c>
      <c r="F14" s="95">
        <v>209</v>
      </c>
      <c r="G14" s="95">
        <v>393</v>
      </c>
      <c r="H14" s="95">
        <v>5993</v>
      </c>
      <c r="I14" s="95">
        <v>0</v>
      </c>
      <c r="J14" s="97"/>
      <c r="K14" s="94">
        <v>9</v>
      </c>
      <c r="L14" s="95">
        <v>2</v>
      </c>
      <c r="M14" s="95">
        <v>12</v>
      </c>
      <c r="N14" s="95">
        <v>4</v>
      </c>
      <c r="O14" s="95">
        <v>18</v>
      </c>
      <c r="P14" s="99">
        <v>6135</v>
      </c>
      <c r="Q14" s="66"/>
      <c r="R14" s="66"/>
      <c r="S14" s="66"/>
    </row>
    <row r="15" spans="1:26" ht="15.6" thickTop="1" thickBot="1" x14ac:dyDescent="0.35">
      <c r="A15" s="94">
        <v>10</v>
      </c>
      <c r="B15" s="95">
        <v>3602</v>
      </c>
      <c r="C15" s="95">
        <v>0</v>
      </c>
      <c r="D15" s="95">
        <v>1540</v>
      </c>
      <c r="E15" s="95">
        <v>275</v>
      </c>
      <c r="F15" s="95">
        <v>279</v>
      </c>
      <c r="G15" s="95">
        <v>397</v>
      </c>
      <c r="H15" s="95">
        <v>6093</v>
      </c>
      <c r="I15" s="95">
        <v>0</v>
      </c>
      <c r="J15" s="97"/>
      <c r="K15" s="94">
        <v>10</v>
      </c>
      <c r="L15" s="95">
        <v>5</v>
      </c>
      <c r="M15" s="95">
        <v>14</v>
      </c>
      <c r="N15" s="95">
        <v>5</v>
      </c>
      <c r="O15" s="95">
        <v>24</v>
      </c>
      <c r="P15" s="98">
        <v>6135</v>
      </c>
      <c r="Q15" s="58"/>
      <c r="R15" s="58"/>
      <c r="S15" s="58"/>
    </row>
    <row r="16" spans="1:26" ht="15.6" thickTop="1" thickBot="1" x14ac:dyDescent="0.35">
      <c r="A16" s="94">
        <v>11</v>
      </c>
      <c r="B16" s="95">
        <v>3823</v>
      </c>
      <c r="C16" s="95">
        <v>0</v>
      </c>
      <c r="D16" s="95">
        <v>1508</v>
      </c>
      <c r="E16" s="95">
        <v>282</v>
      </c>
      <c r="F16" s="95">
        <v>313</v>
      </c>
      <c r="G16" s="95">
        <v>447</v>
      </c>
      <c r="H16" s="95">
        <v>6373</v>
      </c>
      <c r="I16" s="95">
        <v>0</v>
      </c>
      <c r="J16" s="97"/>
      <c r="K16" s="94">
        <v>11</v>
      </c>
      <c r="L16" s="95">
        <v>6</v>
      </c>
      <c r="M16" s="95">
        <v>6</v>
      </c>
      <c r="N16" s="95">
        <v>4</v>
      </c>
      <c r="O16" s="95">
        <v>16</v>
      </c>
      <c r="P16" s="98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94">
        <v>12</v>
      </c>
      <c r="B17" s="95">
        <v>4599</v>
      </c>
      <c r="C17" s="95">
        <v>0</v>
      </c>
      <c r="D17" s="95">
        <v>1620</v>
      </c>
      <c r="E17" s="95">
        <v>307</v>
      </c>
      <c r="F17" s="95">
        <v>337</v>
      </c>
      <c r="G17" s="95">
        <v>449</v>
      </c>
      <c r="H17" s="95">
        <v>7312</v>
      </c>
      <c r="I17" s="95">
        <v>0</v>
      </c>
      <c r="J17" s="97"/>
      <c r="K17" s="94">
        <v>12</v>
      </c>
      <c r="L17" s="95">
        <v>5</v>
      </c>
      <c r="M17" s="95">
        <v>6</v>
      </c>
      <c r="N17" s="95">
        <v>12</v>
      </c>
      <c r="O17" s="95">
        <v>23</v>
      </c>
      <c r="P17" s="98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94">
        <v>13</v>
      </c>
      <c r="B18" s="95">
        <v>7183</v>
      </c>
      <c r="C18" s="95">
        <v>0</v>
      </c>
      <c r="D18" s="95">
        <v>1470</v>
      </c>
      <c r="E18" s="95">
        <v>227</v>
      </c>
      <c r="F18" s="95">
        <v>302</v>
      </c>
      <c r="G18" s="95">
        <v>312</v>
      </c>
      <c r="H18" s="95">
        <v>9494</v>
      </c>
      <c r="I18" s="95">
        <v>0</v>
      </c>
      <c r="J18" s="97"/>
      <c r="K18" s="94">
        <v>13</v>
      </c>
      <c r="L18" s="95">
        <v>0</v>
      </c>
      <c r="M18" s="95">
        <v>10</v>
      </c>
      <c r="N18" s="95">
        <v>5</v>
      </c>
      <c r="O18" s="95">
        <v>15</v>
      </c>
      <c r="P18" s="98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94">
        <v>14</v>
      </c>
      <c r="B19" s="95">
        <v>9738</v>
      </c>
      <c r="C19" s="95">
        <v>0</v>
      </c>
      <c r="D19" s="95">
        <v>1133</v>
      </c>
      <c r="E19" s="95">
        <v>128</v>
      </c>
      <c r="F19" s="95">
        <v>227</v>
      </c>
      <c r="G19" s="95">
        <v>231</v>
      </c>
      <c r="H19" s="95">
        <v>11457</v>
      </c>
      <c r="I19" s="95">
        <v>0</v>
      </c>
      <c r="J19" s="97"/>
      <c r="K19" s="94">
        <v>14</v>
      </c>
      <c r="L19" s="95">
        <v>2</v>
      </c>
      <c r="M19" s="95">
        <v>7</v>
      </c>
      <c r="N19" s="95">
        <v>3</v>
      </c>
      <c r="O19" s="95">
        <v>12</v>
      </c>
      <c r="P19" s="98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94">
        <v>15</v>
      </c>
      <c r="B20" s="95">
        <v>7287</v>
      </c>
      <c r="C20" s="95">
        <v>0</v>
      </c>
      <c r="D20" s="95">
        <v>1176</v>
      </c>
      <c r="E20" s="95">
        <v>162</v>
      </c>
      <c r="F20" s="95">
        <v>211</v>
      </c>
      <c r="G20" s="95">
        <v>339</v>
      </c>
      <c r="H20" s="95">
        <v>9175</v>
      </c>
      <c r="I20" s="95">
        <v>0</v>
      </c>
      <c r="J20" s="97"/>
      <c r="K20" s="94">
        <v>15</v>
      </c>
      <c r="L20" s="95">
        <v>1</v>
      </c>
      <c r="M20" s="95">
        <v>10</v>
      </c>
      <c r="N20" s="95">
        <v>2</v>
      </c>
      <c r="O20" s="95">
        <v>13</v>
      </c>
      <c r="P20" s="98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94">
        <v>16</v>
      </c>
      <c r="B21" s="95">
        <v>11595</v>
      </c>
      <c r="C21" s="95">
        <v>0</v>
      </c>
      <c r="D21" s="95">
        <v>646</v>
      </c>
      <c r="E21" s="95">
        <v>47</v>
      </c>
      <c r="F21" s="95">
        <v>49</v>
      </c>
      <c r="G21" s="95">
        <v>100</v>
      </c>
      <c r="H21" s="95">
        <v>12437</v>
      </c>
      <c r="I21" s="95">
        <v>0</v>
      </c>
      <c r="J21" s="97"/>
      <c r="K21" s="94">
        <v>16</v>
      </c>
      <c r="L21" s="95">
        <v>0</v>
      </c>
      <c r="M21" s="95">
        <v>4</v>
      </c>
      <c r="N21" s="95">
        <v>1</v>
      </c>
      <c r="O21" s="95">
        <v>5</v>
      </c>
      <c r="P21" s="98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94">
        <v>17</v>
      </c>
      <c r="B22" s="95">
        <v>4928</v>
      </c>
      <c r="C22" s="95">
        <v>0</v>
      </c>
      <c r="D22" s="95">
        <v>1384</v>
      </c>
      <c r="E22" s="95">
        <v>292</v>
      </c>
      <c r="F22" s="95">
        <v>187</v>
      </c>
      <c r="G22" s="95">
        <v>408</v>
      </c>
      <c r="H22" s="95">
        <v>7199</v>
      </c>
      <c r="I22" s="95">
        <v>0</v>
      </c>
      <c r="J22" s="97"/>
      <c r="K22" s="94">
        <v>17</v>
      </c>
      <c r="L22" s="95">
        <v>7</v>
      </c>
      <c r="M22" s="95">
        <v>8</v>
      </c>
      <c r="N22" s="95">
        <v>4</v>
      </c>
      <c r="O22" s="95">
        <v>19</v>
      </c>
      <c r="P22" s="98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94">
        <v>18</v>
      </c>
      <c r="B23" s="95">
        <v>3906</v>
      </c>
      <c r="C23" s="95">
        <v>0</v>
      </c>
      <c r="D23" s="95">
        <v>1487</v>
      </c>
      <c r="E23" s="95">
        <v>258</v>
      </c>
      <c r="F23" s="95">
        <v>317</v>
      </c>
      <c r="G23" s="95">
        <v>402</v>
      </c>
      <c r="H23" s="101">
        <v>6370</v>
      </c>
      <c r="I23" s="95">
        <v>0</v>
      </c>
      <c r="J23" s="97"/>
      <c r="K23" s="94">
        <v>18</v>
      </c>
      <c r="L23" s="95">
        <v>3</v>
      </c>
      <c r="M23" s="95">
        <v>19</v>
      </c>
      <c r="N23" s="95">
        <v>2</v>
      </c>
      <c r="O23" s="95">
        <v>24</v>
      </c>
      <c r="P23" s="98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94">
        <v>19</v>
      </c>
      <c r="B24" s="95">
        <v>3900</v>
      </c>
      <c r="C24" s="95">
        <v>0</v>
      </c>
      <c r="D24" s="95">
        <v>1683</v>
      </c>
      <c r="E24" s="95">
        <v>313</v>
      </c>
      <c r="F24" s="95">
        <v>319</v>
      </c>
      <c r="G24" s="95">
        <v>459</v>
      </c>
      <c r="H24" s="101">
        <v>6674</v>
      </c>
      <c r="I24" s="95">
        <v>0</v>
      </c>
      <c r="J24" s="97"/>
      <c r="K24" s="94">
        <v>19</v>
      </c>
      <c r="L24" s="95">
        <v>2</v>
      </c>
      <c r="M24" s="95">
        <v>11</v>
      </c>
      <c r="N24" s="95">
        <v>5</v>
      </c>
      <c r="O24" s="95">
        <v>18</v>
      </c>
      <c r="P24" s="98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94">
        <v>20</v>
      </c>
      <c r="B25" s="95">
        <v>4945</v>
      </c>
      <c r="C25" s="95">
        <v>0</v>
      </c>
      <c r="D25" s="95">
        <v>1581</v>
      </c>
      <c r="E25" s="95">
        <v>309</v>
      </c>
      <c r="F25" s="95">
        <v>297</v>
      </c>
      <c r="G25" s="95">
        <v>466</v>
      </c>
      <c r="H25" s="95">
        <v>7598</v>
      </c>
      <c r="I25" s="95">
        <v>0</v>
      </c>
      <c r="J25" s="97"/>
      <c r="K25" s="94">
        <v>20</v>
      </c>
      <c r="L25" s="95">
        <v>7</v>
      </c>
      <c r="M25" s="95">
        <v>19</v>
      </c>
      <c r="N25" s="95">
        <v>11</v>
      </c>
      <c r="O25" s="95">
        <v>37</v>
      </c>
      <c r="P25" s="98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94">
        <v>21</v>
      </c>
      <c r="B26" s="95">
        <v>5696</v>
      </c>
      <c r="C26" s="95">
        <v>0</v>
      </c>
      <c r="D26" s="95">
        <v>1405</v>
      </c>
      <c r="E26" s="95">
        <v>244</v>
      </c>
      <c r="F26" s="95">
        <v>296</v>
      </c>
      <c r="G26" s="95">
        <v>332</v>
      </c>
      <c r="H26" s="95">
        <v>7973</v>
      </c>
      <c r="I26" s="95">
        <v>0</v>
      </c>
      <c r="J26" s="97"/>
      <c r="K26" s="94">
        <v>21</v>
      </c>
      <c r="L26" s="95">
        <v>6</v>
      </c>
      <c r="M26" s="95">
        <v>12</v>
      </c>
      <c r="N26" s="95">
        <v>5</v>
      </c>
      <c r="O26" s="95">
        <v>23</v>
      </c>
      <c r="P26" s="98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94">
        <v>22</v>
      </c>
      <c r="B27" s="95">
        <v>6907</v>
      </c>
      <c r="C27" s="95">
        <v>0</v>
      </c>
      <c r="D27" s="95">
        <v>1134</v>
      </c>
      <c r="E27" s="95">
        <v>139</v>
      </c>
      <c r="F27" s="95">
        <v>190</v>
      </c>
      <c r="G27" s="95">
        <v>303</v>
      </c>
      <c r="H27" s="95">
        <v>8673</v>
      </c>
      <c r="I27" s="95">
        <v>0</v>
      </c>
      <c r="J27" s="97"/>
      <c r="K27" s="94">
        <v>22</v>
      </c>
      <c r="L27" s="95">
        <v>1</v>
      </c>
      <c r="M27" s="95">
        <v>6</v>
      </c>
      <c r="N27" s="95">
        <v>5</v>
      </c>
      <c r="O27" s="95">
        <v>12</v>
      </c>
      <c r="P27" s="98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94">
        <v>23</v>
      </c>
      <c r="B28" s="95">
        <v>4022</v>
      </c>
      <c r="C28" s="95">
        <v>0</v>
      </c>
      <c r="D28" s="95">
        <v>1200</v>
      </c>
      <c r="E28" s="95">
        <v>244</v>
      </c>
      <c r="F28" s="95">
        <v>229</v>
      </c>
      <c r="G28" s="95">
        <v>383</v>
      </c>
      <c r="H28" s="95">
        <v>6078</v>
      </c>
      <c r="I28" s="95">
        <v>0</v>
      </c>
      <c r="J28" s="97"/>
      <c r="K28" s="94">
        <v>23</v>
      </c>
      <c r="L28" s="95">
        <v>3</v>
      </c>
      <c r="M28" s="95">
        <v>20</v>
      </c>
      <c r="N28" s="95">
        <v>2</v>
      </c>
      <c r="O28" s="95">
        <v>25</v>
      </c>
      <c r="P28" s="98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94">
        <v>24</v>
      </c>
      <c r="B29" s="95">
        <v>3689</v>
      </c>
      <c r="C29" s="95">
        <v>0</v>
      </c>
      <c r="D29" s="95">
        <v>1550</v>
      </c>
      <c r="E29" s="95">
        <v>256</v>
      </c>
      <c r="F29" s="95">
        <v>292</v>
      </c>
      <c r="G29" s="95">
        <v>411</v>
      </c>
      <c r="H29" s="95">
        <v>6198</v>
      </c>
      <c r="I29" s="95">
        <v>0</v>
      </c>
      <c r="J29" s="97"/>
      <c r="K29" s="94">
        <v>24</v>
      </c>
      <c r="L29" s="95">
        <v>2</v>
      </c>
      <c r="M29" s="95">
        <v>22</v>
      </c>
      <c r="N29" s="95">
        <v>4</v>
      </c>
      <c r="O29" s="95">
        <v>28</v>
      </c>
      <c r="P29" s="98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94">
        <v>25</v>
      </c>
      <c r="B30" s="95">
        <v>3982</v>
      </c>
      <c r="C30" s="95">
        <v>0</v>
      </c>
      <c r="D30" s="95">
        <v>1703</v>
      </c>
      <c r="E30" s="95">
        <v>270</v>
      </c>
      <c r="F30" s="95">
        <v>300</v>
      </c>
      <c r="G30" s="95">
        <v>504</v>
      </c>
      <c r="H30" s="95">
        <v>6759</v>
      </c>
      <c r="I30" s="95">
        <v>0</v>
      </c>
      <c r="J30" s="97"/>
      <c r="K30" s="94">
        <v>25</v>
      </c>
      <c r="L30" s="95">
        <v>10</v>
      </c>
      <c r="M30" s="95">
        <v>10</v>
      </c>
      <c r="N30" s="95">
        <v>6</v>
      </c>
      <c r="O30" s="95">
        <v>26</v>
      </c>
      <c r="P30" s="98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94">
        <v>26</v>
      </c>
      <c r="B31" s="95">
        <v>4175</v>
      </c>
      <c r="C31" s="95">
        <v>0</v>
      </c>
      <c r="D31" s="95">
        <v>1624</v>
      </c>
      <c r="E31" s="95">
        <v>260</v>
      </c>
      <c r="F31" s="95">
        <v>314</v>
      </c>
      <c r="G31" s="95">
        <v>459</v>
      </c>
      <c r="H31" s="95">
        <v>6832</v>
      </c>
      <c r="I31" s="95">
        <v>0</v>
      </c>
      <c r="J31" s="97"/>
      <c r="K31" s="94">
        <v>26</v>
      </c>
      <c r="L31" s="95">
        <v>4</v>
      </c>
      <c r="M31" s="95">
        <v>26</v>
      </c>
      <c r="N31" s="95">
        <v>2</v>
      </c>
      <c r="O31" s="95">
        <v>32</v>
      </c>
      <c r="P31" s="98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94">
        <v>27</v>
      </c>
      <c r="B32" s="95">
        <v>5350</v>
      </c>
      <c r="C32" s="95">
        <v>0</v>
      </c>
      <c r="D32" s="95">
        <v>1504</v>
      </c>
      <c r="E32" s="95">
        <v>262</v>
      </c>
      <c r="F32" s="95">
        <v>294</v>
      </c>
      <c r="G32" s="95">
        <v>482</v>
      </c>
      <c r="H32" s="95">
        <v>7892</v>
      </c>
      <c r="I32" s="95">
        <v>0</v>
      </c>
      <c r="J32" s="97"/>
      <c r="K32" s="94">
        <v>27</v>
      </c>
      <c r="L32" s="95">
        <v>13</v>
      </c>
      <c r="M32" s="95">
        <v>16</v>
      </c>
      <c r="N32" s="95">
        <v>7</v>
      </c>
      <c r="O32" s="95">
        <v>36</v>
      </c>
      <c r="P32" s="98">
        <v>6135</v>
      </c>
    </row>
    <row r="33" spans="1:16" ht="15.6" thickTop="1" thickBot="1" x14ac:dyDescent="0.35">
      <c r="A33" s="94">
        <v>28</v>
      </c>
      <c r="B33" s="95">
        <v>6011</v>
      </c>
      <c r="C33" s="95">
        <v>0</v>
      </c>
      <c r="D33" s="95">
        <v>1441</v>
      </c>
      <c r="E33" s="95">
        <v>204</v>
      </c>
      <c r="F33" s="95">
        <v>324</v>
      </c>
      <c r="G33" s="95">
        <v>398</v>
      </c>
      <c r="H33" s="95">
        <v>8378</v>
      </c>
      <c r="I33" s="95">
        <v>0</v>
      </c>
      <c r="J33" s="97"/>
      <c r="K33" s="94">
        <v>28</v>
      </c>
      <c r="L33" s="95">
        <v>6</v>
      </c>
      <c r="M33" s="95">
        <v>15</v>
      </c>
      <c r="N33" s="95">
        <v>6</v>
      </c>
      <c r="O33" s="95">
        <v>27</v>
      </c>
      <c r="P33" s="98">
        <v>6135</v>
      </c>
    </row>
    <row r="34" spans="1:16" ht="15.6" thickTop="1" thickBot="1" x14ac:dyDescent="0.35">
      <c r="A34" s="94">
        <v>29</v>
      </c>
      <c r="B34" s="95">
        <v>7226</v>
      </c>
      <c r="C34" s="95">
        <v>0</v>
      </c>
      <c r="D34" s="95">
        <v>1156</v>
      </c>
      <c r="E34" s="95">
        <v>172</v>
      </c>
      <c r="F34" s="95">
        <v>208</v>
      </c>
      <c r="G34" s="95">
        <v>342</v>
      </c>
      <c r="H34" s="95">
        <v>9104</v>
      </c>
      <c r="I34" s="95">
        <v>0</v>
      </c>
      <c r="J34" s="97"/>
      <c r="K34" s="94">
        <v>29</v>
      </c>
      <c r="L34" s="95">
        <v>7</v>
      </c>
      <c r="M34" s="95">
        <v>13</v>
      </c>
      <c r="N34" s="95">
        <v>1</v>
      </c>
      <c r="O34" s="95">
        <v>21</v>
      </c>
      <c r="P34" s="98">
        <v>6135</v>
      </c>
    </row>
    <row r="35" spans="1:16" ht="15.6" thickTop="1" thickBot="1" x14ac:dyDescent="0.35">
      <c r="A35" s="94">
        <v>30</v>
      </c>
      <c r="B35" s="95">
        <v>4371</v>
      </c>
      <c r="C35" s="95">
        <v>0</v>
      </c>
      <c r="D35" s="95">
        <v>1185</v>
      </c>
      <c r="E35" s="95">
        <v>278</v>
      </c>
      <c r="F35" s="95">
        <v>206</v>
      </c>
      <c r="G35" s="95">
        <v>410</v>
      </c>
      <c r="H35" s="95">
        <v>6450</v>
      </c>
      <c r="I35" s="95">
        <v>0</v>
      </c>
      <c r="J35" s="97"/>
      <c r="K35" s="94">
        <v>30</v>
      </c>
      <c r="L35" s="95">
        <v>13</v>
      </c>
      <c r="M35" s="95">
        <v>16</v>
      </c>
      <c r="N35" s="95">
        <v>2</v>
      </c>
      <c r="O35" s="95">
        <v>31</v>
      </c>
      <c r="P35" s="98">
        <v>6135</v>
      </c>
    </row>
    <row r="36" spans="1:16" ht="15.6" thickTop="1" thickBot="1" x14ac:dyDescent="0.35">
      <c r="A36" s="94">
        <v>31</v>
      </c>
      <c r="B36" s="95"/>
      <c r="C36" s="95"/>
      <c r="D36" s="95"/>
      <c r="E36" s="95"/>
      <c r="F36" s="95"/>
      <c r="G36" s="95"/>
      <c r="H36" s="95">
        <v>0</v>
      </c>
      <c r="I36" s="95">
        <v>0</v>
      </c>
      <c r="J36" s="97"/>
      <c r="K36" s="94">
        <v>31</v>
      </c>
      <c r="L36" s="100"/>
      <c r="M36" s="100"/>
      <c r="N36" s="100"/>
      <c r="O36" s="95">
        <v>0</v>
      </c>
      <c r="P36" s="98">
        <v>6135</v>
      </c>
    </row>
    <row r="37" spans="1:16" ht="15" thickTop="1" x14ac:dyDescent="0.3">
      <c r="A37" s="56" t="s">
        <v>19</v>
      </c>
      <c r="B37" s="57">
        <v>166536</v>
      </c>
      <c r="C37" s="57">
        <v>0</v>
      </c>
      <c r="D37" s="57">
        <v>40237</v>
      </c>
      <c r="E37" s="57">
        <v>6843</v>
      </c>
      <c r="F37" s="57">
        <v>7355</v>
      </c>
      <c r="G37" s="57">
        <v>11159</v>
      </c>
      <c r="H37" s="57">
        <v>232130</v>
      </c>
      <c r="I37" s="57">
        <v>0</v>
      </c>
      <c r="J37" s="57"/>
      <c r="K37" s="57"/>
      <c r="L37" s="57">
        <v>132</v>
      </c>
      <c r="M37" s="57">
        <v>360</v>
      </c>
      <c r="N37" s="57">
        <v>121</v>
      </c>
      <c r="O37" s="112">
        <v>613</v>
      </c>
      <c r="P37" s="57">
        <v>190185</v>
      </c>
    </row>
    <row r="38" spans="1:16" x14ac:dyDescent="0.3">
      <c r="A38" s="56" t="s">
        <v>19</v>
      </c>
      <c r="B38" s="137">
        <v>166536</v>
      </c>
      <c r="C38" s="137"/>
      <c r="D38" s="57">
        <v>40237</v>
      </c>
      <c r="E38" s="57">
        <v>6843</v>
      </c>
      <c r="F38" s="57">
        <v>7355</v>
      </c>
      <c r="G38" s="57">
        <v>11159</v>
      </c>
      <c r="H38" s="112">
        <v>232130</v>
      </c>
      <c r="I38" s="57">
        <v>0</v>
      </c>
      <c r="J38" s="60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67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5490-CFC5-4382-81CE-05A78B355913}">
  <dimension ref="A1:Z46"/>
  <sheetViews>
    <sheetView workbookViewId="0">
      <selection activeCell="J4" sqref="J4"/>
    </sheetView>
  </sheetViews>
  <sheetFormatPr baseColWidth="10" defaultRowHeight="14.4" x14ac:dyDescent="0.3"/>
  <cols>
    <col min="16" max="16" width="0" hidden="1" customWidth="1"/>
  </cols>
  <sheetData>
    <row r="1" spans="1:26" s="1" customFormat="1" ht="15.6" x14ac:dyDescent="0.3">
      <c r="A1" s="122" t="s">
        <v>34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26" s="1" customFormat="1" ht="15.6" x14ac:dyDescent="0.3">
      <c r="A2" s="122" t="s">
        <v>35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ht="15.6" x14ac:dyDescent="0.3">
      <c r="A3" s="135" t="s">
        <v>33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65"/>
      <c r="Q3" s="65"/>
      <c r="R3" s="65"/>
      <c r="S3" s="65"/>
    </row>
    <row r="4" spans="1:26" ht="82.8" x14ac:dyDescent="0.3">
      <c r="A4" s="133" t="s">
        <v>1</v>
      </c>
      <c r="B4" s="136" t="s">
        <v>2</v>
      </c>
      <c r="C4" s="136"/>
      <c r="D4" s="55" t="s">
        <v>3</v>
      </c>
      <c r="E4" s="55" t="s">
        <v>4</v>
      </c>
      <c r="F4" s="55" t="s">
        <v>5</v>
      </c>
      <c r="G4" s="55" t="s">
        <v>6</v>
      </c>
      <c r="H4" s="136" t="s">
        <v>7</v>
      </c>
      <c r="I4" s="136" t="s">
        <v>8</v>
      </c>
      <c r="J4" s="59"/>
      <c r="K4" s="138" t="s">
        <v>1</v>
      </c>
      <c r="L4" s="136" t="s">
        <v>9</v>
      </c>
      <c r="M4" s="136" t="s">
        <v>10</v>
      </c>
      <c r="N4" s="136" t="s">
        <v>11</v>
      </c>
      <c r="O4" s="136" t="s">
        <v>12</v>
      </c>
      <c r="P4" s="58"/>
      <c r="Q4" s="58"/>
      <c r="R4" s="58"/>
      <c r="S4" s="58"/>
    </row>
    <row r="5" spans="1:26" x14ac:dyDescent="0.3">
      <c r="A5" s="134"/>
      <c r="B5" s="56" t="s">
        <v>13</v>
      </c>
      <c r="C5" s="56" t="s">
        <v>14</v>
      </c>
      <c r="D5" s="56" t="s">
        <v>15</v>
      </c>
      <c r="E5" s="56" t="s">
        <v>16</v>
      </c>
      <c r="F5" s="56" t="s">
        <v>17</v>
      </c>
      <c r="G5" s="56" t="s">
        <v>18</v>
      </c>
      <c r="H5" s="136"/>
      <c r="I5" s="136"/>
      <c r="J5" s="59"/>
      <c r="K5" s="138"/>
      <c r="L5" s="136"/>
      <c r="M5" s="136"/>
      <c r="N5" s="136"/>
      <c r="O5" s="136"/>
      <c r="P5" s="58"/>
      <c r="Q5" s="58"/>
      <c r="R5" s="58"/>
      <c r="S5" s="58"/>
    </row>
    <row r="6" spans="1:26" ht="15" thickBot="1" x14ac:dyDescent="0.35">
      <c r="A6" s="102">
        <v>1</v>
      </c>
      <c r="B6" s="103">
        <v>4021</v>
      </c>
      <c r="C6" s="103">
        <v>0</v>
      </c>
      <c r="D6" s="103">
        <v>1575</v>
      </c>
      <c r="E6" s="103">
        <v>277</v>
      </c>
      <c r="F6" s="103">
        <v>296</v>
      </c>
      <c r="G6" s="103">
        <v>422</v>
      </c>
      <c r="H6" s="103">
        <v>6591</v>
      </c>
      <c r="I6" s="103">
        <v>0</v>
      </c>
      <c r="J6" s="104"/>
      <c r="K6" s="102">
        <v>1</v>
      </c>
      <c r="L6" s="103">
        <v>12</v>
      </c>
      <c r="M6" s="103">
        <v>20</v>
      </c>
      <c r="N6" s="103">
        <v>7</v>
      </c>
      <c r="O6" s="103">
        <v>39</v>
      </c>
      <c r="P6" s="106">
        <v>6135</v>
      </c>
      <c r="Q6" s="58"/>
      <c r="R6" s="58"/>
      <c r="S6" s="58"/>
    </row>
    <row r="7" spans="1:26" ht="15.6" thickTop="1" thickBot="1" x14ac:dyDescent="0.35">
      <c r="A7" s="102">
        <v>2</v>
      </c>
      <c r="B7" s="103">
        <v>4158</v>
      </c>
      <c r="C7" s="103">
        <v>0</v>
      </c>
      <c r="D7" s="103">
        <v>1742</v>
      </c>
      <c r="E7" s="103">
        <v>279</v>
      </c>
      <c r="F7" s="103">
        <v>303</v>
      </c>
      <c r="G7" s="103">
        <v>453</v>
      </c>
      <c r="H7" s="103">
        <v>6935</v>
      </c>
      <c r="I7" s="103">
        <v>0</v>
      </c>
      <c r="J7" s="104"/>
      <c r="K7" s="102">
        <v>2</v>
      </c>
      <c r="L7" s="103">
        <v>5</v>
      </c>
      <c r="M7" s="103">
        <v>14</v>
      </c>
      <c r="N7" s="103">
        <v>8</v>
      </c>
      <c r="O7" s="103">
        <v>27</v>
      </c>
      <c r="P7" s="106">
        <v>6135</v>
      </c>
      <c r="Q7" s="58"/>
      <c r="R7" s="58"/>
      <c r="S7" s="58"/>
    </row>
    <row r="8" spans="1:26" ht="15.6" thickTop="1" thickBot="1" x14ac:dyDescent="0.35">
      <c r="A8" s="102">
        <v>3</v>
      </c>
      <c r="B8" s="103">
        <v>4648</v>
      </c>
      <c r="C8" s="103">
        <v>0</v>
      </c>
      <c r="D8" s="103">
        <v>1746</v>
      </c>
      <c r="E8" s="103">
        <v>332</v>
      </c>
      <c r="F8" s="103">
        <v>320</v>
      </c>
      <c r="G8" s="103">
        <v>530</v>
      </c>
      <c r="H8" s="103">
        <v>7576</v>
      </c>
      <c r="I8" s="103">
        <v>0</v>
      </c>
      <c r="J8" s="104"/>
      <c r="K8" s="102">
        <v>3</v>
      </c>
      <c r="L8" s="103">
        <v>4</v>
      </c>
      <c r="M8" s="103">
        <v>18</v>
      </c>
      <c r="N8" s="103">
        <v>5</v>
      </c>
      <c r="O8" s="103">
        <v>27</v>
      </c>
      <c r="P8" s="106">
        <v>6135</v>
      </c>
      <c r="Q8" s="58"/>
      <c r="R8" s="58"/>
      <c r="S8" s="63"/>
    </row>
    <row r="9" spans="1:26" ht="15.6" thickTop="1" thickBot="1" x14ac:dyDescent="0.35">
      <c r="A9" s="102">
        <v>4</v>
      </c>
      <c r="B9" s="103">
        <v>7374</v>
      </c>
      <c r="C9" s="103">
        <v>0</v>
      </c>
      <c r="D9" s="103">
        <v>1779</v>
      </c>
      <c r="E9" s="103">
        <v>270</v>
      </c>
      <c r="F9" s="103">
        <v>316</v>
      </c>
      <c r="G9" s="103">
        <v>454</v>
      </c>
      <c r="H9" s="103">
        <v>10193</v>
      </c>
      <c r="I9" s="103">
        <v>0</v>
      </c>
      <c r="J9" s="104"/>
      <c r="K9" s="102">
        <v>4</v>
      </c>
      <c r="L9" s="103">
        <v>7</v>
      </c>
      <c r="M9" s="103">
        <v>32</v>
      </c>
      <c r="N9" s="103">
        <v>5</v>
      </c>
      <c r="O9" s="103">
        <v>44</v>
      </c>
      <c r="P9" s="106">
        <v>6135</v>
      </c>
      <c r="Q9" s="58"/>
      <c r="R9" s="58"/>
      <c r="S9" s="58"/>
    </row>
    <row r="10" spans="1:26" ht="15.6" thickTop="1" thickBot="1" x14ac:dyDescent="0.35">
      <c r="A10" s="102">
        <v>5</v>
      </c>
      <c r="B10" s="103">
        <v>9229</v>
      </c>
      <c r="C10" s="103">
        <v>0</v>
      </c>
      <c r="D10" s="103">
        <v>1568</v>
      </c>
      <c r="E10" s="103">
        <v>219</v>
      </c>
      <c r="F10" s="103">
        <v>346</v>
      </c>
      <c r="G10" s="103">
        <v>378</v>
      </c>
      <c r="H10" s="103">
        <v>11740</v>
      </c>
      <c r="I10" s="103">
        <v>0</v>
      </c>
      <c r="J10" s="104"/>
      <c r="K10" s="102">
        <v>5</v>
      </c>
      <c r="L10" s="103">
        <v>7</v>
      </c>
      <c r="M10" s="103">
        <v>18</v>
      </c>
      <c r="N10" s="103">
        <v>4</v>
      </c>
      <c r="O10" s="103">
        <v>29</v>
      </c>
      <c r="P10" s="106">
        <v>6135</v>
      </c>
      <c r="Q10" s="58"/>
      <c r="R10" s="58"/>
      <c r="S10" s="58"/>
    </row>
    <row r="11" spans="1:26" ht="15.6" thickTop="1" thickBot="1" x14ac:dyDescent="0.35">
      <c r="A11" s="102">
        <v>6</v>
      </c>
      <c r="B11" s="103">
        <v>7794</v>
      </c>
      <c r="C11" s="103">
        <v>0</v>
      </c>
      <c r="D11" s="103">
        <v>1228</v>
      </c>
      <c r="E11" s="103">
        <v>202</v>
      </c>
      <c r="F11" s="103">
        <v>233</v>
      </c>
      <c r="G11" s="103">
        <v>388</v>
      </c>
      <c r="H11" s="103">
        <v>9845</v>
      </c>
      <c r="I11" s="103">
        <v>0</v>
      </c>
      <c r="J11" s="104"/>
      <c r="K11" s="102">
        <v>6</v>
      </c>
      <c r="L11" s="103">
        <v>6</v>
      </c>
      <c r="M11" s="103">
        <v>8</v>
      </c>
      <c r="N11" s="103">
        <v>3</v>
      </c>
      <c r="O11" s="103">
        <v>17</v>
      </c>
      <c r="P11" s="106">
        <v>6135</v>
      </c>
      <c r="Q11" s="58"/>
      <c r="R11" s="58"/>
      <c r="S11" s="58"/>
    </row>
    <row r="12" spans="1:26" ht="15.6" thickTop="1" thickBot="1" x14ac:dyDescent="0.35">
      <c r="A12" s="102">
        <v>7</v>
      </c>
      <c r="B12" s="103">
        <v>4823</v>
      </c>
      <c r="C12" s="103">
        <v>0</v>
      </c>
      <c r="D12" s="103">
        <v>1187</v>
      </c>
      <c r="E12" s="103">
        <v>251</v>
      </c>
      <c r="F12" s="103">
        <v>200</v>
      </c>
      <c r="G12" s="103">
        <v>338</v>
      </c>
      <c r="H12" s="103">
        <v>6799</v>
      </c>
      <c r="I12" s="103">
        <v>0</v>
      </c>
      <c r="J12" s="105"/>
      <c r="K12" s="102">
        <v>7</v>
      </c>
      <c r="L12" s="103">
        <v>12</v>
      </c>
      <c r="M12" s="103">
        <v>24</v>
      </c>
      <c r="N12" s="103">
        <v>2</v>
      </c>
      <c r="O12" s="103">
        <v>38</v>
      </c>
      <c r="P12" s="106">
        <v>6135</v>
      </c>
      <c r="Q12" s="58"/>
      <c r="R12" s="58"/>
      <c r="S12" s="58"/>
    </row>
    <row r="13" spans="1:26" ht="15.6" thickTop="1" thickBot="1" x14ac:dyDescent="0.35">
      <c r="A13" s="102">
        <v>8</v>
      </c>
      <c r="B13" s="103">
        <v>8813</v>
      </c>
      <c r="C13" s="103">
        <v>0</v>
      </c>
      <c r="D13" s="103">
        <v>915</v>
      </c>
      <c r="E13" s="103">
        <v>96</v>
      </c>
      <c r="F13" s="103">
        <v>184</v>
      </c>
      <c r="G13" s="103">
        <v>167</v>
      </c>
      <c r="H13" s="103">
        <v>10175</v>
      </c>
      <c r="I13" s="103">
        <v>0</v>
      </c>
      <c r="J13" s="105"/>
      <c r="K13" s="102">
        <v>8</v>
      </c>
      <c r="L13" s="103">
        <v>3</v>
      </c>
      <c r="M13" s="103">
        <v>4</v>
      </c>
      <c r="N13" s="103">
        <v>2</v>
      </c>
      <c r="O13" s="103">
        <v>9</v>
      </c>
      <c r="P13" s="106">
        <v>6135</v>
      </c>
      <c r="Q13" s="58"/>
      <c r="R13" s="58"/>
      <c r="S13" s="58"/>
    </row>
    <row r="14" spans="1:26" ht="15.6" thickTop="1" thickBot="1" x14ac:dyDescent="0.35">
      <c r="A14" s="102">
        <v>9</v>
      </c>
      <c r="B14" s="103">
        <v>5630</v>
      </c>
      <c r="C14" s="103">
        <v>0</v>
      </c>
      <c r="D14" s="103">
        <v>1663</v>
      </c>
      <c r="E14" s="103">
        <v>319</v>
      </c>
      <c r="F14" s="103">
        <v>297</v>
      </c>
      <c r="G14" s="103">
        <v>507</v>
      </c>
      <c r="H14" s="103">
        <v>8416</v>
      </c>
      <c r="I14" s="103">
        <v>0</v>
      </c>
      <c r="J14" s="105"/>
      <c r="K14" s="102">
        <v>9</v>
      </c>
      <c r="L14" s="103">
        <v>2</v>
      </c>
      <c r="M14" s="103">
        <v>26</v>
      </c>
      <c r="N14" s="103">
        <v>3</v>
      </c>
      <c r="O14" s="103">
        <v>31</v>
      </c>
      <c r="P14" s="107">
        <v>6135</v>
      </c>
      <c r="Q14" s="66"/>
      <c r="R14" s="66"/>
      <c r="S14" s="66"/>
    </row>
    <row r="15" spans="1:26" ht="15.6" thickTop="1" thickBot="1" x14ac:dyDescent="0.35">
      <c r="A15" s="102">
        <v>10</v>
      </c>
      <c r="B15" s="103">
        <v>5245</v>
      </c>
      <c r="C15" s="103">
        <v>0</v>
      </c>
      <c r="D15" s="103">
        <v>1917</v>
      </c>
      <c r="E15" s="103">
        <v>336</v>
      </c>
      <c r="F15" s="103">
        <v>342</v>
      </c>
      <c r="G15" s="103">
        <v>443</v>
      </c>
      <c r="H15" s="103">
        <v>8283</v>
      </c>
      <c r="I15" s="103">
        <v>0</v>
      </c>
      <c r="J15" s="105"/>
      <c r="K15" s="102">
        <v>10</v>
      </c>
      <c r="L15" s="103">
        <v>7</v>
      </c>
      <c r="M15" s="103">
        <v>12</v>
      </c>
      <c r="N15" s="103">
        <v>3</v>
      </c>
      <c r="O15" s="103">
        <v>22</v>
      </c>
      <c r="P15" s="106">
        <v>6135</v>
      </c>
      <c r="Q15" s="58"/>
      <c r="R15" s="58"/>
      <c r="S15" s="58"/>
    </row>
    <row r="16" spans="1:26" ht="15.6" thickTop="1" thickBot="1" x14ac:dyDescent="0.35">
      <c r="A16" s="102">
        <v>11</v>
      </c>
      <c r="B16" s="103">
        <v>6320</v>
      </c>
      <c r="C16" s="103">
        <v>0</v>
      </c>
      <c r="D16" s="103">
        <v>1834</v>
      </c>
      <c r="E16" s="103">
        <v>296</v>
      </c>
      <c r="F16" s="103">
        <v>376</v>
      </c>
      <c r="G16" s="103">
        <v>497</v>
      </c>
      <c r="H16" s="103">
        <v>9323</v>
      </c>
      <c r="I16" s="103">
        <v>0</v>
      </c>
      <c r="J16" s="105"/>
      <c r="K16" s="102">
        <v>11</v>
      </c>
      <c r="L16" s="103">
        <v>6</v>
      </c>
      <c r="M16" s="103">
        <v>21</v>
      </c>
      <c r="N16" s="103">
        <v>2</v>
      </c>
      <c r="O16" s="103">
        <v>29</v>
      </c>
      <c r="P16" s="106">
        <v>6135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5.6" thickTop="1" thickBot="1" x14ac:dyDescent="0.35">
      <c r="A17" s="102">
        <v>12</v>
      </c>
      <c r="B17" s="103">
        <v>7339</v>
      </c>
      <c r="C17" s="103">
        <v>0</v>
      </c>
      <c r="D17" s="103">
        <v>1662</v>
      </c>
      <c r="E17" s="103">
        <v>282</v>
      </c>
      <c r="F17" s="103">
        <v>339</v>
      </c>
      <c r="G17" s="103">
        <v>382</v>
      </c>
      <c r="H17" s="103">
        <v>10004</v>
      </c>
      <c r="I17" s="103">
        <v>0</v>
      </c>
      <c r="J17" s="105"/>
      <c r="K17" s="102">
        <v>12</v>
      </c>
      <c r="L17" s="103">
        <v>11</v>
      </c>
      <c r="M17" s="103">
        <v>26</v>
      </c>
      <c r="N17" s="103">
        <v>3</v>
      </c>
      <c r="O17" s="103">
        <v>40</v>
      </c>
      <c r="P17" s="106">
        <v>6135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5.6" thickTop="1" thickBot="1" x14ac:dyDescent="0.35">
      <c r="A18" s="102">
        <v>13</v>
      </c>
      <c r="B18" s="103">
        <v>8330</v>
      </c>
      <c r="C18" s="103">
        <v>0</v>
      </c>
      <c r="D18" s="103">
        <v>1320</v>
      </c>
      <c r="E18" s="103">
        <v>186</v>
      </c>
      <c r="F18" s="103">
        <v>224</v>
      </c>
      <c r="G18" s="103">
        <v>335</v>
      </c>
      <c r="H18" s="103">
        <v>10395</v>
      </c>
      <c r="I18" s="103">
        <v>0</v>
      </c>
      <c r="J18" s="105"/>
      <c r="K18" s="102">
        <v>13</v>
      </c>
      <c r="L18" s="103">
        <v>6</v>
      </c>
      <c r="M18" s="103">
        <v>12</v>
      </c>
      <c r="N18" s="103">
        <v>4</v>
      </c>
      <c r="O18" s="103">
        <v>22</v>
      </c>
      <c r="P18" s="106">
        <v>6135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.6" thickTop="1" thickBot="1" x14ac:dyDescent="0.35">
      <c r="A19" s="102">
        <v>14</v>
      </c>
      <c r="B19" s="103">
        <v>5123</v>
      </c>
      <c r="C19" s="103">
        <v>0</v>
      </c>
      <c r="D19" s="103">
        <v>1282</v>
      </c>
      <c r="E19" s="103">
        <v>294</v>
      </c>
      <c r="F19" s="103">
        <v>226</v>
      </c>
      <c r="G19" s="103">
        <v>383</v>
      </c>
      <c r="H19" s="103">
        <v>7308</v>
      </c>
      <c r="I19" s="103">
        <v>0</v>
      </c>
      <c r="J19" s="105"/>
      <c r="K19" s="102">
        <v>14</v>
      </c>
      <c r="L19" s="103">
        <v>5</v>
      </c>
      <c r="M19" s="103">
        <v>4</v>
      </c>
      <c r="N19" s="103">
        <v>3</v>
      </c>
      <c r="O19" s="103">
        <v>12</v>
      </c>
      <c r="P19" s="106">
        <v>6135</v>
      </c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.6" thickTop="1" thickBot="1" x14ac:dyDescent="0.35">
      <c r="A20" s="102">
        <v>15</v>
      </c>
      <c r="B20" s="103">
        <v>4960</v>
      </c>
      <c r="C20" s="103">
        <v>0</v>
      </c>
      <c r="D20" s="103">
        <v>1743</v>
      </c>
      <c r="E20" s="103">
        <v>322</v>
      </c>
      <c r="F20" s="103">
        <v>322</v>
      </c>
      <c r="G20" s="103">
        <v>418</v>
      </c>
      <c r="H20" s="103">
        <v>7765</v>
      </c>
      <c r="I20" s="103">
        <v>0</v>
      </c>
      <c r="J20" s="105"/>
      <c r="K20" s="102">
        <v>15</v>
      </c>
      <c r="L20" s="103">
        <v>9</v>
      </c>
      <c r="M20" s="103">
        <v>18</v>
      </c>
      <c r="N20" s="103">
        <v>4</v>
      </c>
      <c r="O20" s="103">
        <v>31</v>
      </c>
      <c r="P20" s="106">
        <v>6135</v>
      </c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.6" thickTop="1" thickBot="1" x14ac:dyDescent="0.35">
      <c r="A21" s="102">
        <v>16</v>
      </c>
      <c r="B21" s="103">
        <v>5066</v>
      </c>
      <c r="C21" s="103">
        <v>0</v>
      </c>
      <c r="D21" s="103">
        <v>1776</v>
      </c>
      <c r="E21" s="103">
        <v>348</v>
      </c>
      <c r="F21" s="103">
        <v>366</v>
      </c>
      <c r="G21" s="103">
        <v>511</v>
      </c>
      <c r="H21" s="103">
        <v>8067</v>
      </c>
      <c r="I21" s="103">
        <v>0</v>
      </c>
      <c r="J21" s="105"/>
      <c r="K21" s="102">
        <v>16</v>
      </c>
      <c r="L21" s="103">
        <v>13</v>
      </c>
      <c r="M21" s="103">
        <v>21</v>
      </c>
      <c r="N21" s="103">
        <v>6</v>
      </c>
      <c r="O21" s="103">
        <v>40</v>
      </c>
      <c r="P21" s="106">
        <v>6135</v>
      </c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.6" thickTop="1" thickBot="1" x14ac:dyDescent="0.35">
      <c r="A22" s="102">
        <v>17</v>
      </c>
      <c r="B22" s="103">
        <v>5619</v>
      </c>
      <c r="C22" s="103">
        <v>0</v>
      </c>
      <c r="D22" s="103">
        <v>2060</v>
      </c>
      <c r="E22" s="103">
        <v>357</v>
      </c>
      <c r="F22" s="103">
        <v>381</v>
      </c>
      <c r="G22" s="103">
        <v>480</v>
      </c>
      <c r="H22" s="103">
        <v>8897</v>
      </c>
      <c r="I22" s="103">
        <v>0</v>
      </c>
      <c r="J22" s="105"/>
      <c r="K22" s="102">
        <v>17</v>
      </c>
      <c r="L22" s="103">
        <v>5</v>
      </c>
      <c r="M22" s="103">
        <v>28</v>
      </c>
      <c r="N22" s="103">
        <v>5</v>
      </c>
      <c r="O22" s="103">
        <v>38</v>
      </c>
      <c r="P22" s="106">
        <v>6135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6" thickTop="1" thickBot="1" x14ac:dyDescent="0.35">
      <c r="A23" s="102">
        <v>18</v>
      </c>
      <c r="B23" s="103">
        <v>6893</v>
      </c>
      <c r="C23" s="103">
        <v>0</v>
      </c>
      <c r="D23" s="103">
        <v>1831</v>
      </c>
      <c r="E23" s="103">
        <v>353</v>
      </c>
      <c r="F23" s="103">
        <v>366</v>
      </c>
      <c r="G23" s="103">
        <v>473</v>
      </c>
      <c r="H23" s="109">
        <v>9916</v>
      </c>
      <c r="I23" s="103">
        <v>0</v>
      </c>
      <c r="J23" s="105"/>
      <c r="K23" s="102">
        <v>18</v>
      </c>
      <c r="L23" s="103">
        <v>9</v>
      </c>
      <c r="M23" s="103">
        <v>19</v>
      </c>
      <c r="N23" s="103">
        <v>6</v>
      </c>
      <c r="O23" s="103">
        <v>34</v>
      </c>
      <c r="P23" s="106">
        <v>6135</v>
      </c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6" thickTop="1" thickBot="1" x14ac:dyDescent="0.35">
      <c r="A24" s="102">
        <v>19</v>
      </c>
      <c r="B24" s="103">
        <v>9431</v>
      </c>
      <c r="C24" s="103">
        <v>0</v>
      </c>
      <c r="D24" s="103">
        <v>1719</v>
      </c>
      <c r="E24" s="103">
        <v>293</v>
      </c>
      <c r="F24" s="103">
        <v>362</v>
      </c>
      <c r="G24" s="103">
        <v>454</v>
      </c>
      <c r="H24" s="109">
        <v>12259</v>
      </c>
      <c r="I24" s="103">
        <v>0</v>
      </c>
      <c r="J24" s="105"/>
      <c r="K24" s="102">
        <v>19</v>
      </c>
      <c r="L24" s="103">
        <v>15</v>
      </c>
      <c r="M24" s="103">
        <v>29</v>
      </c>
      <c r="N24" s="103">
        <v>5</v>
      </c>
      <c r="O24" s="103">
        <v>49</v>
      </c>
      <c r="P24" s="106">
        <v>6135</v>
      </c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.6" thickTop="1" thickBot="1" x14ac:dyDescent="0.35">
      <c r="A25" s="102">
        <v>20</v>
      </c>
      <c r="B25" s="103">
        <v>9438</v>
      </c>
      <c r="C25" s="103">
        <v>0</v>
      </c>
      <c r="D25" s="103">
        <v>1474</v>
      </c>
      <c r="E25" s="103">
        <v>193</v>
      </c>
      <c r="F25" s="103">
        <v>238</v>
      </c>
      <c r="G25" s="103">
        <v>381</v>
      </c>
      <c r="H25" s="103">
        <v>11724</v>
      </c>
      <c r="I25" s="103">
        <v>0</v>
      </c>
      <c r="J25" s="105"/>
      <c r="K25" s="102">
        <v>20</v>
      </c>
      <c r="L25" s="103">
        <v>4</v>
      </c>
      <c r="M25" s="103">
        <v>14</v>
      </c>
      <c r="N25" s="103">
        <v>4</v>
      </c>
      <c r="O25" s="103">
        <v>22</v>
      </c>
      <c r="P25" s="106">
        <v>6135</v>
      </c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.6" thickTop="1" thickBot="1" x14ac:dyDescent="0.35">
      <c r="A26" s="102">
        <v>21</v>
      </c>
      <c r="B26" s="103">
        <v>6622</v>
      </c>
      <c r="C26" s="103">
        <v>0</v>
      </c>
      <c r="D26" s="103">
        <v>1506</v>
      </c>
      <c r="E26" s="103">
        <v>304</v>
      </c>
      <c r="F26" s="103">
        <v>274</v>
      </c>
      <c r="G26" s="103">
        <v>371</v>
      </c>
      <c r="H26" s="103">
        <v>9077</v>
      </c>
      <c r="I26" s="103">
        <v>0</v>
      </c>
      <c r="J26" s="105"/>
      <c r="K26" s="102">
        <v>21</v>
      </c>
      <c r="L26" s="103">
        <v>5</v>
      </c>
      <c r="M26" s="103">
        <v>14</v>
      </c>
      <c r="N26" s="103">
        <v>5</v>
      </c>
      <c r="O26" s="103">
        <v>24</v>
      </c>
      <c r="P26" s="106">
        <v>6135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.6" thickTop="1" thickBot="1" x14ac:dyDescent="0.35">
      <c r="A27" s="102">
        <v>22</v>
      </c>
      <c r="B27" s="103">
        <v>8108</v>
      </c>
      <c r="C27" s="103">
        <v>0</v>
      </c>
      <c r="D27" s="103">
        <v>1963</v>
      </c>
      <c r="E27" s="103">
        <v>339</v>
      </c>
      <c r="F27" s="103">
        <v>338</v>
      </c>
      <c r="G27" s="103">
        <v>454</v>
      </c>
      <c r="H27" s="103">
        <v>11202</v>
      </c>
      <c r="I27" s="103">
        <v>0</v>
      </c>
      <c r="J27" s="105"/>
      <c r="K27" s="102">
        <v>22</v>
      </c>
      <c r="L27" s="103">
        <v>9</v>
      </c>
      <c r="M27" s="103">
        <v>11</v>
      </c>
      <c r="N27" s="103">
        <v>7</v>
      </c>
      <c r="O27" s="103">
        <v>27</v>
      </c>
      <c r="P27" s="106">
        <v>6135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.6" thickTop="1" thickBot="1" x14ac:dyDescent="0.35">
      <c r="A28" s="102">
        <v>23</v>
      </c>
      <c r="B28" s="103">
        <v>9463</v>
      </c>
      <c r="C28" s="103">
        <v>0</v>
      </c>
      <c r="D28" s="103">
        <v>1920</v>
      </c>
      <c r="E28" s="103">
        <v>320</v>
      </c>
      <c r="F28" s="103">
        <v>357</v>
      </c>
      <c r="G28" s="103">
        <v>409</v>
      </c>
      <c r="H28" s="103">
        <v>12469</v>
      </c>
      <c r="I28" s="103">
        <v>0</v>
      </c>
      <c r="J28" s="105"/>
      <c r="K28" s="102">
        <v>23</v>
      </c>
      <c r="L28" s="103">
        <v>10</v>
      </c>
      <c r="M28" s="103">
        <v>16</v>
      </c>
      <c r="N28" s="103">
        <v>6</v>
      </c>
      <c r="O28" s="103">
        <v>32</v>
      </c>
      <c r="P28" s="106">
        <v>6135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.6" thickTop="1" thickBot="1" x14ac:dyDescent="0.35">
      <c r="A29" s="102">
        <v>24</v>
      </c>
      <c r="B29" s="103">
        <v>7501</v>
      </c>
      <c r="C29" s="103">
        <v>0</v>
      </c>
      <c r="D29" s="103">
        <v>1417</v>
      </c>
      <c r="E29" s="103">
        <v>175</v>
      </c>
      <c r="F29" s="103">
        <v>287</v>
      </c>
      <c r="G29" s="103">
        <v>220</v>
      </c>
      <c r="H29" s="103">
        <v>9600</v>
      </c>
      <c r="I29" s="103">
        <v>0</v>
      </c>
      <c r="J29" s="105"/>
      <c r="K29" s="102">
        <v>24</v>
      </c>
      <c r="L29" s="103">
        <v>8</v>
      </c>
      <c r="M29" s="103">
        <v>15</v>
      </c>
      <c r="N29" s="103">
        <v>8</v>
      </c>
      <c r="O29" s="103">
        <v>31</v>
      </c>
      <c r="P29" s="106">
        <v>6135</v>
      </c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6" thickTop="1" thickBot="1" x14ac:dyDescent="0.35">
      <c r="A30" s="102">
        <v>25</v>
      </c>
      <c r="B30" s="103">
        <v>6052</v>
      </c>
      <c r="C30" s="103">
        <v>0</v>
      </c>
      <c r="D30" s="103">
        <v>866</v>
      </c>
      <c r="E30" s="103">
        <v>152</v>
      </c>
      <c r="F30" s="103">
        <v>166</v>
      </c>
      <c r="G30" s="103">
        <v>263</v>
      </c>
      <c r="H30" s="103">
        <v>7499</v>
      </c>
      <c r="I30" s="103">
        <v>0</v>
      </c>
      <c r="J30" s="105"/>
      <c r="K30" s="102">
        <v>25</v>
      </c>
      <c r="L30" s="103">
        <v>11</v>
      </c>
      <c r="M30" s="103">
        <v>13</v>
      </c>
      <c r="N30" s="103">
        <v>7</v>
      </c>
      <c r="O30" s="103">
        <v>31</v>
      </c>
      <c r="P30" s="106">
        <v>6135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6" thickTop="1" thickBot="1" x14ac:dyDescent="0.35">
      <c r="A31" s="102">
        <v>26</v>
      </c>
      <c r="B31" s="103">
        <v>9775</v>
      </c>
      <c r="C31" s="103">
        <v>0</v>
      </c>
      <c r="D31" s="103">
        <v>1200</v>
      </c>
      <c r="E31" s="103">
        <v>264</v>
      </c>
      <c r="F31" s="103">
        <v>231</v>
      </c>
      <c r="G31" s="103">
        <v>412</v>
      </c>
      <c r="H31" s="103">
        <v>11882</v>
      </c>
      <c r="I31" s="103">
        <v>0</v>
      </c>
      <c r="J31" s="105"/>
      <c r="K31" s="102">
        <v>26</v>
      </c>
      <c r="L31" s="103">
        <v>10</v>
      </c>
      <c r="M31" s="103">
        <v>10</v>
      </c>
      <c r="N31" s="103">
        <v>2</v>
      </c>
      <c r="O31" s="103">
        <v>22</v>
      </c>
      <c r="P31" s="106">
        <v>6135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6" thickTop="1" thickBot="1" x14ac:dyDescent="0.35">
      <c r="A32" s="102">
        <v>27</v>
      </c>
      <c r="B32" s="103">
        <v>12061</v>
      </c>
      <c r="C32" s="103">
        <v>0</v>
      </c>
      <c r="D32" s="103">
        <v>976</v>
      </c>
      <c r="E32" s="103">
        <v>85</v>
      </c>
      <c r="F32" s="103">
        <v>144</v>
      </c>
      <c r="G32" s="103">
        <v>195</v>
      </c>
      <c r="H32" s="103">
        <v>13461</v>
      </c>
      <c r="I32" s="103">
        <v>0</v>
      </c>
      <c r="J32" s="105"/>
      <c r="K32" s="102">
        <v>27</v>
      </c>
      <c r="L32" s="103">
        <v>3</v>
      </c>
      <c r="M32" s="103">
        <v>14</v>
      </c>
      <c r="N32" s="103">
        <v>1</v>
      </c>
      <c r="O32" s="103">
        <v>18</v>
      </c>
      <c r="P32" s="106">
        <v>6135</v>
      </c>
    </row>
    <row r="33" spans="1:16" ht="15.6" thickTop="1" thickBot="1" x14ac:dyDescent="0.35">
      <c r="A33" s="102">
        <v>28</v>
      </c>
      <c r="B33" s="103">
        <v>8463</v>
      </c>
      <c r="C33" s="103">
        <v>0</v>
      </c>
      <c r="D33" s="103">
        <v>1558</v>
      </c>
      <c r="E33" s="103">
        <v>248</v>
      </c>
      <c r="F33" s="103">
        <v>261</v>
      </c>
      <c r="G33" s="103">
        <v>342</v>
      </c>
      <c r="H33" s="103">
        <v>10872</v>
      </c>
      <c r="I33" s="103">
        <v>0</v>
      </c>
      <c r="J33" s="105"/>
      <c r="K33" s="102">
        <v>28</v>
      </c>
      <c r="L33" s="103">
        <v>6</v>
      </c>
      <c r="M33" s="103">
        <v>14</v>
      </c>
      <c r="N33" s="103">
        <v>6</v>
      </c>
      <c r="O33" s="103">
        <v>26</v>
      </c>
      <c r="P33" s="106">
        <v>6135</v>
      </c>
    </row>
    <row r="34" spans="1:16" ht="15.6" thickTop="1" thickBot="1" x14ac:dyDescent="0.35">
      <c r="A34" s="102">
        <v>29</v>
      </c>
      <c r="B34" s="103">
        <v>10538</v>
      </c>
      <c r="C34" s="103">
        <v>0</v>
      </c>
      <c r="D34" s="103">
        <v>1662</v>
      </c>
      <c r="E34" s="103">
        <v>245</v>
      </c>
      <c r="F34" s="103">
        <v>309</v>
      </c>
      <c r="G34" s="103">
        <v>335</v>
      </c>
      <c r="H34" s="103">
        <v>13089</v>
      </c>
      <c r="I34" s="103">
        <v>0</v>
      </c>
      <c r="J34" s="105"/>
      <c r="K34" s="102">
        <v>29</v>
      </c>
      <c r="L34" s="103">
        <v>8</v>
      </c>
      <c r="M34" s="103">
        <v>20</v>
      </c>
      <c r="N34" s="103">
        <v>5</v>
      </c>
      <c r="O34" s="103">
        <v>33</v>
      </c>
      <c r="P34" s="106">
        <v>6135</v>
      </c>
    </row>
    <row r="35" spans="1:16" ht="15.6" thickTop="1" thickBot="1" x14ac:dyDescent="0.35">
      <c r="A35" s="102">
        <v>30</v>
      </c>
      <c r="B35" s="103">
        <v>13551</v>
      </c>
      <c r="C35" s="103">
        <v>0</v>
      </c>
      <c r="D35" s="103">
        <v>1656</v>
      </c>
      <c r="E35" s="103">
        <v>260</v>
      </c>
      <c r="F35" s="103">
        <v>231</v>
      </c>
      <c r="G35" s="103">
        <v>319</v>
      </c>
      <c r="H35" s="103">
        <v>16017</v>
      </c>
      <c r="I35" s="103">
        <v>0</v>
      </c>
      <c r="J35" s="105"/>
      <c r="K35" s="102">
        <v>30</v>
      </c>
      <c r="L35" s="103">
        <v>6</v>
      </c>
      <c r="M35" s="103">
        <v>8</v>
      </c>
      <c r="N35" s="103">
        <v>7</v>
      </c>
      <c r="O35" s="103">
        <v>21</v>
      </c>
      <c r="P35" s="106">
        <v>6135</v>
      </c>
    </row>
    <row r="36" spans="1:16" ht="15.6" thickTop="1" thickBot="1" x14ac:dyDescent="0.35">
      <c r="A36" s="102">
        <v>31</v>
      </c>
      <c r="B36" s="103">
        <v>11163</v>
      </c>
      <c r="C36" s="103">
        <v>0</v>
      </c>
      <c r="D36" s="103">
        <v>1172</v>
      </c>
      <c r="E36" s="103">
        <v>131</v>
      </c>
      <c r="F36" s="103">
        <v>203</v>
      </c>
      <c r="G36" s="103">
        <v>190</v>
      </c>
      <c r="H36" s="103">
        <v>12859</v>
      </c>
      <c r="I36" s="103">
        <v>0</v>
      </c>
      <c r="J36" s="105"/>
      <c r="K36" s="102">
        <v>31</v>
      </c>
      <c r="L36" s="108">
        <v>6</v>
      </c>
      <c r="M36" s="108">
        <v>10</v>
      </c>
      <c r="N36" s="108">
        <v>0</v>
      </c>
      <c r="O36" s="103">
        <v>16</v>
      </c>
      <c r="P36" s="106">
        <v>6135</v>
      </c>
    </row>
    <row r="37" spans="1:16" ht="15" thickTop="1" x14ac:dyDescent="0.3">
      <c r="A37" s="56" t="s">
        <v>19</v>
      </c>
      <c r="B37" s="57">
        <v>233551</v>
      </c>
      <c r="C37" s="57">
        <v>0</v>
      </c>
      <c r="D37" s="57">
        <v>47917</v>
      </c>
      <c r="E37" s="57">
        <v>8028</v>
      </c>
      <c r="F37" s="57">
        <v>8838</v>
      </c>
      <c r="G37" s="57">
        <v>11904</v>
      </c>
      <c r="H37" s="57">
        <v>310238</v>
      </c>
      <c r="I37" s="57">
        <v>0</v>
      </c>
      <c r="J37" s="57"/>
      <c r="K37" s="57"/>
      <c r="L37" s="57">
        <v>230</v>
      </c>
      <c r="M37" s="57">
        <v>513</v>
      </c>
      <c r="N37" s="57">
        <v>138</v>
      </c>
      <c r="O37" s="112">
        <v>881</v>
      </c>
      <c r="P37" s="57">
        <v>190185</v>
      </c>
    </row>
    <row r="38" spans="1:16" x14ac:dyDescent="0.3">
      <c r="A38" s="56" t="s">
        <v>19</v>
      </c>
      <c r="B38" s="137">
        <v>233551</v>
      </c>
      <c r="C38" s="137"/>
      <c r="D38" s="57">
        <v>47917</v>
      </c>
      <c r="E38" s="57">
        <v>8028</v>
      </c>
      <c r="F38" s="57">
        <v>8838</v>
      </c>
      <c r="G38" s="57">
        <v>11904</v>
      </c>
      <c r="H38" s="112">
        <v>310238</v>
      </c>
      <c r="I38" s="57">
        <v>0</v>
      </c>
      <c r="J38" s="60"/>
      <c r="K38" s="56"/>
      <c r="L38" s="61" t="s">
        <v>20</v>
      </c>
      <c r="M38" s="61" t="s">
        <v>21</v>
      </c>
      <c r="N38" s="61" t="s">
        <v>20</v>
      </c>
      <c r="O38" s="61" t="s">
        <v>21</v>
      </c>
      <c r="P38" s="58"/>
    </row>
    <row r="39" spans="1:16" x14ac:dyDescent="0.3">
      <c r="A39" s="62" t="s">
        <v>22</v>
      </c>
      <c r="B39" s="64"/>
      <c r="C39" s="64"/>
      <c r="D39" s="64"/>
      <c r="E39" s="64"/>
      <c r="F39" s="64"/>
      <c r="G39" s="64"/>
      <c r="H39" s="64"/>
      <c r="I39" s="58"/>
      <c r="J39" s="58"/>
      <c r="K39" s="58"/>
      <c r="L39" s="67"/>
      <c r="M39" s="58"/>
      <c r="N39" s="58"/>
      <c r="O39" s="58"/>
      <c r="P39" s="58"/>
    </row>
    <row r="40" spans="1:16" x14ac:dyDescent="0.3">
      <c r="A40" s="70"/>
      <c r="B40" s="71"/>
      <c r="C40" s="71"/>
      <c r="D40" s="71"/>
      <c r="E40" s="71"/>
      <c r="F40" s="71"/>
      <c r="G40" s="71"/>
      <c r="H40" s="71"/>
      <c r="I40" s="71"/>
      <c r="J40" s="67"/>
      <c r="K40" s="53"/>
      <c r="L40" s="52"/>
      <c r="M40" s="58"/>
      <c r="N40" s="58"/>
      <c r="O40" s="58"/>
      <c r="P40" s="58"/>
    </row>
    <row r="41" spans="1:16" x14ac:dyDescent="0.3">
      <c r="A41" s="63"/>
      <c r="B41" s="58"/>
      <c r="C41" s="58"/>
      <c r="D41" s="58"/>
      <c r="E41" s="58"/>
      <c r="F41" s="58"/>
      <c r="G41" s="58"/>
      <c r="H41" s="63"/>
      <c r="I41" s="58"/>
      <c r="J41" s="58"/>
      <c r="K41" s="53"/>
      <c r="L41" s="52"/>
      <c r="M41" s="58"/>
      <c r="N41" s="58"/>
      <c r="O41" s="58"/>
      <c r="P41" s="58"/>
    </row>
    <row r="42" spans="1:16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3"/>
      <c r="L42" s="52"/>
      <c r="M42" s="58"/>
      <c r="N42" s="58"/>
      <c r="O42" s="58"/>
      <c r="P42" s="58"/>
    </row>
    <row r="43" spans="1:16" x14ac:dyDescent="0.3">
      <c r="A43" s="58"/>
      <c r="B43" s="58"/>
      <c r="C43" s="58"/>
      <c r="D43" s="58"/>
      <c r="E43" s="58"/>
      <c r="F43" s="58"/>
      <c r="G43" s="58"/>
      <c r="H43" s="58"/>
      <c r="I43" s="63"/>
      <c r="J43" s="63"/>
      <c r="K43" s="58"/>
      <c r="L43" s="58"/>
      <c r="M43" s="58"/>
      <c r="N43" s="58"/>
      <c r="O43" s="58"/>
      <c r="P43" s="58"/>
    </row>
    <row r="45" spans="1:16" x14ac:dyDescent="0.3">
      <c r="A45" s="69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3">
      <c r="A46" s="69"/>
      <c r="B46" s="63"/>
      <c r="C46" s="63"/>
      <c r="D46" s="63"/>
      <c r="E46" s="63"/>
      <c r="F46" s="63"/>
      <c r="G46" s="63"/>
      <c r="H46" s="63"/>
      <c r="I46" s="63"/>
      <c r="J46" s="63"/>
      <c r="K46" s="68"/>
      <c r="L46" s="63"/>
      <c r="M46" s="63"/>
      <c r="N46" s="63"/>
      <c r="O46" s="63"/>
      <c r="P46" s="58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2020</vt:lpstr>
      <vt:lpstr>FEBRERO 2020</vt:lpstr>
      <vt:lpstr>MARZO 2020</vt:lpstr>
      <vt:lpstr>ABRIL 2020</vt:lpstr>
      <vt:lpstr>MAYO 2020</vt:lpstr>
      <vt:lpstr>JUNIO 2020</vt:lpstr>
      <vt:lpstr>JULIO 2020</vt:lpstr>
      <vt:lpstr>AGOSTO 2020</vt:lpstr>
      <vt:lpstr>SEPTIEMBRE 2020</vt:lpstr>
      <vt:lpstr>OCTUBRE 2020</vt:lpstr>
      <vt:lpstr>NOVIEMBRE 2020</vt:lpstr>
      <vt:lpstr>DICIEMBRE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Concesion Sabana</dc:creator>
  <cp:lastModifiedBy>ANDREA CAROLINA BUSTOS FUENTES</cp:lastModifiedBy>
  <dcterms:created xsi:type="dcterms:W3CDTF">2024-09-02T13:51:15Z</dcterms:created>
  <dcterms:modified xsi:type="dcterms:W3CDTF">2026-02-02T01:49:58Z</dcterms:modified>
</cp:coreProperties>
</file>