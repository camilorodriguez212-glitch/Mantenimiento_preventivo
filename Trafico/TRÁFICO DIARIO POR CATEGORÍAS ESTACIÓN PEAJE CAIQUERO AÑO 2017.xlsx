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7E196232-C83E-4FCD-B37E-F0B3DE78392B}" xr6:coauthVersionLast="47" xr6:coauthVersionMax="47" xr10:uidLastSave="{00000000-0000-0000-0000-000000000000}"/>
  <bookViews>
    <workbookView xWindow="-108" yWindow="-108" windowWidth="23256" windowHeight="12456" firstSheet="6" activeTab="11" xr2:uid="{EB9B48C5-0B2D-4CF2-AEFC-FD803BAC9D34}"/>
  </bookViews>
  <sheets>
    <sheet name="ENERO 2017" sheetId="1" r:id="rId1"/>
    <sheet name="FEBRERO 2017" sheetId="2" r:id="rId2"/>
    <sheet name="MARZO 2017" sheetId="3" r:id="rId3"/>
    <sheet name="ABRIL 2017" sheetId="4" r:id="rId4"/>
    <sheet name="MAYO 2017" sheetId="5" r:id="rId5"/>
    <sheet name="JUNIO 2017" sheetId="6" r:id="rId6"/>
    <sheet name="JULIO 2017" sheetId="7" r:id="rId7"/>
    <sheet name="AGOSTO 2017" sheetId="8" r:id="rId8"/>
    <sheet name="SEPTIEMBRE 2017" sheetId="9" r:id="rId9"/>
    <sheet name="OCTUBRE  2017" sheetId="10" r:id="rId10"/>
    <sheet name="NOVIEMBRE 2017" sheetId="11" r:id="rId11"/>
    <sheet name="DICIEMBRE 2017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2" l="1"/>
  <c r="N38" i="11"/>
  <c r="N38" i="10"/>
  <c r="N38" i="8"/>
  <c r="N38" i="7"/>
  <c r="N38" i="6"/>
  <c r="N38" i="5"/>
  <c r="N38" i="4"/>
  <c r="H40" i="4"/>
  <c r="N38" i="3"/>
  <c r="N38" i="1"/>
  <c r="H37" i="1" l="1"/>
  <c r="N37" i="9" l="1"/>
  <c r="M37" i="9"/>
  <c r="L37" i="9"/>
  <c r="N38" i="9" s="1"/>
  <c r="I37" i="9"/>
  <c r="G37" i="9"/>
  <c r="G38" i="9" s="1"/>
  <c r="F37" i="9"/>
  <c r="F38" i="9" s="1"/>
  <c r="E37" i="9"/>
  <c r="E38" i="9" s="1"/>
  <c r="D37" i="9"/>
  <c r="D38" i="9" s="1"/>
  <c r="C37" i="9"/>
  <c r="B37" i="9"/>
  <c r="B38" i="9" s="1"/>
  <c r="O36" i="9"/>
  <c r="H36" i="9"/>
  <c r="O35" i="9"/>
  <c r="H35" i="9"/>
  <c r="O34" i="9"/>
  <c r="H34" i="9"/>
  <c r="O33" i="9"/>
  <c r="H33" i="9"/>
  <c r="O32" i="9"/>
  <c r="H32" i="9"/>
  <c r="O31" i="9"/>
  <c r="H31" i="9"/>
  <c r="O30" i="9"/>
  <c r="H30" i="9"/>
  <c r="O29" i="9"/>
  <c r="H29" i="9"/>
  <c r="O28" i="9"/>
  <c r="H28" i="9"/>
  <c r="O27" i="9"/>
  <c r="H27" i="9"/>
  <c r="O26" i="9"/>
  <c r="H26" i="9"/>
  <c r="O25" i="9"/>
  <c r="H25" i="9"/>
  <c r="O24" i="9"/>
  <c r="H24" i="9"/>
  <c r="O23" i="9"/>
  <c r="H23" i="9"/>
  <c r="O22" i="9"/>
  <c r="H22" i="9"/>
  <c r="O21" i="9"/>
  <c r="H21" i="9"/>
  <c r="O20" i="9"/>
  <c r="H20" i="9"/>
  <c r="O19" i="9"/>
  <c r="H19" i="9"/>
  <c r="O18" i="9"/>
  <c r="H18" i="9"/>
  <c r="O17" i="9"/>
  <c r="H17" i="9"/>
  <c r="O16" i="9"/>
  <c r="H16" i="9"/>
  <c r="O15" i="9"/>
  <c r="H15" i="9"/>
  <c r="O14" i="9"/>
  <c r="H14" i="9"/>
  <c r="O13" i="9"/>
  <c r="H13" i="9"/>
  <c r="O12" i="9"/>
  <c r="H12" i="9"/>
  <c r="O11" i="9"/>
  <c r="H11" i="9"/>
  <c r="O10" i="9"/>
  <c r="H10" i="9"/>
  <c r="O9" i="9"/>
  <c r="H9" i="9"/>
  <c r="O8" i="9"/>
  <c r="H8" i="9"/>
  <c r="P7" i="9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O7" i="9"/>
  <c r="H7" i="9"/>
  <c r="O6" i="9"/>
  <c r="H6" i="9"/>
  <c r="N37" i="3"/>
  <c r="M37" i="3"/>
  <c r="L37" i="3"/>
  <c r="I37" i="3"/>
  <c r="G37" i="3"/>
  <c r="G38" i="3" s="1"/>
  <c r="F37" i="3"/>
  <c r="F38" i="3" s="1"/>
  <c r="E37" i="3"/>
  <c r="E38" i="3" s="1"/>
  <c r="D37" i="3"/>
  <c r="D38" i="3" s="1"/>
  <c r="C37" i="3"/>
  <c r="B37" i="3"/>
  <c r="B38" i="3" s="1"/>
  <c r="O36" i="3"/>
  <c r="H36" i="3"/>
  <c r="O35" i="3"/>
  <c r="H35" i="3"/>
  <c r="O34" i="3"/>
  <c r="H34" i="3"/>
  <c r="O33" i="3"/>
  <c r="H33" i="3"/>
  <c r="O32" i="3"/>
  <c r="H32" i="3"/>
  <c r="O31" i="3"/>
  <c r="H31" i="3"/>
  <c r="O30" i="3"/>
  <c r="H30" i="3"/>
  <c r="O29" i="3"/>
  <c r="H29" i="3"/>
  <c r="O28" i="3"/>
  <c r="H28" i="3"/>
  <c r="O27" i="3"/>
  <c r="H27" i="3"/>
  <c r="O26" i="3"/>
  <c r="H26" i="3"/>
  <c r="O25" i="3"/>
  <c r="H25" i="3"/>
  <c r="O24" i="3"/>
  <c r="H24" i="3"/>
  <c r="O23" i="3"/>
  <c r="H23" i="3"/>
  <c r="O22" i="3"/>
  <c r="H22" i="3"/>
  <c r="O21" i="3"/>
  <c r="H21" i="3"/>
  <c r="O20" i="3"/>
  <c r="H20" i="3"/>
  <c r="O19" i="3"/>
  <c r="H19" i="3"/>
  <c r="O18" i="3"/>
  <c r="H18" i="3"/>
  <c r="O17" i="3"/>
  <c r="H17" i="3"/>
  <c r="O16" i="3"/>
  <c r="H16" i="3"/>
  <c r="O15" i="3"/>
  <c r="H15" i="3"/>
  <c r="O14" i="3"/>
  <c r="H14" i="3"/>
  <c r="O13" i="3"/>
  <c r="H13" i="3"/>
  <c r="O12" i="3"/>
  <c r="H12" i="3"/>
  <c r="O11" i="3"/>
  <c r="H11" i="3"/>
  <c r="O10" i="3"/>
  <c r="H10" i="3"/>
  <c r="O9" i="3"/>
  <c r="H9" i="3"/>
  <c r="O8" i="3"/>
  <c r="H8" i="3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O7" i="3"/>
  <c r="H7" i="3"/>
  <c r="O6" i="3"/>
  <c r="H6" i="3"/>
  <c r="H37" i="3" s="1"/>
  <c r="H38" i="3" s="1"/>
  <c r="G38" i="2"/>
  <c r="N37" i="2"/>
  <c r="M37" i="2"/>
  <c r="L37" i="2"/>
  <c r="N38" i="2" s="1"/>
  <c r="I37" i="2"/>
  <c r="G37" i="2"/>
  <c r="F37" i="2"/>
  <c r="F38" i="2" s="1"/>
  <c r="E37" i="2"/>
  <c r="E38" i="2" s="1"/>
  <c r="D37" i="2"/>
  <c r="D38" i="2" s="1"/>
  <c r="C37" i="2"/>
  <c r="B37" i="2"/>
  <c r="B38" i="2" s="1"/>
  <c r="O36" i="2"/>
  <c r="H36" i="2"/>
  <c r="O35" i="2"/>
  <c r="H35" i="2"/>
  <c r="O34" i="2"/>
  <c r="H34" i="2"/>
  <c r="O33" i="2"/>
  <c r="H33" i="2"/>
  <c r="O32" i="2"/>
  <c r="H32" i="2"/>
  <c r="O31" i="2"/>
  <c r="H31" i="2"/>
  <c r="O30" i="2"/>
  <c r="H30" i="2"/>
  <c r="O29" i="2"/>
  <c r="H29" i="2"/>
  <c r="O28" i="2"/>
  <c r="H28" i="2"/>
  <c r="O27" i="2"/>
  <c r="H27" i="2"/>
  <c r="O26" i="2"/>
  <c r="H26" i="2"/>
  <c r="O25" i="2"/>
  <c r="H25" i="2"/>
  <c r="O24" i="2"/>
  <c r="H24" i="2"/>
  <c r="O23" i="2"/>
  <c r="H23" i="2"/>
  <c r="O22" i="2"/>
  <c r="H22" i="2"/>
  <c r="O21" i="2"/>
  <c r="H21" i="2"/>
  <c r="O20" i="2"/>
  <c r="H20" i="2"/>
  <c r="O19" i="2"/>
  <c r="H19" i="2"/>
  <c r="O18" i="2"/>
  <c r="H18" i="2"/>
  <c r="O17" i="2"/>
  <c r="H17" i="2"/>
  <c r="O16" i="2"/>
  <c r="H16" i="2"/>
  <c r="O15" i="2"/>
  <c r="H15" i="2"/>
  <c r="O14" i="2"/>
  <c r="H14" i="2"/>
  <c r="O13" i="2"/>
  <c r="H13" i="2"/>
  <c r="O12" i="2"/>
  <c r="H12" i="2"/>
  <c r="O11" i="2"/>
  <c r="H11" i="2"/>
  <c r="O10" i="2"/>
  <c r="H10" i="2"/>
  <c r="O9" i="2"/>
  <c r="H9" i="2"/>
  <c r="O8" i="2"/>
  <c r="H8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O7" i="2"/>
  <c r="H7" i="2"/>
  <c r="O6" i="2"/>
  <c r="H6" i="2"/>
  <c r="G38" i="1"/>
  <c r="N37" i="1"/>
  <c r="M37" i="1"/>
  <c r="L37" i="1"/>
  <c r="I37" i="1"/>
  <c r="G37" i="1"/>
  <c r="F37" i="1"/>
  <c r="F38" i="1" s="1"/>
  <c r="E37" i="1"/>
  <c r="E38" i="1" s="1"/>
  <c r="D37" i="1"/>
  <c r="D38" i="1" s="1"/>
  <c r="C37" i="1"/>
  <c r="B37" i="1"/>
  <c r="B38" i="1" s="1"/>
  <c r="O36" i="1"/>
  <c r="H36" i="1"/>
  <c r="O35" i="1"/>
  <c r="H35" i="1"/>
  <c r="O34" i="1"/>
  <c r="H34" i="1"/>
  <c r="O33" i="1"/>
  <c r="H33" i="1"/>
  <c r="O32" i="1"/>
  <c r="H32" i="1"/>
  <c r="O31" i="1"/>
  <c r="H31" i="1"/>
  <c r="O30" i="1"/>
  <c r="H30" i="1"/>
  <c r="O29" i="1"/>
  <c r="H29" i="1"/>
  <c r="O28" i="1"/>
  <c r="H28" i="1"/>
  <c r="O27" i="1"/>
  <c r="H27" i="1"/>
  <c r="O26" i="1"/>
  <c r="H26" i="1"/>
  <c r="O25" i="1"/>
  <c r="H25" i="1"/>
  <c r="O24" i="1"/>
  <c r="H24" i="1"/>
  <c r="O23" i="1"/>
  <c r="H23" i="1"/>
  <c r="O22" i="1"/>
  <c r="H22" i="1"/>
  <c r="O21" i="1"/>
  <c r="H21" i="1"/>
  <c r="O20" i="1"/>
  <c r="H20" i="1"/>
  <c r="O19" i="1"/>
  <c r="H19" i="1"/>
  <c r="O18" i="1"/>
  <c r="H18" i="1"/>
  <c r="O17" i="1"/>
  <c r="H17" i="1"/>
  <c r="O16" i="1"/>
  <c r="H16" i="1"/>
  <c r="O15" i="1"/>
  <c r="H15" i="1"/>
  <c r="O14" i="1"/>
  <c r="H14" i="1"/>
  <c r="O13" i="1"/>
  <c r="H13" i="1"/>
  <c r="O12" i="1"/>
  <c r="H12" i="1"/>
  <c r="O11" i="1"/>
  <c r="H11" i="1"/>
  <c r="O10" i="1"/>
  <c r="H10" i="1"/>
  <c r="O9" i="1"/>
  <c r="H9" i="1"/>
  <c r="O8" i="1"/>
  <c r="H8" i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7" i="1"/>
  <c r="H7" i="1"/>
  <c r="O6" i="1"/>
  <c r="H6" i="1"/>
  <c r="H38" i="1" s="1"/>
  <c r="H37" i="9" l="1"/>
  <c r="H38" i="9" s="1"/>
  <c r="H37" i="2"/>
  <c r="H38" i="2" s="1"/>
</calcChain>
</file>

<file path=xl/sharedStrings.xml><?xml version="1.0" encoding="utf-8"?>
<sst xmlns="http://schemas.openxmlformats.org/spreadsheetml/2006/main" count="336" uniqueCount="36">
  <si>
    <t>ENERO 2017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</si>
  <si>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</si>
  <si>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</si>
  <si>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</si>
  <si>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</si>
  <si>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</si>
  <si>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</si>
  <si>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</si>
  <si>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</si>
  <si>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</si>
  <si>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</si>
  <si>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</si>
  <si>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</si>
  <si>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</si>
  <si>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</si>
  <si>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</si>
  <si>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</si>
  <si>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</si>
  <si>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</si>
  <si>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</si>
  <si>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</si>
  <si>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</si>
  <si>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</si>
  <si>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FEBRERO 2017</t>
  </si>
  <si>
    <t>MARZO 2017</t>
  </si>
  <si>
    <t>ABRIL 2017</t>
  </si>
  <si>
    <t>MAYO 2017</t>
  </si>
  <si>
    <t>JUNIO 2017</t>
  </si>
  <si>
    <t>JULIO 2017</t>
  </si>
  <si>
    <t>AGOSTO 2017</t>
  </si>
  <si>
    <t>SEPTIEMBRE 2017</t>
  </si>
  <si>
    <t>OCTUBRE 2017</t>
  </si>
  <si>
    <t>NOVIEMBRE 2017</t>
  </si>
  <si>
    <t>DICIEMBRE 2017</t>
  </si>
  <si>
    <t>CONCESIÓN SABANA DE OCCIDENTE S.A.S.</t>
  </si>
  <si>
    <t xml:space="preserve">TRÁFICO POR CATEGORÍAS, ESTACIÓN DE PEAJE CAIQUERO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</si>
</sst>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_ ;\-#,##0\ "/>
    <numFmt numFmtId="165" formatCode="_(* #,##0_);_(* \(#,##0\);_(* &quot;-&quot;??_);_(@_)"/>
    <numFmt numFmtId="166" formatCode="_([$$-240A]\ * #,##0_);_([$$-240A]\ * \(#,##0\);_([$$-240A]\ * &quot;-&quot;??_);_(@_)"/>
    <numFmt numFmtId="167" formatCode="_(&quot;N$&quot;* #,##0.00_);_(&quot;N$&quot;* \(#,##0.00\);_(&quot;N$&quot;* &quot;-&quot;??_);_(@_)"/>
    <numFmt numFmtId="168" formatCode="_ [$$-240A]\ * #,##0_ ;_ [$$-240A]\ * \-#,##0_ ;_ [$$-240A]\ * &quot;-&quot;_ ;_ @_ "/>
    <numFmt numFmtId="169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>
      <alignment vertical="top"/>
    </xf>
    <xf numFmtId="166" fontId="6" fillId="0" borderId="0"/>
    <xf numFmtId="166" fontId="6" fillId="0" borderId="0"/>
    <xf numFmtId="166" fontId="7" fillId="0" borderId="0">
      <alignment vertical="top"/>
    </xf>
    <xf numFmtId="166" fontId="8" fillId="0" borderId="0"/>
    <xf numFmtId="166" fontId="8" fillId="0" borderId="0"/>
    <xf numFmtId="166" fontId="7" fillId="0" borderId="0">
      <alignment vertical="top"/>
    </xf>
    <xf numFmtId="166" fontId="7" fillId="0" borderId="0">
      <alignment vertical="top"/>
    </xf>
    <xf numFmtId="166" fontId="7" fillId="0" borderId="0">
      <alignment vertical="top"/>
    </xf>
    <xf numFmtId="166" fontId="7" fillId="0" borderId="0">
      <alignment vertical="top"/>
    </xf>
    <xf numFmtId="166" fontId="6" fillId="0" borderId="0"/>
    <xf numFmtId="166" fontId="8" fillId="3" borderId="0" applyNumberFormat="0" applyBorder="0" applyAlignment="0" applyProtection="0"/>
    <xf numFmtId="166" fontId="8" fillId="4" borderId="0" applyNumberFormat="0" applyBorder="0" applyAlignment="0" applyProtection="0"/>
    <xf numFmtId="166" fontId="8" fillId="5" borderId="0" applyNumberFormat="0" applyBorder="0" applyAlignment="0" applyProtection="0"/>
    <xf numFmtId="166" fontId="8" fillId="6" borderId="0" applyNumberFormat="0" applyBorder="0" applyAlignment="0" applyProtection="0"/>
    <xf numFmtId="166" fontId="8" fillId="7" borderId="0" applyNumberFormat="0" applyBorder="0" applyAlignment="0" applyProtection="0"/>
    <xf numFmtId="166" fontId="8" fillId="8" borderId="0" applyNumberFormat="0" applyBorder="0" applyAlignment="0" applyProtection="0"/>
    <xf numFmtId="166" fontId="8" fillId="9" borderId="0" applyNumberFormat="0" applyBorder="0" applyAlignment="0" applyProtection="0"/>
    <xf numFmtId="166" fontId="8" fillId="10" borderId="0" applyNumberFormat="0" applyBorder="0" applyAlignment="0" applyProtection="0"/>
    <xf numFmtId="166" fontId="8" fillId="11" borderId="0" applyNumberFormat="0" applyBorder="0" applyAlignment="0" applyProtection="0"/>
    <xf numFmtId="166" fontId="8" fillId="6" borderId="0" applyNumberFormat="0" applyBorder="0" applyAlignment="0" applyProtection="0"/>
    <xf numFmtId="166" fontId="8" fillId="9" borderId="0" applyNumberFormat="0" applyBorder="0" applyAlignment="0" applyProtection="0"/>
    <xf numFmtId="166" fontId="8" fillId="12" borderId="0" applyNumberFormat="0" applyBorder="0" applyAlignment="0" applyProtection="0"/>
    <xf numFmtId="166" fontId="9" fillId="13" borderId="0" applyNumberFormat="0" applyBorder="0" applyAlignment="0" applyProtection="0"/>
    <xf numFmtId="166" fontId="9" fillId="10" borderId="0" applyNumberFormat="0" applyBorder="0" applyAlignment="0" applyProtection="0"/>
    <xf numFmtId="166" fontId="9" fillId="11" borderId="0" applyNumberFormat="0" applyBorder="0" applyAlignment="0" applyProtection="0"/>
    <xf numFmtId="166" fontId="9" fillId="14" borderId="0" applyNumberFormat="0" applyBorder="0" applyAlignment="0" applyProtection="0"/>
    <xf numFmtId="166" fontId="9" fillId="15" borderId="0" applyNumberFormat="0" applyBorder="0" applyAlignment="0" applyProtection="0"/>
    <xf numFmtId="166" fontId="9" fillId="16" borderId="0" applyNumberFormat="0" applyBorder="0" applyAlignment="0" applyProtection="0"/>
    <xf numFmtId="166" fontId="10" fillId="5" borderId="0" applyNumberFormat="0" applyBorder="0" applyAlignment="0" applyProtection="0"/>
    <xf numFmtId="166" fontId="11" fillId="8" borderId="5" applyNumberFormat="0" applyAlignment="0" applyProtection="0"/>
    <xf numFmtId="166" fontId="12" fillId="17" borderId="6" applyNumberFormat="0" applyAlignment="0" applyProtection="0"/>
    <xf numFmtId="166" fontId="13" fillId="0" borderId="7" applyNumberFormat="0" applyFill="0" applyAlignment="0" applyProtection="0"/>
    <xf numFmtId="166" fontId="14" fillId="0" borderId="0" applyNumberFormat="0" applyFill="0" applyBorder="0" applyAlignment="0" applyProtection="0"/>
    <xf numFmtId="166" fontId="9" fillId="18" borderId="0" applyNumberFormat="0" applyBorder="0" applyAlignment="0" applyProtection="0"/>
    <xf numFmtId="166" fontId="9" fillId="19" borderId="0" applyNumberFormat="0" applyBorder="0" applyAlignment="0" applyProtection="0"/>
    <xf numFmtId="166" fontId="9" fillId="20" borderId="0" applyNumberFormat="0" applyBorder="0" applyAlignment="0" applyProtection="0"/>
    <xf numFmtId="166" fontId="9" fillId="14" borderId="0" applyNumberFormat="0" applyBorder="0" applyAlignment="0" applyProtection="0"/>
    <xf numFmtId="166" fontId="9" fillId="15" borderId="0" applyNumberFormat="0" applyBorder="0" applyAlignment="0" applyProtection="0"/>
    <xf numFmtId="166" fontId="9" fillId="21" borderId="0" applyNumberFormat="0" applyBorder="0" applyAlignment="0" applyProtection="0"/>
    <xf numFmtId="166" fontId="15" fillId="8" borderId="5" applyNumberFormat="0" applyAlignment="0" applyProtection="0"/>
    <xf numFmtId="166" fontId="6" fillId="0" borderId="0" applyFont="0" applyFill="0" applyBorder="0" applyAlignment="0" applyProtection="0"/>
    <xf numFmtId="166" fontId="16" fillId="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17" fillId="22" borderId="0" applyNumberFormat="0" applyBorder="0" applyAlignment="0" applyProtection="0"/>
    <xf numFmtId="166" fontId="8" fillId="23" borderId="8" applyNumberFormat="0" applyFont="0" applyAlignment="0" applyProtection="0"/>
    <xf numFmtId="9" fontId="6" fillId="0" borderId="0" applyFont="0" applyFill="0" applyBorder="0" applyAlignment="0" applyProtection="0"/>
    <xf numFmtId="166" fontId="18" fillId="8" borderId="9" applyNumberFormat="0" applyAlignment="0" applyProtection="0"/>
    <xf numFmtId="166" fontId="19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1" fillId="0" borderId="0" applyNumberFormat="0" applyFill="0" applyBorder="0" applyAlignment="0" applyProtection="0"/>
    <xf numFmtId="166" fontId="22" fillId="0" borderId="10" applyNumberFormat="0" applyFill="0" applyAlignment="0" applyProtection="0"/>
    <xf numFmtId="166" fontId="23" fillId="0" borderId="11" applyNumberFormat="0" applyFill="0" applyAlignment="0" applyProtection="0"/>
    <xf numFmtId="166" fontId="14" fillId="0" borderId="12" applyNumberFormat="0" applyFill="0" applyAlignment="0" applyProtection="0"/>
    <xf numFmtId="166" fontId="24" fillId="0" borderId="13" applyNumberFormat="0" applyFill="0" applyAlignment="0" applyProtection="0"/>
    <xf numFmtId="168" fontId="6" fillId="0" borderId="0">
      <alignment vertical="top"/>
    </xf>
    <xf numFmtId="168" fontId="6" fillId="0" borderId="0"/>
    <xf numFmtId="168" fontId="6" fillId="0" borderId="0"/>
    <xf numFmtId="168" fontId="7" fillId="0" borderId="0">
      <alignment vertical="top"/>
    </xf>
    <xf numFmtId="168" fontId="8" fillId="0" borderId="0"/>
    <xf numFmtId="168" fontId="8" fillId="0" borderId="0"/>
    <xf numFmtId="168" fontId="7" fillId="0" borderId="0">
      <alignment vertical="top"/>
    </xf>
    <xf numFmtId="168" fontId="7" fillId="0" borderId="0">
      <alignment vertical="top"/>
    </xf>
    <xf numFmtId="168" fontId="7" fillId="0" borderId="0">
      <alignment vertical="top"/>
    </xf>
    <xf numFmtId="168" fontId="7" fillId="0" borderId="0">
      <alignment vertical="top"/>
    </xf>
    <xf numFmtId="168" fontId="6" fillId="0" borderId="0"/>
    <xf numFmtId="168" fontId="8" fillId="3" borderId="0" applyNumberFormat="0" applyBorder="0" applyAlignment="0" applyProtection="0"/>
    <xf numFmtId="168" fontId="8" fillId="4" borderId="0" applyNumberFormat="0" applyBorder="0" applyAlignment="0" applyProtection="0"/>
    <xf numFmtId="168" fontId="8" fillId="5" borderId="0" applyNumberFormat="0" applyBorder="0" applyAlignment="0" applyProtection="0"/>
    <xf numFmtId="168" fontId="8" fillId="6" borderId="0" applyNumberFormat="0" applyBorder="0" applyAlignment="0" applyProtection="0"/>
    <xf numFmtId="168" fontId="8" fillId="7" borderId="0" applyNumberFormat="0" applyBorder="0" applyAlignment="0" applyProtection="0"/>
    <xf numFmtId="168" fontId="8" fillId="8" borderId="0" applyNumberFormat="0" applyBorder="0" applyAlignment="0" applyProtection="0"/>
    <xf numFmtId="168" fontId="8" fillId="9" borderId="0" applyNumberFormat="0" applyBorder="0" applyAlignment="0" applyProtection="0"/>
    <xf numFmtId="168" fontId="8" fillId="10" borderId="0" applyNumberFormat="0" applyBorder="0" applyAlignment="0" applyProtection="0"/>
    <xf numFmtId="168" fontId="8" fillId="11" borderId="0" applyNumberFormat="0" applyBorder="0" applyAlignment="0" applyProtection="0"/>
    <xf numFmtId="168" fontId="8" fillId="6" borderId="0" applyNumberFormat="0" applyBorder="0" applyAlignment="0" applyProtection="0"/>
    <xf numFmtId="168" fontId="8" fillId="9" borderId="0" applyNumberFormat="0" applyBorder="0" applyAlignment="0" applyProtection="0"/>
    <xf numFmtId="168" fontId="8" fillId="12" borderId="0" applyNumberFormat="0" applyBorder="0" applyAlignment="0" applyProtection="0"/>
    <xf numFmtId="168" fontId="9" fillId="13" borderId="0" applyNumberFormat="0" applyBorder="0" applyAlignment="0" applyProtection="0"/>
    <xf numFmtId="168" fontId="9" fillId="10" borderId="0" applyNumberFormat="0" applyBorder="0" applyAlignment="0" applyProtection="0"/>
    <xf numFmtId="168" fontId="9" fillId="11" borderId="0" applyNumberFormat="0" applyBorder="0" applyAlignment="0" applyProtection="0"/>
    <xf numFmtId="168" fontId="9" fillId="14" borderId="0" applyNumberFormat="0" applyBorder="0" applyAlignment="0" applyProtection="0"/>
    <xf numFmtId="168" fontId="9" fillId="15" borderId="0" applyNumberFormat="0" applyBorder="0" applyAlignment="0" applyProtection="0"/>
    <xf numFmtId="168" fontId="9" fillId="16" borderId="0" applyNumberFormat="0" applyBorder="0" applyAlignment="0" applyProtection="0"/>
    <xf numFmtId="168" fontId="10" fillId="5" borderId="0" applyNumberFormat="0" applyBorder="0" applyAlignment="0" applyProtection="0"/>
    <xf numFmtId="168" fontId="11" fillId="8" borderId="5" applyNumberFormat="0" applyAlignment="0" applyProtection="0"/>
    <xf numFmtId="168" fontId="12" fillId="17" borderId="6" applyNumberFormat="0" applyAlignment="0" applyProtection="0"/>
    <xf numFmtId="168" fontId="13" fillId="0" borderId="7" applyNumberFormat="0" applyFill="0" applyAlignment="0" applyProtection="0"/>
    <xf numFmtId="168" fontId="14" fillId="0" borderId="0" applyNumberFormat="0" applyFill="0" applyBorder="0" applyAlignment="0" applyProtection="0"/>
    <xf numFmtId="168" fontId="9" fillId="18" borderId="0" applyNumberFormat="0" applyBorder="0" applyAlignment="0" applyProtection="0"/>
    <xf numFmtId="168" fontId="9" fillId="19" borderId="0" applyNumberFormat="0" applyBorder="0" applyAlignment="0" applyProtection="0"/>
    <xf numFmtId="168" fontId="9" fillId="20" borderId="0" applyNumberFormat="0" applyBorder="0" applyAlignment="0" applyProtection="0"/>
    <xf numFmtId="168" fontId="9" fillId="14" borderId="0" applyNumberFormat="0" applyBorder="0" applyAlignment="0" applyProtection="0"/>
    <xf numFmtId="168" fontId="9" fillId="15" borderId="0" applyNumberFormat="0" applyBorder="0" applyAlignment="0" applyProtection="0"/>
    <xf numFmtId="168" fontId="9" fillId="21" borderId="0" applyNumberFormat="0" applyBorder="0" applyAlignment="0" applyProtection="0"/>
    <xf numFmtId="168" fontId="15" fillId="8" borderId="5" applyNumberFormat="0" applyAlignment="0" applyProtection="0"/>
    <xf numFmtId="168" fontId="6" fillId="0" borderId="0" applyFont="0" applyFill="0" applyBorder="0" applyAlignment="0" applyProtection="0"/>
    <xf numFmtId="168" fontId="16" fillId="4" borderId="0" applyNumberFormat="0" applyBorder="0" applyAlignment="0" applyProtection="0"/>
    <xf numFmtId="43" fontId="6" fillId="0" borderId="0" applyFont="0" applyFill="0" applyBorder="0" applyAlignment="0" applyProtection="0"/>
    <xf numFmtId="168" fontId="17" fillId="22" borderId="0" applyNumberFormat="0" applyBorder="0" applyAlignment="0" applyProtection="0"/>
    <xf numFmtId="168" fontId="8" fillId="23" borderId="8" applyNumberFormat="0" applyFont="0" applyAlignment="0" applyProtection="0"/>
    <xf numFmtId="168" fontId="18" fillId="8" borderId="9" applyNumberFormat="0" applyAlignment="0" applyProtection="0"/>
    <xf numFmtId="168" fontId="19" fillId="0" borderId="0" applyNumberFormat="0" applyFill="0" applyBorder="0" applyAlignment="0" applyProtection="0"/>
    <xf numFmtId="168" fontId="20" fillId="0" borderId="0" applyNumberForma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10" applyNumberFormat="0" applyFill="0" applyAlignment="0" applyProtection="0"/>
    <xf numFmtId="168" fontId="23" fillId="0" borderId="11" applyNumberFormat="0" applyFill="0" applyAlignment="0" applyProtection="0"/>
    <xf numFmtId="168" fontId="14" fillId="0" borderId="12" applyNumberFormat="0" applyFill="0" applyAlignment="0" applyProtection="0"/>
    <xf numFmtId="168" fontId="24" fillId="0" borderId="13" applyNumberFormat="0" applyFill="0" applyAlignment="0" applyProtection="0"/>
    <xf numFmtId="0" fontId="1" fillId="0" borderId="0"/>
    <xf numFmtId="166" fontId="6" fillId="0" borderId="0">
      <alignment vertical="top"/>
    </xf>
    <xf numFmtId="0" fontId="1" fillId="0" borderId="0"/>
  </cellStyleXfs>
  <cellXfs count="100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37" fontId="4" fillId="0" borderId="2" xfId="1" applyNumberFormat="1" applyFont="1" applyFill="1" applyBorder="1" applyAlignment="1" applyProtection="1">
      <alignment horizontal="center" vertical="center"/>
    </xf>
    <xf numFmtId="37" fontId="5" fillId="0" borderId="2" xfId="1" applyNumberFormat="1" applyFont="1" applyFill="1" applyBorder="1" applyAlignment="1" applyProtection="1">
      <alignment horizontal="center" vertical="center"/>
    </xf>
    <xf numFmtId="37" fontId="5" fillId="0" borderId="0" xfId="1" applyNumberFormat="1" applyFont="1" applyFill="1" applyBorder="1" applyAlignment="1" applyProtection="1">
      <alignment horizontal="center" vertical="center" wrapText="1"/>
    </xf>
    <xf numFmtId="164" fontId="5" fillId="0" borderId="2" xfId="1" applyNumberFormat="1" applyFont="1" applyFill="1" applyBorder="1" applyAlignment="1" applyProtection="1">
      <alignment horizontal="center" vertical="center"/>
    </xf>
    <xf numFmtId="165" fontId="5" fillId="0" borderId="4" xfId="1" applyNumberFormat="1" applyFont="1" applyFill="1" applyBorder="1" applyAlignment="1" applyProtection="1"/>
    <xf numFmtId="3" fontId="5" fillId="0" borderId="0" xfId="0" applyNumberFormat="1" applyFont="1"/>
    <xf numFmtId="37" fontId="5" fillId="0" borderId="0" xfId="1" applyNumberFormat="1" applyFont="1" applyFill="1" applyBorder="1" applyAlignment="1" applyProtection="1">
      <alignment horizontal="center" vertical="center"/>
    </xf>
    <xf numFmtId="165" fontId="5" fillId="2" borderId="4" xfId="1" applyNumberFormat="1" applyFont="1" applyFill="1" applyBorder="1" applyAlignment="1" applyProtection="1"/>
    <xf numFmtId="0" fontId="5" fillId="2" borderId="0" xfId="0" applyFont="1" applyFill="1"/>
    <xf numFmtId="166" fontId="5" fillId="0" borderId="0" xfId="3" applyNumberFormat="1" applyFont="1" applyFill="1" applyProtection="1"/>
    <xf numFmtId="3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0" fontId="4" fillId="0" borderId="0" xfId="2" applyNumberFormat="1" applyFont="1" applyAlignment="1" applyProtection="1">
      <alignment horizontal="right"/>
    </xf>
    <xf numFmtId="10" fontId="5" fillId="0" borderId="0" xfId="2" applyNumberFormat="1" applyFont="1" applyAlignment="1" applyProtection="1">
      <alignment horizontal="right"/>
    </xf>
    <xf numFmtId="17" fontId="5" fillId="0" borderId="0" xfId="0" applyNumberFormat="1" applyFont="1"/>
    <xf numFmtId="3" fontId="4" fillId="0" borderId="0" xfId="0" applyNumberFormat="1" applyFont="1"/>
    <xf numFmtId="166" fontId="6" fillId="0" borderId="0" xfId="4" applyAlignment="1"/>
    <xf numFmtId="166" fontId="4" fillId="0" borderId="0" xfId="4" applyFont="1" applyAlignment="1">
      <alignment horizontal="center" vertical="center" wrapText="1"/>
    </xf>
    <xf numFmtId="37" fontId="4" fillId="0" borderId="2" xfId="47" applyNumberFormat="1" applyFont="1" applyFill="1" applyBorder="1" applyAlignment="1" applyProtection="1">
      <alignment horizontal="center" vertical="center"/>
    </xf>
    <xf numFmtId="37" fontId="5" fillId="0" borderId="2" xfId="47" applyNumberFormat="1" applyFont="1" applyFill="1" applyBorder="1" applyAlignment="1" applyProtection="1">
      <alignment horizontal="center" vertical="center"/>
    </xf>
    <xf numFmtId="37" fontId="5" fillId="0" borderId="0" xfId="47" applyNumberFormat="1" applyFont="1" applyFill="1" applyBorder="1" applyAlignment="1" applyProtection="1">
      <alignment horizontal="center" vertical="center" wrapText="1"/>
    </xf>
    <xf numFmtId="37" fontId="5" fillId="0" borderId="0" xfId="47" applyNumberFormat="1" applyFont="1" applyFill="1" applyBorder="1" applyAlignment="1" applyProtection="1">
      <alignment horizontal="center" vertical="center"/>
    </xf>
    <xf numFmtId="166" fontId="5" fillId="0" borderId="0" xfId="4" applyFont="1" applyAlignment="1">
      <alignment horizontal="center" vertical="center"/>
    </xf>
    <xf numFmtId="166" fontId="4" fillId="0" borderId="0" xfId="4" applyFont="1" applyAlignment="1">
      <alignment horizontal="center" vertical="center"/>
    </xf>
    <xf numFmtId="166" fontId="4" fillId="0" borderId="0" xfId="4" applyFont="1" applyAlignment="1">
      <alignment horizontal="left" vertical="center"/>
    </xf>
    <xf numFmtId="166" fontId="4" fillId="0" borderId="2" xfId="4" applyFont="1" applyBorder="1" applyAlignment="1">
      <alignment horizontal="center" vertical="center" wrapText="1"/>
    </xf>
    <xf numFmtId="166" fontId="4" fillId="0" borderId="2" xfId="4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3" fontId="5" fillId="0" borderId="0" xfId="4" applyNumberFormat="1" applyFont="1" applyAlignment="1"/>
    <xf numFmtId="166" fontId="4" fillId="0" borderId="0" xfId="4" applyFont="1" applyAlignment="1">
      <alignment horizontal="center"/>
    </xf>
    <xf numFmtId="166" fontId="3" fillId="0" borderId="0" xfId="4" applyFont="1" applyAlignment="1"/>
    <xf numFmtId="166" fontId="5" fillId="2" borderId="0" xfId="4" applyFont="1" applyFill="1" applyAlignment="1"/>
    <xf numFmtId="3" fontId="5" fillId="0" borderId="0" xfId="4" applyNumberFormat="1" applyFont="1" applyAlignment="1">
      <alignment horizontal="right"/>
    </xf>
    <xf numFmtId="3" fontId="4" fillId="0" borderId="0" xfId="4" applyNumberFormat="1" applyFont="1" applyAlignment="1"/>
    <xf numFmtId="165" fontId="5" fillId="0" borderId="4" xfId="47" applyNumberFormat="1" applyFont="1" applyFill="1" applyBorder="1" applyAlignment="1" applyProtection="1"/>
    <xf numFmtId="165" fontId="5" fillId="2" borderId="4" xfId="47" applyNumberFormat="1" applyFont="1" applyFill="1" applyBorder="1" applyAlignment="1" applyProtection="1"/>
    <xf numFmtId="166" fontId="5" fillId="0" borderId="0" xfId="48" applyNumberFormat="1" applyFont="1" applyFill="1" applyProtection="1"/>
    <xf numFmtId="17" fontId="5" fillId="0" borderId="0" xfId="4" applyNumberFormat="1" applyFont="1" applyAlignment="1"/>
    <xf numFmtId="166" fontId="4" fillId="0" borderId="0" xfId="4" applyFont="1" applyAlignment="1">
      <alignment horizontal="left"/>
    </xf>
    <xf numFmtId="166" fontId="5" fillId="0" borderId="0" xfId="4" applyFont="1" applyAlignment="1">
      <alignment horizontal="right"/>
    </xf>
    <xf numFmtId="10" fontId="5" fillId="0" borderId="0" xfId="52" applyNumberFormat="1" applyFont="1" applyAlignment="1" applyProtection="1">
      <alignment horizontal="right"/>
    </xf>
    <xf numFmtId="10" fontId="4" fillId="0" borderId="0" xfId="52" applyNumberFormat="1" applyFont="1" applyAlignment="1" applyProtection="1">
      <alignment horizontal="right"/>
    </xf>
    <xf numFmtId="164" fontId="5" fillId="0" borderId="2" xfId="47" applyNumberFormat="1" applyFont="1" applyFill="1" applyBorder="1" applyAlignment="1" applyProtection="1">
      <alignment horizontal="center" vertical="center"/>
    </xf>
    <xf numFmtId="166" fontId="4" fillId="0" borderId="2" xfId="116" applyFont="1" applyBorder="1" applyAlignment="1">
      <alignment horizontal="center" vertical="center"/>
    </xf>
    <xf numFmtId="166" fontId="4" fillId="0" borderId="2" xfId="116" applyFont="1" applyBorder="1" applyAlignment="1">
      <alignment horizontal="center" vertical="center" wrapText="1"/>
    </xf>
    <xf numFmtId="3" fontId="4" fillId="0" borderId="2" xfId="116" applyNumberFormat="1" applyFont="1" applyBorder="1" applyAlignment="1">
      <alignment horizontal="center" vertical="center"/>
    </xf>
    <xf numFmtId="166" fontId="6" fillId="0" borderId="0" xfId="116" applyAlignment="1"/>
    <xf numFmtId="166" fontId="4" fillId="0" borderId="0" xfId="116" applyFont="1" applyAlignment="1">
      <alignment horizontal="center" vertical="center" wrapText="1"/>
    </xf>
    <xf numFmtId="166" fontId="5" fillId="0" borderId="0" xfId="116" applyFont="1" applyAlignment="1">
      <alignment horizontal="center" vertical="center"/>
    </xf>
    <xf numFmtId="166" fontId="4" fillId="0" borderId="0" xfId="116" applyFont="1" applyAlignment="1">
      <alignment horizontal="center" vertical="center"/>
    </xf>
    <xf numFmtId="166" fontId="4" fillId="0" borderId="0" xfId="116" applyFont="1" applyAlignment="1">
      <alignment horizontal="left" vertical="center"/>
    </xf>
    <xf numFmtId="3" fontId="5" fillId="0" borderId="0" xfId="116" applyNumberFormat="1" applyFont="1" applyAlignment="1"/>
    <xf numFmtId="166" fontId="4" fillId="0" borderId="0" xfId="116" applyFont="1" applyAlignment="1">
      <alignment horizontal="center"/>
    </xf>
    <xf numFmtId="166" fontId="3" fillId="0" borderId="0" xfId="116" applyFont="1" applyAlignment="1"/>
    <xf numFmtId="166" fontId="5" fillId="2" borderId="0" xfId="116" applyFont="1" applyFill="1" applyAlignment="1"/>
    <xf numFmtId="3" fontId="5" fillId="0" borderId="0" xfId="116" applyNumberFormat="1" applyFont="1" applyAlignment="1">
      <alignment horizontal="right"/>
    </xf>
    <xf numFmtId="3" fontId="4" fillId="0" borderId="0" xfId="116" applyNumberFormat="1" applyFont="1" applyAlignment="1"/>
    <xf numFmtId="17" fontId="5" fillId="0" borderId="0" xfId="116" applyNumberFormat="1" applyFont="1" applyAlignment="1"/>
    <xf numFmtId="166" fontId="4" fillId="0" borderId="0" xfId="116" applyFont="1" applyAlignment="1">
      <alignment horizontal="left"/>
    </xf>
    <xf numFmtId="166" fontId="5" fillId="0" borderId="0" xfId="116" applyFont="1" applyAlignment="1">
      <alignment horizontal="right"/>
    </xf>
    <xf numFmtId="3" fontId="4" fillId="24" borderId="2" xfId="0" applyNumberFormat="1" applyFont="1" applyFill="1" applyBorder="1" applyAlignment="1">
      <alignment horizontal="center" vertical="center"/>
    </xf>
    <xf numFmtId="3" fontId="4" fillId="24" borderId="0" xfId="0" applyNumberFormat="1" applyFont="1" applyFill="1" applyAlignment="1">
      <alignment horizontal="center" vertical="center"/>
    </xf>
    <xf numFmtId="3" fontId="4" fillId="24" borderId="2" xfId="4" applyNumberFormat="1" applyFont="1" applyFill="1" applyBorder="1" applyAlignment="1">
      <alignment horizontal="center" vertical="center"/>
    </xf>
    <xf numFmtId="169" fontId="5" fillId="0" borderId="0" xfId="1" applyNumberFormat="1" applyFont="1" applyAlignment="1">
      <alignment horizontal="right"/>
    </xf>
    <xf numFmtId="169" fontId="4" fillId="24" borderId="0" xfId="1" applyNumberFormat="1" applyFont="1" applyFill="1" applyAlignment="1">
      <alignment horizontal="center" vertical="center"/>
    </xf>
    <xf numFmtId="3" fontId="4" fillId="24" borderId="2" xfId="116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0" borderId="1" xfId="4" applyFont="1" applyBorder="1" applyAlignment="1">
      <alignment horizontal="center" vertical="center"/>
    </xf>
    <xf numFmtId="166" fontId="4" fillId="0" borderId="3" xfId="4" applyFont="1" applyBorder="1" applyAlignment="1">
      <alignment horizontal="center" vertical="center"/>
    </xf>
    <xf numFmtId="166" fontId="2" fillId="0" borderId="0" xfId="4" applyFont="1" applyAlignment="1">
      <alignment horizontal="center" vertical="center"/>
    </xf>
    <xf numFmtId="49" fontId="2" fillId="0" borderId="0" xfId="4" applyNumberFormat="1" applyFont="1" applyAlignment="1">
      <alignment horizontal="center" vertical="center"/>
    </xf>
    <xf numFmtId="166" fontId="4" fillId="0" borderId="2" xfId="4" applyFont="1" applyBorder="1" applyAlignment="1">
      <alignment horizontal="center" vertical="center" wrapText="1"/>
    </xf>
    <xf numFmtId="3" fontId="4" fillId="0" borderId="2" xfId="4" applyNumberFormat="1" applyFont="1" applyBorder="1" applyAlignment="1">
      <alignment horizontal="center" vertical="center"/>
    </xf>
    <xf numFmtId="166" fontId="4" fillId="0" borderId="2" xfId="4" applyFont="1" applyBorder="1" applyAlignment="1">
      <alignment horizontal="center" vertical="center"/>
    </xf>
    <xf numFmtId="166" fontId="4" fillId="0" borderId="1" xfId="116" applyFont="1" applyBorder="1" applyAlignment="1">
      <alignment horizontal="center" vertical="center"/>
    </xf>
    <xf numFmtId="166" fontId="4" fillId="0" borderId="3" xfId="116" applyFont="1" applyBorder="1" applyAlignment="1">
      <alignment horizontal="center" vertical="center"/>
    </xf>
    <xf numFmtId="166" fontId="2" fillId="0" borderId="0" xfId="116" applyFont="1" applyAlignment="1">
      <alignment horizontal="center" vertical="center"/>
    </xf>
    <xf numFmtId="49" fontId="2" fillId="0" borderId="0" xfId="116" applyNumberFormat="1" applyFont="1" applyAlignment="1">
      <alignment horizontal="center" vertical="center"/>
    </xf>
    <xf numFmtId="166" fontId="4" fillId="0" borderId="2" xfId="116" applyFont="1" applyBorder="1" applyAlignment="1">
      <alignment horizontal="center" vertical="center" wrapText="1"/>
    </xf>
    <xf numFmtId="3" fontId="4" fillId="0" borderId="2" xfId="116" applyNumberFormat="1" applyFont="1" applyBorder="1" applyAlignment="1">
      <alignment horizontal="center" vertical="center"/>
    </xf>
    <xf numFmtId="166" fontId="4" fillId="0" borderId="2" xfId="116" applyFont="1" applyBorder="1" applyAlignment="1">
      <alignment horizontal="center" vertical="center"/>
    </xf>
  </cellXfs>
  <cellStyles count="118">
    <cellStyle name="_ALCATRAZ RESUMEN  CEBRA MAYO DE 2008" xfId="5" xr:uid="{C5163C8A-6FAF-4C92-B9A1-26803126C9E7}"/>
    <cellStyle name="_ALCATRAZ RESUMEN  CEBRA MAYO DE 2008 2" xfId="62" xr:uid="{CF702887-60A6-4DF5-9AFE-FFD8662A5449}"/>
    <cellStyle name="_CEBRA_CAIQUERO_MAYO(1)" xfId="6" xr:uid="{98D5577E-40A6-47F5-822A-DBB0B26C611C}"/>
    <cellStyle name="_CEBRA_CAIQUERO_MAYO(1) 2" xfId="63" xr:uid="{D642BC2E-4A89-4D7C-8629-D6E29D689985}"/>
    <cellStyle name="_informe servicios mes de mayo" xfId="7" xr:uid="{F8FEAC3D-CF94-45A8-98B9-35BDCDB8521F}"/>
    <cellStyle name="_informe servicios mes de mayo 2" xfId="64" xr:uid="{73497B54-6AC3-4677-9C04-52344A80CE4B}"/>
    <cellStyle name="_INV" xfId="8" xr:uid="{BE95A555-11F2-43F4-B51F-DFA6EC7AA9BD}"/>
    <cellStyle name="_INV 2" xfId="65" xr:uid="{187D7DF4-3B0B-4ADD-9694-1E8EDAEC47EC}"/>
    <cellStyle name="_INV MAYO" xfId="9" xr:uid="{12911FEF-BC2D-4166-856D-7447FD8FF537}"/>
    <cellStyle name="_INV MAYO 2" xfId="66" xr:uid="{8F27EB0F-8CE3-45F0-A73D-F34FE893A07A}"/>
    <cellStyle name="_INVIAS SERVICIOS UNIDADES" xfId="10" xr:uid="{4C261740-7583-42EF-B51D-9AF2A7288621}"/>
    <cellStyle name="_INVIAS SERVICIOS UNIDADES 2" xfId="67" xr:uid="{CDAC6FFE-5177-4BBC-8AF3-89175A5F34D0}"/>
    <cellStyle name="_SER CT INV" xfId="11" xr:uid="{92E2C7D9-FD08-4EBF-B12F-95D9ECF68E40}"/>
    <cellStyle name="_SER CT INV 2" xfId="68" xr:uid="{E71F1E9C-DDEA-4F03-B482-2D155F2761AB}"/>
    <cellStyle name="_SER GRUA INV" xfId="12" xr:uid="{54150A12-2A28-4AD3-91E2-E901D9533984}"/>
    <cellStyle name="_SER GRUA INV 2" xfId="69" xr:uid="{06E600E2-E992-4566-87BA-11C942F2CB21}"/>
    <cellStyle name="_SER. POS" xfId="13" xr:uid="{708EDE85-AF23-4000-9D57-5504C8E48740}"/>
    <cellStyle name="_SER. POS 2" xfId="70" xr:uid="{F05C8217-B771-4579-934E-8410983AD73F}"/>
    <cellStyle name="_servicios de 2007 a 2008" xfId="14" xr:uid="{B55AB828-B05A-4DD4-891C-30CDA2EED9F5}"/>
    <cellStyle name="_servicios de 2007 a 2008 2" xfId="71" xr:uid="{744B51D1-1B49-4188-A470-94944BF9843A}"/>
    <cellStyle name="20% - Énfasis1 2" xfId="72" xr:uid="{C04DD545-8A87-4141-842E-5D646A2A2B1A}"/>
    <cellStyle name="20% - Énfasis1 3" xfId="15" xr:uid="{CC768900-9932-40DC-8D3C-907881202208}"/>
    <cellStyle name="20% - Énfasis2 2" xfId="73" xr:uid="{1CE1125F-4704-47E6-807A-B9ACCB8456BB}"/>
    <cellStyle name="20% - Énfasis2 3" xfId="16" xr:uid="{AEC2C686-0E1F-4034-9265-F782CFCE73C1}"/>
    <cellStyle name="20% - Énfasis3 2" xfId="74" xr:uid="{71B7352A-E6A7-48DC-81BF-DE89E8CE37CA}"/>
    <cellStyle name="20% - Énfasis3 3" xfId="17" xr:uid="{C100490F-214E-478D-8ACD-C5D7B47A56AA}"/>
    <cellStyle name="20% - Énfasis4 2" xfId="75" xr:uid="{8CD87D8B-D09B-46B5-B3F6-985716E7D63A}"/>
    <cellStyle name="20% - Énfasis4 3" xfId="18" xr:uid="{D9ADFB0D-463D-4E16-8C1B-0EB782D7094B}"/>
    <cellStyle name="20% - Énfasis5 2" xfId="76" xr:uid="{225F6C96-3511-4656-AB9D-6C9AD1B88205}"/>
    <cellStyle name="20% - Énfasis5 3" xfId="19" xr:uid="{425D155C-37C5-49E1-B449-DDAD88A1ED67}"/>
    <cellStyle name="20% - Énfasis6 2" xfId="77" xr:uid="{34D49C92-4C94-4CC2-9ADE-4AA2D190376D}"/>
    <cellStyle name="20% - Énfasis6 3" xfId="20" xr:uid="{AAF6F75E-70B5-49C4-B3F4-E7B04B141274}"/>
    <cellStyle name="40% - Énfasis1 2" xfId="78" xr:uid="{294B2027-8368-4DC8-8A3D-DE4A3C0387D7}"/>
    <cellStyle name="40% - Énfasis1 3" xfId="21" xr:uid="{03E7A3A0-691C-4940-86A9-01ED5DF43711}"/>
    <cellStyle name="40% - Énfasis2 2" xfId="79" xr:uid="{B3E52B09-0D72-43AE-9654-A40139AB3B70}"/>
    <cellStyle name="40% - Énfasis2 3" xfId="22" xr:uid="{58D9C6EE-9DCE-4936-B8F2-BAB7AD4ADBEA}"/>
    <cellStyle name="40% - Énfasis3 2" xfId="80" xr:uid="{89848E60-DA1E-44A3-8795-EEFA6E999039}"/>
    <cellStyle name="40% - Énfasis3 3" xfId="23" xr:uid="{EF173E75-B39C-46EC-8AB9-93AD64FE0703}"/>
    <cellStyle name="40% - Énfasis4 2" xfId="81" xr:uid="{ED72E857-CB28-40C6-89F4-34FFD958BD34}"/>
    <cellStyle name="40% - Énfasis4 3" xfId="24" xr:uid="{08D7DD7D-3E3E-4E21-9F40-75F0D6100391}"/>
    <cellStyle name="40% - Énfasis5 2" xfId="82" xr:uid="{3807B2D0-C734-43E5-9A90-6B0DECABD906}"/>
    <cellStyle name="40% - Énfasis5 3" xfId="25" xr:uid="{98BD9435-B7CE-43E1-BFC2-667A8C412C26}"/>
    <cellStyle name="40% - Énfasis6 2" xfId="83" xr:uid="{55442E9B-8426-4538-A91D-74C8B7D82C1A}"/>
    <cellStyle name="40% - Énfasis6 3" xfId="26" xr:uid="{70B0774F-F434-4EB8-9D79-1B649E2E4D78}"/>
    <cellStyle name="60% - Énfasis1 2" xfId="84" xr:uid="{617DF5ED-D67A-4BE2-B131-2E16C85F8E64}"/>
    <cellStyle name="60% - Énfasis1 3" xfId="27" xr:uid="{1D3145FA-C552-4D4E-AF48-481EC217CB6C}"/>
    <cellStyle name="60% - Énfasis2 2" xfId="85" xr:uid="{DE52A61D-4C4B-4A27-9898-C25E77A86BAE}"/>
    <cellStyle name="60% - Énfasis2 3" xfId="28" xr:uid="{895E8962-3738-4548-9BC8-1ABA0089BD81}"/>
    <cellStyle name="60% - Énfasis3 2" xfId="86" xr:uid="{CCB93E44-5D1F-4044-9884-71B73B125CF8}"/>
    <cellStyle name="60% - Énfasis3 3" xfId="29" xr:uid="{F47342CB-D588-49FE-AD85-85CC9418A4D1}"/>
    <cellStyle name="60% - Énfasis4 2" xfId="87" xr:uid="{B3ED18FD-7FC1-47BC-95A0-FC03F0D2AE18}"/>
    <cellStyle name="60% - Énfasis4 3" xfId="30" xr:uid="{FFEA8E7C-7819-4EB3-915E-0B75DDA527C1}"/>
    <cellStyle name="60% - Énfasis5 2" xfId="88" xr:uid="{48422C42-AFE2-41F2-B71C-E94153BE6A4E}"/>
    <cellStyle name="60% - Énfasis5 3" xfId="31" xr:uid="{35049DC2-2B72-4F38-A73B-4110225139F1}"/>
    <cellStyle name="60% - Énfasis6 2" xfId="89" xr:uid="{D56B8E15-D821-4469-A6C7-D7E15BF8F3B9}"/>
    <cellStyle name="60% - Énfasis6 3" xfId="32" xr:uid="{E3A5D257-F4B2-46B2-8D10-4509ED60B377}"/>
    <cellStyle name="Buena 2" xfId="90" xr:uid="{5F2A5091-DA82-45F1-81AA-306F4412F59D}"/>
    <cellStyle name="Bueno 2" xfId="33" xr:uid="{0EC5BC05-ED70-4013-9757-3DB871130EA3}"/>
    <cellStyle name="Cálculo 2" xfId="91" xr:uid="{F0D673F1-8534-4923-85AD-5DFA1A82FCA5}"/>
    <cellStyle name="Cálculo 3" xfId="34" xr:uid="{86E224FA-5473-445A-8E2D-B20F09A9BEAD}"/>
    <cellStyle name="Celda de comprobación 2" xfId="92" xr:uid="{4C9E313D-F205-4B02-80AD-453BF207B4D7}"/>
    <cellStyle name="Celda de comprobación 3" xfId="35" xr:uid="{BE2411F4-66C6-47A5-9408-8B361BB57BFB}"/>
    <cellStyle name="Celda vinculada 2" xfId="93" xr:uid="{117346BF-634D-4035-B739-8EC6FB7EC6F5}"/>
    <cellStyle name="Celda vinculada 3" xfId="36" xr:uid="{43A0554D-AB14-4250-97EA-A7435CAAF7A6}"/>
    <cellStyle name="Encabezado 1 2" xfId="111" xr:uid="{D979DFC0-D891-4D33-80D9-3B519816217B}"/>
    <cellStyle name="Encabezado 1 3" xfId="57" xr:uid="{6F7CFB51-6639-4142-9EC1-FA09E4C60D4C}"/>
    <cellStyle name="Encabezado 4 2" xfId="94" xr:uid="{F7E78829-A70E-4A4E-972C-A5A8B8DD0401}"/>
    <cellStyle name="Encabezado 4 3" xfId="37" xr:uid="{07EEAB76-EC2F-4B70-A5BB-ED68D280620C}"/>
    <cellStyle name="Énfasis1 2" xfId="95" xr:uid="{67B0F4AC-B7EA-43C2-8246-E12C5DE8D2C7}"/>
    <cellStyle name="Énfasis1 3" xfId="38" xr:uid="{D1465571-99B9-4481-9A09-56651E9D685F}"/>
    <cellStyle name="Énfasis2 2" xfId="96" xr:uid="{FDB6F43F-9D2D-41A5-A4BE-138CA6F22A14}"/>
    <cellStyle name="Énfasis2 3" xfId="39" xr:uid="{F94B783A-8A63-47C9-949D-D6EE6471762B}"/>
    <cellStyle name="Énfasis3 2" xfId="97" xr:uid="{BA80652B-0309-41DF-BA6E-02F9DBCE7727}"/>
    <cellStyle name="Énfasis3 3" xfId="40" xr:uid="{3D7D88AE-6A76-4FC2-8807-7D38DCCFC78E}"/>
    <cellStyle name="Énfasis4 2" xfId="98" xr:uid="{1C0D2614-7B75-43DB-89D6-02E317379458}"/>
    <cellStyle name="Énfasis4 3" xfId="41" xr:uid="{5EBCB92B-F2A7-43AD-95F5-6C110A95A987}"/>
    <cellStyle name="Énfasis5 2" xfId="99" xr:uid="{B3F24B73-FD8D-4F14-9662-2DBA83DBA398}"/>
    <cellStyle name="Énfasis5 3" xfId="42" xr:uid="{BEE169B4-C49C-41BC-ACCF-502901D433C9}"/>
    <cellStyle name="Énfasis6 2" xfId="100" xr:uid="{06C88935-48D0-48CD-A383-8070C5484777}"/>
    <cellStyle name="Énfasis6 3" xfId="43" xr:uid="{CCDC13BE-40E6-49B4-995A-2B56E3CD0933}"/>
    <cellStyle name="Entrada 2" xfId="101" xr:uid="{7F051146-570D-4714-A9CE-90DB16287EFD}"/>
    <cellStyle name="Entrada 3" xfId="44" xr:uid="{4372E812-E817-4322-9CBF-C3E73C9E26FF}"/>
    <cellStyle name="Euro" xfId="45" xr:uid="{2A5DD7C0-E906-4843-9933-B8929593ED9F}"/>
    <cellStyle name="Euro 2" xfId="102" xr:uid="{CB06F690-930B-4DFB-90DB-6D326307FE4A}"/>
    <cellStyle name="Incorrecto 2" xfId="103" xr:uid="{A9DF4805-7C1E-46CC-8CEA-615BFBD6B8A4}"/>
    <cellStyle name="Incorrecto 3" xfId="46" xr:uid="{1BEC57BC-AFB1-4AEE-BADD-20123AC97EA2}"/>
    <cellStyle name="Millares" xfId="1" builtinId="3"/>
    <cellStyle name="Millares 2" xfId="104" xr:uid="{2B8D5621-AE41-49BF-8FA2-4D372519779F}"/>
    <cellStyle name="Millares 3" xfId="47" xr:uid="{0A0AC6B7-ABF7-4BF6-A70A-EDAED90E910E}"/>
    <cellStyle name="Millares_TRAFICO CAIQUERO_1" xfId="3" xr:uid="{A302446B-E262-4221-A89C-B8D34061474B}"/>
    <cellStyle name="Millares_TRAFICO CAIQUERO_1 2" xfId="48" xr:uid="{E072BFED-595E-46BC-BE6D-8211B1176687}"/>
    <cellStyle name="Moneda 2" xfId="49" xr:uid="{68B95F3F-A612-4C0C-B3F8-76A9A612C8C9}"/>
    <cellStyle name="Neutral 2" xfId="105" xr:uid="{5FE3BB03-B7AD-4085-895D-E27ED130AD09}"/>
    <cellStyle name="Neutral 3" xfId="50" xr:uid="{F2739543-FDE6-445F-99CC-9B1F394DB6CA}"/>
    <cellStyle name="Normal" xfId="0" builtinId="0"/>
    <cellStyle name="Normal 2" xfId="61" xr:uid="{2DDA5605-206F-4671-9877-AF1368C29D99}"/>
    <cellStyle name="Normal 3" xfId="115" xr:uid="{358F2734-637C-439E-BBEC-A80293E56312}"/>
    <cellStyle name="Normal 4" xfId="116" xr:uid="{EC03F27A-10D9-4EB1-97C4-49E6224BD34B}"/>
    <cellStyle name="Normal 4 2" xfId="117" xr:uid="{58884CE9-317B-4711-8AB2-449B79EBB0F3}"/>
    <cellStyle name="Normal 5" xfId="4" xr:uid="{FA0E7B84-0A15-4DB1-BF91-04FBFC480B3B}"/>
    <cellStyle name="Notas 2" xfId="106" xr:uid="{43393A3D-2847-437A-AE99-A4836A23DEDC}"/>
    <cellStyle name="Notas 3" xfId="51" xr:uid="{1F7B5208-C6BA-40B1-8D03-B562D23ABD72}"/>
    <cellStyle name="Porcentaje" xfId="2" builtinId="5"/>
    <cellStyle name="Porcentaje 2" xfId="52" xr:uid="{CFC34DE7-5285-4425-9651-8CA8F4118E82}"/>
    <cellStyle name="Salida 2" xfId="107" xr:uid="{74482370-C9A1-4A24-A50A-DFDC06F5E785}"/>
    <cellStyle name="Salida 3" xfId="53" xr:uid="{68942332-AF11-4CA4-A04A-E59E035F8463}"/>
    <cellStyle name="Texto de advertencia 2" xfId="108" xr:uid="{1CF5989A-7A45-44A1-B6F6-C4089000D8D8}"/>
    <cellStyle name="Texto de advertencia 3" xfId="54" xr:uid="{DD834A2F-D85F-4E9C-917A-4CB3C275957E}"/>
    <cellStyle name="Texto explicativo 2" xfId="109" xr:uid="{A489518F-55FA-4F4E-A2A1-473589C78E8A}"/>
    <cellStyle name="Texto explicativo 3" xfId="55" xr:uid="{923AA9DF-4C51-42D1-A832-742099023E94}"/>
    <cellStyle name="Título 2 2" xfId="112" xr:uid="{A691BE89-BFD3-49E2-8906-74D5FC852FAD}"/>
    <cellStyle name="Título 2 3" xfId="58" xr:uid="{4F2D6244-5EB5-4033-BA2D-BB5DA386432A}"/>
    <cellStyle name="Título 3 2" xfId="113" xr:uid="{32C98E15-4170-446C-B8C7-7DF00AF686A8}"/>
    <cellStyle name="Título 3 3" xfId="59" xr:uid="{5059DA3C-00E4-4CF7-9B18-44AFE7D54190}"/>
    <cellStyle name="Título 4" xfId="110" xr:uid="{8DB71B98-37B1-48D2-984A-C58215B7EFDB}"/>
    <cellStyle name="Título 5" xfId="56" xr:uid="{1BBBF35F-770E-45B8-8C9A-4AEB073679D0}"/>
    <cellStyle name="Total 2" xfId="114" xr:uid="{B5CCACA1-0A13-41B3-B0A9-19D9BF4FAF90}"/>
    <cellStyle name="Total 3" xfId="60" xr:uid="{FFF8F7D0-0EF6-44C4-B114-56D91C877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753E-4475-459C-945C-B47C29754918}">
  <dimension ref="A1:Z46"/>
  <sheetViews>
    <sheetView workbookViewId="0">
      <selection activeCell="G8" sqref="G8"/>
    </sheetView>
  </sheetViews>
  <sheetFormatPr baseColWidth="10" defaultColWidth="11.44140625" defaultRowHeight="13.8" x14ac:dyDescent="0.3"/>
  <cols>
    <col min="1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s="1" customFormat="1" ht="15.6" x14ac:dyDescent="0.3">
      <c r="A3" s="82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9" ht="78" customHeight="1" x14ac:dyDescent="0.3">
      <c r="A4" s="83" t="s">
        <v>1</v>
      </c>
      <c r="B4" s="79" t="s">
        <v>2</v>
      </c>
      <c r="C4" s="79"/>
      <c r="D4" s="2" t="s">
        <v>3</v>
      </c>
      <c r="E4" s="2" t="s">
        <v>4</v>
      </c>
      <c r="F4" s="2" t="s">
        <v>5</v>
      </c>
      <c r="G4" s="2" t="s">
        <v>6</v>
      </c>
      <c r="H4" s="79" t="s">
        <v>7</v>
      </c>
      <c r="I4" s="79" t="s">
        <v>8</v>
      </c>
      <c r="J4" s="3"/>
      <c r="K4" s="85" t="s">
        <v>1</v>
      </c>
      <c r="L4" s="79" t="s">
        <v>9</v>
      </c>
      <c r="M4" s="79" t="s">
        <v>10</v>
      </c>
      <c r="N4" s="79" t="s">
        <v>11</v>
      </c>
      <c r="O4" s="79" t="s">
        <v>12</v>
      </c>
    </row>
    <row r="5" spans="1:19" ht="18" customHeight="1" x14ac:dyDescent="0.3">
      <c r="A5" s="84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79"/>
      <c r="I5" s="79"/>
      <c r="J5" s="3"/>
      <c r="K5" s="85"/>
      <c r="L5" s="79"/>
      <c r="M5" s="79"/>
      <c r="N5" s="79"/>
      <c r="O5" s="79"/>
    </row>
    <row r="6" spans="1:19" ht="18" customHeight="1" thickBot="1" x14ac:dyDescent="0.35">
      <c r="A6" s="6">
        <v>1</v>
      </c>
      <c r="B6" s="7">
        <v>12026</v>
      </c>
      <c r="C6" s="7">
        <v>0</v>
      </c>
      <c r="D6" s="7">
        <v>546</v>
      </c>
      <c r="E6" s="7">
        <v>30</v>
      </c>
      <c r="F6" s="7">
        <v>29</v>
      </c>
      <c r="G6" s="7">
        <v>55</v>
      </c>
      <c r="H6" s="7">
        <f>SUM(B6:G6)</f>
        <v>12686</v>
      </c>
      <c r="I6" s="7">
        <v>0</v>
      </c>
      <c r="J6" s="8"/>
      <c r="K6" s="6">
        <v>1</v>
      </c>
      <c r="L6" s="9">
        <v>1</v>
      </c>
      <c r="M6" s="9">
        <v>4</v>
      </c>
      <c r="N6" s="9">
        <v>0</v>
      </c>
      <c r="O6" s="7">
        <f>SUM(L6:N6)</f>
        <v>5</v>
      </c>
      <c r="P6" s="10">
        <v>6135</v>
      </c>
    </row>
    <row r="7" spans="1:19" ht="18" customHeight="1" thickTop="1" thickBot="1" x14ac:dyDescent="0.35">
      <c r="A7" s="6">
        <v>2</v>
      </c>
      <c r="B7" s="7">
        <v>14760</v>
      </c>
      <c r="C7" s="7">
        <v>0</v>
      </c>
      <c r="D7" s="7">
        <v>1105</v>
      </c>
      <c r="E7" s="7">
        <v>119</v>
      </c>
      <c r="F7" s="7">
        <v>146</v>
      </c>
      <c r="G7" s="7">
        <v>260</v>
      </c>
      <c r="H7" s="7">
        <f>SUM(B7:G7)</f>
        <v>16390</v>
      </c>
      <c r="I7" s="7">
        <v>0</v>
      </c>
      <c r="J7" s="8"/>
      <c r="K7" s="6">
        <v>2</v>
      </c>
      <c r="L7" s="9">
        <v>1</v>
      </c>
      <c r="M7" s="9">
        <v>17</v>
      </c>
      <c r="N7" s="9">
        <v>3</v>
      </c>
      <c r="O7" s="7">
        <f t="shared" ref="O7:O36" si="0">SUM(L7:N7)</f>
        <v>21</v>
      </c>
      <c r="P7" s="10">
        <f>+P6</f>
        <v>6135</v>
      </c>
    </row>
    <row r="8" spans="1:19" ht="18" customHeight="1" thickTop="1" thickBot="1" x14ac:dyDescent="0.35">
      <c r="A8" s="6">
        <v>3</v>
      </c>
      <c r="B8" s="7">
        <v>11126</v>
      </c>
      <c r="C8" s="7">
        <v>0</v>
      </c>
      <c r="D8" s="7">
        <v>1283</v>
      </c>
      <c r="E8" s="7">
        <v>151</v>
      </c>
      <c r="F8" s="7">
        <v>131</v>
      </c>
      <c r="G8" s="7">
        <v>225</v>
      </c>
      <c r="H8" s="7">
        <f t="shared" ref="H8:H36" si="1">SUM(B8:G8)</f>
        <v>12916</v>
      </c>
      <c r="I8" s="7">
        <v>0</v>
      </c>
      <c r="J8" s="8"/>
      <c r="K8" s="6">
        <v>3</v>
      </c>
      <c r="L8" s="9">
        <v>0</v>
      </c>
      <c r="M8" s="9">
        <v>6</v>
      </c>
      <c r="N8" s="9">
        <v>2</v>
      </c>
      <c r="O8" s="7">
        <f t="shared" si="0"/>
        <v>8</v>
      </c>
      <c r="P8" s="10">
        <f t="shared" ref="P8:P36" si="2">+P7</f>
        <v>6135</v>
      </c>
      <c r="S8" s="11"/>
    </row>
    <row r="9" spans="1:19" ht="18" customHeight="1" thickTop="1" thickBot="1" x14ac:dyDescent="0.35">
      <c r="A9" s="6">
        <v>4</v>
      </c>
      <c r="B9" s="7">
        <v>10240</v>
      </c>
      <c r="C9" s="7">
        <v>0</v>
      </c>
      <c r="D9" s="7">
        <v>1401</v>
      </c>
      <c r="E9" s="7">
        <v>129</v>
      </c>
      <c r="F9" s="7">
        <v>159</v>
      </c>
      <c r="G9" s="7">
        <v>280</v>
      </c>
      <c r="H9" s="7">
        <f t="shared" si="1"/>
        <v>12209</v>
      </c>
      <c r="I9" s="7">
        <v>0</v>
      </c>
      <c r="J9" s="8"/>
      <c r="K9" s="6">
        <v>4</v>
      </c>
      <c r="L9" s="9">
        <v>1</v>
      </c>
      <c r="M9" s="9">
        <v>15</v>
      </c>
      <c r="N9" s="9">
        <v>5</v>
      </c>
      <c r="O9" s="7">
        <f t="shared" si="0"/>
        <v>21</v>
      </c>
      <c r="P9" s="10">
        <f t="shared" si="2"/>
        <v>6135</v>
      </c>
    </row>
    <row r="10" spans="1:19" ht="18" customHeight="1" thickTop="1" thickBot="1" x14ac:dyDescent="0.35">
      <c r="A10" s="6">
        <v>5</v>
      </c>
      <c r="B10" s="7">
        <v>10021</v>
      </c>
      <c r="C10" s="7">
        <v>0</v>
      </c>
      <c r="D10" s="7">
        <v>1316</v>
      </c>
      <c r="E10" s="7">
        <v>133</v>
      </c>
      <c r="F10" s="7">
        <v>172</v>
      </c>
      <c r="G10" s="7">
        <v>304</v>
      </c>
      <c r="H10" s="7">
        <f t="shared" si="1"/>
        <v>11946</v>
      </c>
      <c r="I10" s="7">
        <v>0</v>
      </c>
      <c r="J10" s="8"/>
      <c r="K10" s="6">
        <v>5</v>
      </c>
      <c r="L10" s="9">
        <v>1</v>
      </c>
      <c r="M10" s="9">
        <v>12</v>
      </c>
      <c r="N10" s="9">
        <v>8</v>
      </c>
      <c r="O10" s="7">
        <f t="shared" si="0"/>
        <v>21</v>
      </c>
      <c r="P10" s="10">
        <f t="shared" si="2"/>
        <v>6135</v>
      </c>
    </row>
    <row r="11" spans="1:19" ht="18" customHeight="1" thickTop="1" thickBot="1" x14ac:dyDescent="0.35">
      <c r="A11" s="6">
        <v>6</v>
      </c>
      <c r="B11" s="7">
        <v>12287</v>
      </c>
      <c r="C11" s="7">
        <v>0</v>
      </c>
      <c r="D11" s="7">
        <v>1214</v>
      </c>
      <c r="E11" s="7">
        <v>95</v>
      </c>
      <c r="F11" s="7">
        <v>133</v>
      </c>
      <c r="G11" s="7">
        <v>207</v>
      </c>
      <c r="H11" s="7">
        <f t="shared" si="1"/>
        <v>13936</v>
      </c>
      <c r="I11" s="7">
        <v>0</v>
      </c>
      <c r="J11" s="8"/>
      <c r="K11" s="6">
        <v>6</v>
      </c>
      <c r="L11" s="9">
        <v>0</v>
      </c>
      <c r="M11" s="9">
        <v>12</v>
      </c>
      <c r="N11" s="9">
        <v>3</v>
      </c>
      <c r="O11" s="7">
        <f t="shared" si="0"/>
        <v>15</v>
      </c>
      <c r="P11" s="10">
        <f t="shared" si="2"/>
        <v>6135</v>
      </c>
    </row>
    <row r="12" spans="1:19" ht="18" customHeight="1" thickTop="1" thickBot="1" x14ac:dyDescent="0.35">
      <c r="A12" s="6">
        <v>7</v>
      </c>
      <c r="B12" s="7">
        <v>13602</v>
      </c>
      <c r="C12" s="7">
        <v>0</v>
      </c>
      <c r="D12" s="7">
        <v>1083</v>
      </c>
      <c r="E12" s="7">
        <v>80</v>
      </c>
      <c r="F12" s="7">
        <v>154</v>
      </c>
      <c r="G12" s="7">
        <v>180</v>
      </c>
      <c r="H12" s="7">
        <f t="shared" si="1"/>
        <v>15099</v>
      </c>
      <c r="I12" s="7">
        <v>0</v>
      </c>
      <c r="J12" s="12"/>
      <c r="K12" s="6">
        <v>7</v>
      </c>
      <c r="L12" s="9">
        <v>0</v>
      </c>
      <c r="M12" s="9">
        <v>3</v>
      </c>
      <c r="N12" s="9">
        <v>0</v>
      </c>
      <c r="O12" s="7">
        <f t="shared" si="0"/>
        <v>3</v>
      </c>
      <c r="P12" s="10">
        <f t="shared" si="2"/>
        <v>6135</v>
      </c>
    </row>
    <row r="13" spans="1:19" ht="18" customHeight="1" thickTop="1" thickBot="1" x14ac:dyDescent="0.35">
      <c r="A13" s="6">
        <v>8</v>
      </c>
      <c r="B13" s="7">
        <v>16321</v>
      </c>
      <c r="C13" s="7">
        <v>0</v>
      </c>
      <c r="D13" s="7">
        <v>1107</v>
      </c>
      <c r="E13" s="7">
        <v>73</v>
      </c>
      <c r="F13" s="7">
        <v>78</v>
      </c>
      <c r="G13" s="7">
        <v>183</v>
      </c>
      <c r="H13" s="7">
        <f t="shared" si="1"/>
        <v>17762</v>
      </c>
      <c r="I13" s="7">
        <v>0</v>
      </c>
      <c r="J13" s="12"/>
      <c r="K13" s="6">
        <v>8</v>
      </c>
      <c r="L13" s="9">
        <v>1</v>
      </c>
      <c r="M13" s="9">
        <v>6</v>
      </c>
      <c r="N13" s="9">
        <v>1</v>
      </c>
      <c r="O13" s="7">
        <f t="shared" si="0"/>
        <v>8</v>
      </c>
      <c r="P13" s="10">
        <f t="shared" si="2"/>
        <v>6135</v>
      </c>
    </row>
    <row r="14" spans="1:19" s="14" customFormat="1" ht="18" customHeight="1" thickTop="1" thickBot="1" x14ac:dyDescent="0.35">
      <c r="A14" s="6">
        <v>9</v>
      </c>
      <c r="B14" s="7">
        <v>15421</v>
      </c>
      <c r="C14" s="7">
        <v>0</v>
      </c>
      <c r="D14" s="7">
        <v>1044</v>
      </c>
      <c r="E14" s="7">
        <v>43</v>
      </c>
      <c r="F14" s="7">
        <v>29</v>
      </c>
      <c r="G14" s="7">
        <v>73</v>
      </c>
      <c r="H14" s="7">
        <f t="shared" si="1"/>
        <v>16610</v>
      </c>
      <c r="I14" s="7">
        <v>0</v>
      </c>
      <c r="J14" s="12"/>
      <c r="K14" s="6">
        <v>9</v>
      </c>
      <c r="L14" s="9">
        <v>0</v>
      </c>
      <c r="M14" s="9">
        <v>10</v>
      </c>
      <c r="N14" s="9">
        <v>2</v>
      </c>
      <c r="O14" s="7">
        <f t="shared" si="0"/>
        <v>12</v>
      </c>
      <c r="P14" s="13">
        <f t="shared" si="2"/>
        <v>6135</v>
      </c>
    </row>
    <row r="15" spans="1:19" ht="18" customHeight="1" thickTop="1" thickBot="1" x14ac:dyDescent="0.35">
      <c r="A15" s="6">
        <v>10</v>
      </c>
      <c r="B15" s="7">
        <v>8583</v>
      </c>
      <c r="C15" s="7">
        <v>0</v>
      </c>
      <c r="D15" s="7">
        <v>1350</v>
      </c>
      <c r="E15" s="7">
        <v>137</v>
      </c>
      <c r="F15" s="7">
        <v>135</v>
      </c>
      <c r="G15" s="7">
        <v>316</v>
      </c>
      <c r="H15" s="7">
        <f t="shared" si="1"/>
        <v>10521</v>
      </c>
      <c r="I15" s="7">
        <v>0</v>
      </c>
      <c r="J15" s="12"/>
      <c r="K15" s="6">
        <v>10</v>
      </c>
      <c r="L15" s="9">
        <v>1</v>
      </c>
      <c r="M15" s="9">
        <v>14</v>
      </c>
      <c r="N15" s="9">
        <v>3</v>
      </c>
      <c r="O15" s="7">
        <f t="shared" si="0"/>
        <v>18</v>
      </c>
      <c r="P15" s="10">
        <f t="shared" si="2"/>
        <v>6135</v>
      </c>
    </row>
    <row r="16" spans="1:19" ht="18" customHeight="1" thickTop="1" thickBot="1" x14ac:dyDescent="0.35">
      <c r="A16" s="6">
        <v>11</v>
      </c>
      <c r="B16" s="7">
        <v>6088</v>
      </c>
      <c r="C16" s="7">
        <v>2</v>
      </c>
      <c r="D16" s="7">
        <v>1496</v>
      </c>
      <c r="E16" s="7">
        <v>156</v>
      </c>
      <c r="F16" s="7">
        <v>187</v>
      </c>
      <c r="G16" s="7">
        <v>318</v>
      </c>
      <c r="H16" s="7">
        <f t="shared" si="1"/>
        <v>8247</v>
      </c>
      <c r="I16" s="7">
        <v>0</v>
      </c>
      <c r="J16" s="12"/>
      <c r="K16" s="6">
        <v>11</v>
      </c>
      <c r="L16" s="9">
        <v>4</v>
      </c>
      <c r="M16" s="9">
        <v>11</v>
      </c>
      <c r="N16" s="9">
        <v>3</v>
      </c>
      <c r="O16" s="7">
        <f t="shared" si="0"/>
        <v>18</v>
      </c>
      <c r="P16" s="10">
        <f t="shared" si="2"/>
        <v>6135</v>
      </c>
    </row>
    <row r="17" spans="1:26" ht="18" customHeight="1" thickTop="1" thickBot="1" x14ac:dyDescent="0.35">
      <c r="A17" s="6">
        <v>12</v>
      </c>
      <c r="B17" s="7">
        <v>5403</v>
      </c>
      <c r="C17" s="7">
        <v>0</v>
      </c>
      <c r="D17" s="7">
        <v>1430</v>
      </c>
      <c r="E17" s="7">
        <v>196</v>
      </c>
      <c r="F17" s="7">
        <v>179</v>
      </c>
      <c r="G17" s="7">
        <v>352</v>
      </c>
      <c r="H17" s="7">
        <f t="shared" si="1"/>
        <v>7560</v>
      </c>
      <c r="I17" s="7">
        <v>0</v>
      </c>
      <c r="J17" s="12"/>
      <c r="K17" s="6">
        <v>12</v>
      </c>
      <c r="L17" s="9">
        <v>0</v>
      </c>
      <c r="M17" s="9">
        <v>14</v>
      </c>
      <c r="N17" s="9">
        <v>5</v>
      </c>
      <c r="O17" s="7">
        <f t="shared" si="0"/>
        <v>19</v>
      </c>
      <c r="P17" s="10">
        <f t="shared" si="2"/>
        <v>6135</v>
      </c>
    </row>
    <row r="18" spans="1:26" ht="18" customHeight="1" thickTop="1" thickBot="1" x14ac:dyDescent="0.35">
      <c r="A18" s="6">
        <v>13</v>
      </c>
      <c r="B18" s="7">
        <v>6372</v>
      </c>
      <c r="C18" s="7">
        <v>0</v>
      </c>
      <c r="D18" s="7">
        <v>1314</v>
      </c>
      <c r="E18" s="7">
        <v>139</v>
      </c>
      <c r="F18" s="7">
        <v>159</v>
      </c>
      <c r="G18" s="7">
        <v>333</v>
      </c>
      <c r="H18" s="7">
        <f t="shared" si="1"/>
        <v>8317</v>
      </c>
      <c r="I18" s="7">
        <v>0</v>
      </c>
      <c r="J18" s="12"/>
      <c r="K18" s="6">
        <v>13</v>
      </c>
      <c r="L18" s="9">
        <v>3</v>
      </c>
      <c r="M18" s="9">
        <v>20</v>
      </c>
      <c r="N18" s="9">
        <v>0</v>
      </c>
      <c r="O18" s="7">
        <f t="shared" si="0"/>
        <v>23</v>
      </c>
      <c r="P18" s="10">
        <f t="shared" si="2"/>
        <v>6135</v>
      </c>
    </row>
    <row r="19" spans="1:26" ht="18" customHeight="1" thickTop="1" thickBot="1" x14ac:dyDescent="0.35">
      <c r="A19" s="6">
        <v>14</v>
      </c>
      <c r="B19" s="7">
        <v>7244</v>
      </c>
      <c r="C19" s="7">
        <v>0</v>
      </c>
      <c r="D19" s="7">
        <v>1235</v>
      </c>
      <c r="E19" s="7">
        <v>121</v>
      </c>
      <c r="F19" s="7">
        <v>167</v>
      </c>
      <c r="G19" s="7">
        <v>341</v>
      </c>
      <c r="H19" s="7">
        <f t="shared" si="1"/>
        <v>9108</v>
      </c>
      <c r="I19" s="7">
        <v>0</v>
      </c>
      <c r="J19" s="12"/>
      <c r="K19" s="6">
        <v>14</v>
      </c>
      <c r="L19" s="9">
        <v>1</v>
      </c>
      <c r="M19" s="9">
        <v>11</v>
      </c>
      <c r="N19" s="9">
        <v>1</v>
      </c>
      <c r="O19" s="7">
        <f t="shared" si="0"/>
        <v>13</v>
      </c>
      <c r="P19" s="10">
        <f t="shared" si="2"/>
        <v>6135</v>
      </c>
    </row>
    <row r="20" spans="1:26" ht="18" customHeight="1" thickTop="1" thickBot="1" x14ac:dyDescent="0.35">
      <c r="A20" s="6">
        <v>15</v>
      </c>
      <c r="B20" s="7">
        <v>8819</v>
      </c>
      <c r="C20" s="7">
        <v>0</v>
      </c>
      <c r="D20" s="7">
        <v>1039</v>
      </c>
      <c r="E20" s="7">
        <v>105</v>
      </c>
      <c r="F20" s="7">
        <v>90</v>
      </c>
      <c r="G20" s="7">
        <v>232</v>
      </c>
      <c r="H20" s="7">
        <f t="shared" si="1"/>
        <v>10285</v>
      </c>
      <c r="I20" s="7">
        <v>0</v>
      </c>
      <c r="J20" s="12"/>
      <c r="K20" s="6">
        <v>15</v>
      </c>
      <c r="L20" s="9">
        <v>0</v>
      </c>
      <c r="M20" s="9">
        <v>9</v>
      </c>
      <c r="N20" s="9">
        <v>4</v>
      </c>
      <c r="O20" s="7">
        <f t="shared" si="0"/>
        <v>13</v>
      </c>
      <c r="P20" s="10">
        <f t="shared" si="2"/>
        <v>6135</v>
      </c>
    </row>
    <row r="21" spans="1:26" ht="18" customHeight="1" thickTop="1" thickBot="1" x14ac:dyDescent="0.35">
      <c r="A21" s="6">
        <v>16</v>
      </c>
      <c r="B21" s="7">
        <v>4360</v>
      </c>
      <c r="C21" s="7">
        <v>0</v>
      </c>
      <c r="D21" s="7">
        <v>1114</v>
      </c>
      <c r="E21" s="7">
        <v>167</v>
      </c>
      <c r="F21" s="7">
        <v>156</v>
      </c>
      <c r="G21" s="7">
        <v>296</v>
      </c>
      <c r="H21" s="7">
        <f t="shared" si="1"/>
        <v>6093</v>
      </c>
      <c r="I21" s="7">
        <v>0</v>
      </c>
      <c r="J21" s="12"/>
      <c r="K21" s="6">
        <v>16</v>
      </c>
      <c r="L21" s="9">
        <v>0</v>
      </c>
      <c r="M21" s="9">
        <v>14</v>
      </c>
      <c r="N21" s="9">
        <v>0</v>
      </c>
      <c r="O21" s="7">
        <f t="shared" si="0"/>
        <v>14</v>
      </c>
      <c r="P21" s="10">
        <f>+P20</f>
        <v>6135</v>
      </c>
    </row>
    <row r="22" spans="1:26" ht="18" customHeight="1" thickTop="1" thickBot="1" x14ac:dyDescent="0.35">
      <c r="A22" s="6">
        <v>17</v>
      </c>
      <c r="B22" s="7">
        <v>3674</v>
      </c>
      <c r="C22" s="7">
        <v>2</v>
      </c>
      <c r="D22" s="7">
        <v>1351</v>
      </c>
      <c r="E22" s="7">
        <v>150</v>
      </c>
      <c r="F22" s="7">
        <v>179</v>
      </c>
      <c r="G22" s="7">
        <v>353</v>
      </c>
      <c r="H22" s="7">
        <f>SUM(B22:G22)</f>
        <v>5709</v>
      </c>
      <c r="I22" s="7">
        <v>0</v>
      </c>
      <c r="J22" s="12"/>
      <c r="K22" s="6">
        <v>17</v>
      </c>
      <c r="L22" s="9">
        <v>3</v>
      </c>
      <c r="M22" s="9">
        <v>8</v>
      </c>
      <c r="N22" s="9">
        <v>9</v>
      </c>
      <c r="O22" s="7">
        <f t="shared" si="0"/>
        <v>20</v>
      </c>
      <c r="P22" s="10">
        <f t="shared" si="2"/>
        <v>6135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 thickTop="1" thickBot="1" x14ac:dyDescent="0.35">
      <c r="A23" s="6">
        <v>18</v>
      </c>
      <c r="B23" s="7">
        <v>3796</v>
      </c>
      <c r="C23" s="7">
        <v>0</v>
      </c>
      <c r="D23" s="7">
        <v>1427</v>
      </c>
      <c r="E23" s="7">
        <v>178</v>
      </c>
      <c r="F23" s="7">
        <v>212</v>
      </c>
      <c r="G23" s="7">
        <v>407</v>
      </c>
      <c r="H23" s="7">
        <f t="shared" si="1"/>
        <v>6020</v>
      </c>
      <c r="I23" s="7">
        <v>0</v>
      </c>
      <c r="J23" s="12"/>
      <c r="K23" s="6">
        <v>18</v>
      </c>
      <c r="L23" s="9">
        <v>3</v>
      </c>
      <c r="M23" s="9">
        <v>20</v>
      </c>
      <c r="N23" s="9">
        <v>0</v>
      </c>
      <c r="O23" s="7">
        <f t="shared" si="0"/>
        <v>23</v>
      </c>
      <c r="P23" s="10">
        <f t="shared" si="2"/>
        <v>6135</v>
      </c>
    </row>
    <row r="24" spans="1:26" ht="18" customHeight="1" thickTop="1" thickBot="1" x14ac:dyDescent="0.35">
      <c r="A24" s="6">
        <v>19</v>
      </c>
      <c r="B24" s="7">
        <v>4023</v>
      </c>
      <c r="C24" s="7">
        <v>0</v>
      </c>
      <c r="D24" s="7">
        <v>1404</v>
      </c>
      <c r="E24" s="7">
        <v>166</v>
      </c>
      <c r="F24" s="7">
        <v>226</v>
      </c>
      <c r="G24" s="7">
        <v>393</v>
      </c>
      <c r="H24" s="7">
        <f t="shared" si="1"/>
        <v>6212</v>
      </c>
      <c r="I24" s="7">
        <v>0</v>
      </c>
      <c r="J24" s="12"/>
      <c r="K24" s="6">
        <v>19</v>
      </c>
      <c r="L24" s="9">
        <v>3</v>
      </c>
      <c r="M24" s="9">
        <v>15</v>
      </c>
      <c r="N24" s="9">
        <v>2</v>
      </c>
      <c r="O24" s="7">
        <f t="shared" si="0"/>
        <v>20</v>
      </c>
      <c r="P24" s="10">
        <f t="shared" si="2"/>
        <v>6135</v>
      </c>
    </row>
    <row r="25" spans="1:26" ht="18" customHeight="1" thickTop="1" thickBot="1" x14ac:dyDescent="0.35">
      <c r="A25" s="6">
        <v>20</v>
      </c>
      <c r="B25" s="7">
        <v>5793</v>
      </c>
      <c r="C25" s="7">
        <v>0</v>
      </c>
      <c r="D25" s="7">
        <v>1228</v>
      </c>
      <c r="E25" s="7">
        <v>149</v>
      </c>
      <c r="F25" s="7">
        <v>195</v>
      </c>
      <c r="G25" s="7">
        <v>315</v>
      </c>
      <c r="H25" s="7">
        <f>SUM(B25:G25)</f>
        <v>7680</v>
      </c>
      <c r="I25" s="7">
        <v>0</v>
      </c>
      <c r="J25" s="12"/>
      <c r="K25" s="6">
        <v>20</v>
      </c>
      <c r="L25" s="9">
        <v>1</v>
      </c>
      <c r="M25" s="9">
        <v>14</v>
      </c>
      <c r="N25" s="9">
        <v>4</v>
      </c>
      <c r="O25" s="7">
        <f t="shared" si="0"/>
        <v>19</v>
      </c>
      <c r="P25" s="10">
        <f t="shared" si="2"/>
        <v>6135</v>
      </c>
    </row>
    <row r="26" spans="1:26" ht="18" customHeight="1" thickTop="1" thickBot="1" x14ac:dyDescent="0.35">
      <c r="A26" s="6">
        <v>21</v>
      </c>
      <c r="B26" s="7">
        <v>6613</v>
      </c>
      <c r="C26" s="7">
        <v>0</v>
      </c>
      <c r="D26" s="7">
        <v>1194</v>
      </c>
      <c r="E26" s="7">
        <v>132</v>
      </c>
      <c r="F26" s="7">
        <v>190</v>
      </c>
      <c r="G26" s="7">
        <v>275</v>
      </c>
      <c r="H26" s="7">
        <f>SUM(B26:G26)</f>
        <v>8404</v>
      </c>
      <c r="I26" s="7">
        <v>0</v>
      </c>
      <c r="J26" s="12"/>
      <c r="K26" s="6">
        <v>21</v>
      </c>
      <c r="L26" s="9">
        <v>1</v>
      </c>
      <c r="M26" s="9">
        <v>12</v>
      </c>
      <c r="N26" s="9">
        <v>1</v>
      </c>
      <c r="O26" s="7">
        <f t="shared" si="0"/>
        <v>14</v>
      </c>
      <c r="P26" s="10">
        <f t="shared" si="2"/>
        <v>6135</v>
      </c>
    </row>
    <row r="27" spans="1:26" ht="18" customHeight="1" thickTop="1" thickBot="1" x14ac:dyDescent="0.35">
      <c r="A27" s="6">
        <v>22</v>
      </c>
      <c r="B27" s="7">
        <v>8770</v>
      </c>
      <c r="C27" s="7">
        <v>0</v>
      </c>
      <c r="D27" s="7">
        <v>956</v>
      </c>
      <c r="E27" s="7">
        <v>129</v>
      </c>
      <c r="F27" s="7">
        <v>96</v>
      </c>
      <c r="G27" s="7">
        <v>230</v>
      </c>
      <c r="H27" s="7">
        <f t="shared" si="1"/>
        <v>10181</v>
      </c>
      <c r="I27" s="7">
        <v>0</v>
      </c>
      <c r="J27" s="12"/>
      <c r="K27" s="6">
        <v>22</v>
      </c>
      <c r="L27" s="9">
        <v>0</v>
      </c>
      <c r="M27" s="9">
        <v>6</v>
      </c>
      <c r="N27" s="9">
        <v>2</v>
      </c>
      <c r="O27" s="7">
        <f t="shared" si="0"/>
        <v>8</v>
      </c>
      <c r="P27" s="10">
        <f t="shared" si="2"/>
        <v>6135</v>
      </c>
    </row>
    <row r="28" spans="1:26" ht="18" customHeight="1" thickTop="1" thickBot="1" x14ac:dyDescent="0.35">
      <c r="A28" s="6">
        <v>23</v>
      </c>
      <c r="B28" s="7">
        <v>3801</v>
      </c>
      <c r="C28" s="7">
        <v>4</v>
      </c>
      <c r="D28" s="7">
        <v>1221</v>
      </c>
      <c r="E28" s="7">
        <v>148</v>
      </c>
      <c r="F28" s="7">
        <v>159</v>
      </c>
      <c r="G28" s="7">
        <v>342</v>
      </c>
      <c r="H28" s="7">
        <f t="shared" si="1"/>
        <v>5675</v>
      </c>
      <c r="I28" s="7">
        <v>0</v>
      </c>
      <c r="J28" s="12"/>
      <c r="K28" s="6">
        <v>23</v>
      </c>
      <c r="L28" s="9">
        <v>2</v>
      </c>
      <c r="M28" s="9">
        <v>13</v>
      </c>
      <c r="N28" s="9">
        <v>3</v>
      </c>
      <c r="O28" s="7">
        <f t="shared" si="0"/>
        <v>18</v>
      </c>
      <c r="P28" s="10">
        <f t="shared" si="2"/>
        <v>6135</v>
      </c>
    </row>
    <row r="29" spans="1:26" ht="18" customHeight="1" thickTop="1" thickBot="1" x14ac:dyDescent="0.35">
      <c r="A29" s="6">
        <v>24</v>
      </c>
      <c r="B29" s="7">
        <v>3205</v>
      </c>
      <c r="C29" s="7">
        <v>1</v>
      </c>
      <c r="D29" s="7">
        <v>1291</v>
      </c>
      <c r="E29" s="7">
        <v>165</v>
      </c>
      <c r="F29" s="7">
        <v>187</v>
      </c>
      <c r="G29" s="7">
        <v>334</v>
      </c>
      <c r="H29" s="7">
        <f t="shared" si="1"/>
        <v>5183</v>
      </c>
      <c r="I29" s="7">
        <v>0</v>
      </c>
      <c r="J29" s="12"/>
      <c r="K29" s="6">
        <v>24</v>
      </c>
      <c r="L29" s="9">
        <v>1</v>
      </c>
      <c r="M29" s="9">
        <v>8</v>
      </c>
      <c r="N29" s="9">
        <v>1</v>
      </c>
      <c r="O29" s="7">
        <f t="shared" si="0"/>
        <v>10</v>
      </c>
      <c r="P29" s="10">
        <f t="shared" si="2"/>
        <v>6135</v>
      </c>
    </row>
    <row r="30" spans="1:26" ht="18" customHeight="1" thickTop="1" thickBot="1" x14ac:dyDescent="0.35">
      <c r="A30" s="6">
        <v>25</v>
      </c>
      <c r="B30" s="7">
        <v>3153</v>
      </c>
      <c r="C30" s="7">
        <v>0</v>
      </c>
      <c r="D30" s="7">
        <v>1358</v>
      </c>
      <c r="E30" s="7">
        <v>162</v>
      </c>
      <c r="F30" s="7">
        <v>190</v>
      </c>
      <c r="G30" s="7">
        <v>348</v>
      </c>
      <c r="H30" s="7">
        <f t="shared" si="1"/>
        <v>5211</v>
      </c>
      <c r="I30" s="7">
        <v>0</v>
      </c>
      <c r="J30" s="12"/>
      <c r="K30" s="6">
        <v>25</v>
      </c>
      <c r="L30" s="9">
        <v>2</v>
      </c>
      <c r="M30" s="9">
        <v>10</v>
      </c>
      <c r="N30" s="9">
        <v>7</v>
      </c>
      <c r="O30" s="7">
        <f t="shared" si="0"/>
        <v>19</v>
      </c>
      <c r="P30" s="10">
        <f t="shared" si="2"/>
        <v>6135</v>
      </c>
    </row>
    <row r="31" spans="1:26" ht="18" customHeight="1" thickTop="1" thickBot="1" x14ac:dyDescent="0.35">
      <c r="A31" s="6">
        <v>26</v>
      </c>
      <c r="B31" s="7">
        <v>3443</v>
      </c>
      <c r="C31" s="7">
        <v>0</v>
      </c>
      <c r="D31" s="7">
        <v>1334</v>
      </c>
      <c r="E31" s="7">
        <v>159</v>
      </c>
      <c r="F31" s="7">
        <v>197</v>
      </c>
      <c r="G31" s="7">
        <v>319</v>
      </c>
      <c r="H31" s="7">
        <f t="shared" si="1"/>
        <v>5452</v>
      </c>
      <c r="I31" s="7">
        <v>0</v>
      </c>
      <c r="J31" s="12"/>
      <c r="K31" s="6">
        <v>26</v>
      </c>
      <c r="L31" s="9">
        <v>1</v>
      </c>
      <c r="M31" s="9">
        <v>17</v>
      </c>
      <c r="N31" s="9">
        <v>1</v>
      </c>
      <c r="O31" s="7">
        <f t="shared" si="0"/>
        <v>19</v>
      </c>
      <c r="P31" s="10">
        <f t="shared" si="2"/>
        <v>6135</v>
      </c>
    </row>
    <row r="32" spans="1:26" ht="18" customHeight="1" thickTop="1" thickBot="1" x14ac:dyDescent="0.35">
      <c r="A32" s="6">
        <v>27</v>
      </c>
      <c r="B32" s="7">
        <v>4735</v>
      </c>
      <c r="C32" s="7">
        <v>0</v>
      </c>
      <c r="D32" s="7">
        <v>1266</v>
      </c>
      <c r="E32" s="7">
        <v>134</v>
      </c>
      <c r="F32" s="7">
        <v>235</v>
      </c>
      <c r="G32" s="7">
        <v>328</v>
      </c>
      <c r="H32" s="7">
        <f t="shared" si="1"/>
        <v>6698</v>
      </c>
      <c r="I32" s="7">
        <v>0</v>
      </c>
      <c r="J32" s="12"/>
      <c r="K32" s="6">
        <v>27</v>
      </c>
      <c r="L32" s="9">
        <v>2</v>
      </c>
      <c r="M32" s="9">
        <v>11</v>
      </c>
      <c r="N32" s="9">
        <v>10</v>
      </c>
      <c r="O32" s="7">
        <f t="shared" si="0"/>
        <v>23</v>
      </c>
      <c r="P32" s="10">
        <f t="shared" si="2"/>
        <v>6135</v>
      </c>
    </row>
    <row r="33" spans="1:16" ht="18" customHeight="1" thickTop="1" thickBot="1" x14ac:dyDescent="0.35">
      <c r="A33" s="6">
        <v>28</v>
      </c>
      <c r="B33" s="7">
        <v>5030</v>
      </c>
      <c r="C33" s="7">
        <v>0</v>
      </c>
      <c r="D33" s="7">
        <v>1121</v>
      </c>
      <c r="E33" s="7">
        <v>122</v>
      </c>
      <c r="F33" s="7">
        <v>194</v>
      </c>
      <c r="G33" s="7">
        <v>275</v>
      </c>
      <c r="H33" s="7">
        <f t="shared" si="1"/>
        <v>6742</v>
      </c>
      <c r="I33" s="7">
        <v>0</v>
      </c>
      <c r="J33" s="12"/>
      <c r="K33" s="6">
        <v>28</v>
      </c>
      <c r="L33" s="9">
        <v>1</v>
      </c>
      <c r="M33" s="9">
        <v>8</v>
      </c>
      <c r="N33" s="9">
        <v>2</v>
      </c>
      <c r="O33" s="7">
        <f t="shared" si="0"/>
        <v>11</v>
      </c>
      <c r="P33" s="10">
        <f t="shared" si="2"/>
        <v>6135</v>
      </c>
    </row>
    <row r="34" spans="1:16" ht="18" customHeight="1" thickTop="1" thickBot="1" x14ac:dyDescent="0.35">
      <c r="A34" s="6">
        <v>29</v>
      </c>
      <c r="B34" s="7">
        <v>6726</v>
      </c>
      <c r="C34" s="7">
        <v>0</v>
      </c>
      <c r="D34" s="7">
        <v>1001</v>
      </c>
      <c r="E34" s="7">
        <v>99</v>
      </c>
      <c r="F34" s="7">
        <v>93</v>
      </c>
      <c r="G34" s="7">
        <v>225</v>
      </c>
      <c r="H34" s="7">
        <f t="shared" si="1"/>
        <v>8144</v>
      </c>
      <c r="I34" s="7">
        <v>0</v>
      </c>
      <c r="J34" s="12"/>
      <c r="K34" s="6">
        <v>29</v>
      </c>
      <c r="L34" s="7">
        <v>3</v>
      </c>
      <c r="M34" s="7">
        <v>2</v>
      </c>
      <c r="N34" s="7">
        <v>1</v>
      </c>
      <c r="O34" s="7">
        <f t="shared" si="0"/>
        <v>6</v>
      </c>
      <c r="P34" s="10">
        <f t="shared" si="2"/>
        <v>6135</v>
      </c>
    </row>
    <row r="35" spans="1:16" ht="18" customHeight="1" thickTop="1" thickBot="1" x14ac:dyDescent="0.35">
      <c r="A35" s="6">
        <v>30</v>
      </c>
      <c r="B35" s="7">
        <v>3100</v>
      </c>
      <c r="C35" s="7">
        <v>0</v>
      </c>
      <c r="D35" s="7">
        <v>1097</v>
      </c>
      <c r="E35" s="7">
        <v>158</v>
      </c>
      <c r="F35" s="7">
        <v>188</v>
      </c>
      <c r="G35" s="7">
        <v>269</v>
      </c>
      <c r="H35" s="7">
        <f t="shared" si="1"/>
        <v>4812</v>
      </c>
      <c r="I35" s="7">
        <v>0</v>
      </c>
      <c r="J35" s="12"/>
      <c r="K35" s="6">
        <v>30</v>
      </c>
      <c r="L35" s="7">
        <v>7</v>
      </c>
      <c r="M35" s="7">
        <v>18</v>
      </c>
      <c r="N35" s="7">
        <v>1</v>
      </c>
      <c r="O35" s="7">
        <f t="shared" si="0"/>
        <v>26</v>
      </c>
      <c r="P35" s="10">
        <f t="shared" si="2"/>
        <v>6135</v>
      </c>
    </row>
    <row r="36" spans="1:16" ht="18" customHeight="1" thickTop="1" thickBot="1" x14ac:dyDescent="0.35">
      <c r="A36" s="6">
        <v>31</v>
      </c>
      <c r="B36" s="7">
        <v>2851</v>
      </c>
      <c r="C36" s="7">
        <v>0</v>
      </c>
      <c r="D36" s="7">
        <v>1351</v>
      </c>
      <c r="E36" s="7">
        <v>175</v>
      </c>
      <c r="F36" s="7">
        <v>200</v>
      </c>
      <c r="G36" s="7">
        <v>284</v>
      </c>
      <c r="H36" s="7">
        <f t="shared" si="1"/>
        <v>4861</v>
      </c>
      <c r="I36" s="7">
        <v>0</v>
      </c>
      <c r="J36" s="12"/>
      <c r="K36" s="6">
        <v>31</v>
      </c>
      <c r="L36" s="7">
        <v>1</v>
      </c>
      <c r="M36" s="7">
        <v>18</v>
      </c>
      <c r="N36" s="7">
        <v>6</v>
      </c>
      <c r="O36" s="7">
        <f t="shared" si="0"/>
        <v>25</v>
      </c>
      <c r="P36" s="10">
        <f t="shared" si="2"/>
        <v>6135</v>
      </c>
    </row>
    <row r="37" spans="1:16" ht="18" customHeight="1" thickTop="1" x14ac:dyDescent="0.3">
      <c r="A37" s="4" t="s">
        <v>19</v>
      </c>
      <c r="B37" s="16">
        <f>SUM(B6:B36)</f>
        <v>231386</v>
      </c>
      <c r="C37" s="16">
        <f t="shared" ref="C37:G37" si="3">SUM(C6:C36)</f>
        <v>9</v>
      </c>
      <c r="D37" s="16">
        <f t="shared" si="3"/>
        <v>37677</v>
      </c>
      <c r="E37" s="16">
        <f t="shared" si="3"/>
        <v>4100</v>
      </c>
      <c r="F37" s="16">
        <f t="shared" si="3"/>
        <v>4845</v>
      </c>
      <c r="G37" s="16">
        <f t="shared" si="3"/>
        <v>8652</v>
      </c>
      <c r="H37" s="16">
        <f>SUM(H6:H36)</f>
        <v>286669</v>
      </c>
      <c r="I37" s="16">
        <f>SUM(I6:I33)</f>
        <v>0</v>
      </c>
      <c r="J37" s="16"/>
      <c r="K37" s="16"/>
      <c r="L37" s="16">
        <f>SUM(L6:L36)</f>
        <v>45</v>
      </c>
      <c r="M37" s="16">
        <f>SUM(M6:M36)</f>
        <v>358</v>
      </c>
      <c r="N37" s="16">
        <f>SUM(N6:N36)</f>
        <v>90</v>
      </c>
      <c r="O37" s="16"/>
    </row>
    <row r="38" spans="1:16" ht="18" customHeight="1" x14ac:dyDescent="0.3">
      <c r="A38" s="4" t="s">
        <v>19</v>
      </c>
      <c r="B38" s="80">
        <f>+B37+C37</f>
        <v>231395</v>
      </c>
      <c r="C38" s="80"/>
      <c r="D38" s="16">
        <f>+D37</f>
        <v>37677</v>
      </c>
      <c r="E38" s="16">
        <f>+E37</f>
        <v>4100</v>
      </c>
      <c r="F38" s="16">
        <f>+F37</f>
        <v>4845</v>
      </c>
      <c r="G38" s="16">
        <f>+G37</f>
        <v>8652</v>
      </c>
      <c r="H38" s="73">
        <f>+H37</f>
        <v>286669</v>
      </c>
      <c r="I38" s="16">
        <v>0</v>
      </c>
      <c r="J38" s="17"/>
      <c r="K38" s="4"/>
      <c r="L38" s="18" t="s">
        <v>20</v>
      </c>
      <c r="M38" s="18" t="s">
        <v>21</v>
      </c>
      <c r="N38" s="74">
        <f>SUM(L37:N37)</f>
        <v>493</v>
      </c>
      <c r="O38" s="18" t="s">
        <v>21</v>
      </c>
    </row>
    <row r="39" spans="1:16" ht="18" customHeight="1" x14ac:dyDescent="0.3">
      <c r="A39" s="19" t="s">
        <v>22</v>
      </c>
      <c r="B39" s="20"/>
      <c r="C39" s="20"/>
      <c r="D39" s="20"/>
      <c r="E39" s="20"/>
      <c r="F39" s="20"/>
      <c r="G39" s="20"/>
      <c r="H39" s="20"/>
      <c r="L39" s="22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2"/>
      <c r="K40" s="25"/>
      <c r="L40" s="26"/>
    </row>
    <row r="41" spans="1:16" x14ac:dyDescent="0.3">
      <c r="A41" s="11"/>
      <c r="H41" s="11"/>
      <c r="K41" s="25"/>
      <c r="L41" s="26"/>
    </row>
    <row r="42" spans="1:16" x14ac:dyDescent="0.3">
      <c r="K42" s="25"/>
      <c r="L42" s="26"/>
    </row>
    <row r="43" spans="1:16" x14ac:dyDescent="0.3">
      <c r="I43" s="11"/>
      <c r="J43" s="11"/>
    </row>
    <row r="45" spans="1:16" x14ac:dyDescent="0.3">
      <c r="A45" s="27"/>
    </row>
    <row r="46" spans="1:16" x14ac:dyDescent="0.3">
      <c r="A46" s="27"/>
      <c r="B46" s="11"/>
      <c r="C46" s="11"/>
      <c r="D46" s="11"/>
      <c r="E46" s="11"/>
      <c r="F46" s="11"/>
      <c r="G46" s="11"/>
      <c r="H46" s="11"/>
      <c r="I46" s="11"/>
      <c r="J46" s="11"/>
      <c r="K46" s="28"/>
      <c r="L46" s="11"/>
      <c r="M46" s="11"/>
      <c r="N46" s="11"/>
      <c r="O46" s="11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  <ignoredErrors>
    <ignoredError sqref="I37 H6:H36 O6:O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9699-52FB-4898-8D63-08B49D846250}">
  <dimension ref="A1:Z46"/>
  <sheetViews>
    <sheetView workbookViewId="0">
      <selection activeCell="Q3" sqref="Q3"/>
    </sheetView>
  </sheetViews>
  <sheetFormatPr baseColWidth="10" defaultColWidth="11.44140625" defaultRowHeight="13.8" x14ac:dyDescent="0.3"/>
  <cols>
    <col min="1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s="1" customFormat="1" ht="15.6" x14ac:dyDescent="0.3">
      <c r="A3" s="82" t="s">
        <v>23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9" ht="78" customHeight="1" x14ac:dyDescent="0.3">
      <c r="A4" s="83" t="s">
        <v>1</v>
      </c>
      <c r="B4" s="79" t="s">
        <v>2</v>
      </c>
      <c r="C4" s="79"/>
      <c r="D4" s="2" t="s">
        <v>3</v>
      </c>
      <c r="E4" s="2" t="s">
        <v>4</v>
      </c>
      <c r="F4" s="2" t="s">
        <v>5</v>
      </c>
      <c r="G4" s="2" t="s">
        <v>6</v>
      </c>
      <c r="H4" s="79" t="s">
        <v>7</v>
      </c>
      <c r="I4" s="79" t="s">
        <v>8</v>
      </c>
      <c r="J4" s="3"/>
      <c r="K4" s="85" t="s">
        <v>1</v>
      </c>
      <c r="L4" s="79" t="s">
        <v>9</v>
      </c>
      <c r="M4" s="79" t="s">
        <v>10</v>
      </c>
      <c r="N4" s="79" t="s">
        <v>11</v>
      </c>
      <c r="O4" s="79" t="s">
        <v>12</v>
      </c>
    </row>
    <row r="5" spans="1:19" ht="18" customHeight="1" x14ac:dyDescent="0.3">
      <c r="A5" s="84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79"/>
      <c r="I5" s="79"/>
      <c r="J5" s="3"/>
      <c r="K5" s="85"/>
      <c r="L5" s="79"/>
      <c r="M5" s="79"/>
      <c r="N5" s="79"/>
      <c r="O5" s="79"/>
    </row>
    <row r="6" spans="1:19" ht="18" customHeight="1" thickBot="1" x14ac:dyDescent="0.35">
      <c r="A6" s="6">
        <v>1</v>
      </c>
      <c r="B6" s="7">
        <v>2954</v>
      </c>
      <c r="C6" s="7">
        <v>0</v>
      </c>
      <c r="D6" s="7">
        <v>1285</v>
      </c>
      <c r="E6" s="7">
        <v>172</v>
      </c>
      <c r="F6" s="7">
        <v>178</v>
      </c>
      <c r="G6" s="7">
        <v>321</v>
      </c>
      <c r="H6" s="7">
        <f>SUM(B6:G6)</f>
        <v>4910</v>
      </c>
      <c r="I6" s="7">
        <v>0</v>
      </c>
      <c r="J6" s="8"/>
      <c r="K6" s="6">
        <v>1</v>
      </c>
      <c r="L6" s="9">
        <v>1</v>
      </c>
      <c r="M6" s="9">
        <v>10</v>
      </c>
      <c r="N6" s="9">
        <v>1</v>
      </c>
      <c r="O6" s="7">
        <f>SUM(L6:N6)</f>
        <v>12</v>
      </c>
      <c r="P6" s="10">
        <v>6135</v>
      </c>
    </row>
    <row r="7" spans="1:19" ht="18" customHeight="1" thickTop="1" thickBot="1" x14ac:dyDescent="0.35">
      <c r="A7" s="6">
        <v>2</v>
      </c>
      <c r="B7" s="7">
        <v>2214</v>
      </c>
      <c r="C7" s="7">
        <v>0</v>
      </c>
      <c r="D7" s="7">
        <v>1307</v>
      </c>
      <c r="E7" s="7">
        <v>154</v>
      </c>
      <c r="F7" s="7">
        <v>180</v>
      </c>
      <c r="G7" s="7">
        <v>306</v>
      </c>
      <c r="H7" s="7">
        <f>SUM(B7:G7)</f>
        <v>4161</v>
      </c>
      <c r="I7" s="7">
        <v>0</v>
      </c>
      <c r="J7" s="8"/>
      <c r="K7" s="6">
        <v>2</v>
      </c>
      <c r="L7" s="9">
        <v>1</v>
      </c>
      <c r="M7" s="9">
        <v>12</v>
      </c>
      <c r="N7" s="9">
        <v>4</v>
      </c>
      <c r="O7" s="7">
        <f t="shared" ref="O7:O36" si="0">SUM(L7:N7)</f>
        <v>17</v>
      </c>
      <c r="P7" s="10">
        <f>+P6</f>
        <v>6135</v>
      </c>
    </row>
    <row r="8" spans="1:19" ht="18" customHeight="1" thickTop="1" thickBot="1" x14ac:dyDescent="0.35">
      <c r="A8" s="6">
        <v>3</v>
      </c>
      <c r="B8" s="7">
        <v>4287</v>
      </c>
      <c r="C8" s="7">
        <v>0</v>
      </c>
      <c r="D8" s="7">
        <v>1184</v>
      </c>
      <c r="E8" s="7">
        <v>120</v>
      </c>
      <c r="F8" s="7">
        <v>163</v>
      </c>
      <c r="G8" s="7">
        <v>319</v>
      </c>
      <c r="H8" s="7">
        <f t="shared" ref="H8:H36" si="1">SUM(B8:G8)</f>
        <v>6073</v>
      </c>
      <c r="I8" s="7">
        <v>0</v>
      </c>
      <c r="J8" s="8"/>
      <c r="K8" s="6">
        <v>3</v>
      </c>
      <c r="L8" s="9">
        <v>5</v>
      </c>
      <c r="M8" s="9">
        <v>16</v>
      </c>
      <c r="N8" s="9">
        <v>6</v>
      </c>
      <c r="O8" s="7">
        <f t="shared" si="0"/>
        <v>27</v>
      </c>
      <c r="P8" s="10">
        <f t="shared" ref="P8:P36" si="2">+P7</f>
        <v>6135</v>
      </c>
      <c r="S8" s="11"/>
    </row>
    <row r="9" spans="1:19" ht="18" customHeight="1" thickTop="1" thickBot="1" x14ac:dyDescent="0.35">
      <c r="A9" s="6">
        <v>4</v>
      </c>
      <c r="B9" s="7">
        <v>4233</v>
      </c>
      <c r="C9" s="7">
        <v>0</v>
      </c>
      <c r="D9" s="7">
        <v>1020</v>
      </c>
      <c r="E9" s="7">
        <v>120</v>
      </c>
      <c r="F9" s="7">
        <v>156</v>
      </c>
      <c r="G9" s="7">
        <v>260</v>
      </c>
      <c r="H9" s="7">
        <f t="shared" si="1"/>
        <v>5789</v>
      </c>
      <c r="I9" s="7">
        <v>0</v>
      </c>
      <c r="J9" s="8"/>
      <c r="K9" s="6">
        <v>4</v>
      </c>
      <c r="L9" s="9">
        <v>6</v>
      </c>
      <c r="M9" s="9">
        <v>8</v>
      </c>
      <c r="N9" s="9">
        <v>0</v>
      </c>
      <c r="O9" s="7">
        <f t="shared" si="0"/>
        <v>14</v>
      </c>
      <c r="P9" s="10">
        <f t="shared" si="2"/>
        <v>6135</v>
      </c>
    </row>
    <row r="10" spans="1:19" ht="18" customHeight="1" thickTop="1" thickBot="1" x14ac:dyDescent="0.35">
      <c r="A10" s="6">
        <v>5</v>
      </c>
      <c r="B10" s="7">
        <v>6358</v>
      </c>
      <c r="C10" s="7">
        <v>0</v>
      </c>
      <c r="D10" s="7">
        <v>838</v>
      </c>
      <c r="E10" s="7">
        <v>103</v>
      </c>
      <c r="F10" s="7">
        <v>85</v>
      </c>
      <c r="G10" s="7">
        <v>189</v>
      </c>
      <c r="H10" s="7">
        <f t="shared" si="1"/>
        <v>7573</v>
      </c>
      <c r="I10" s="7">
        <v>0</v>
      </c>
      <c r="J10" s="8"/>
      <c r="K10" s="6">
        <v>5</v>
      </c>
      <c r="L10" s="9">
        <v>5</v>
      </c>
      <c r="M10" s="9">
        <v>2</v>
      </c>
      <c r="N10" s="9">
        <v>2</v>
      </c>
      <c r="O10" s="7">
        <f t="shared" si="0"/>
        <v>9</v>
      </c>
      <c r="P10" s="10">
        <f t="shared" si="2"/>
        <v>6135</v>
      </c>
    </row>
    <row r="11" spans="1:19" ht="18" customHeight="1" thickTop="1" thickBot="1" x14ac:dyDescent="0.35">
      <c r="A11" s="6">
        <v>6</v>
      </c>
      <c r="B11" s="7">
        <v>2730</v>
      </c>
      <c r="C11" s="7">
        <v>0</v>
      </c>
      <c r="D11" s="7">
        <v>1104</v>
      </c>
      <c r="E11" s="7">
        <v>130</v>
      </c>
      <c r="F11" s="7">
        <v>164</v>
      </c>
      <c r="G11" s="7">
        <v>272</v>
      </c>
      <c r="H11" s="7">
        <f t="shared" si="1"/>
        <v>4400</v>
      </c>
      <c r="I11" s="7">
        <v>0</v>
      </c>
      <c r="J11" s="8"/>
      <c r="K11" s="6">
        <v>6</v>
      </c>
      <c r="L11" s="9">
        <v>2</v>
      </c>
      <c r="M11" s="9">
        <v>15</v>
      </c>
      <c r="N11" s="9">
        <v>4</v>
      </c>
      <c r="O11" s="7">
        <f t="shared" si="0"/>
        <v>21</v>
      </c>
      <c r="P11" s="10">
        <f t="shared" si="2"/>
        <v>6135</v>
      </c>
    </row>
    <row r="12" spans="1:19" ht="18" customHeight="1" thickTop="1" thickBot="1" x14ac:dyDescent="0.35">
      <c r="A12" s="6">
        <v>7</v>
      </c>
      <c r="B12" s="7">
        <v>2395</v>
      </c>
      <c r="C12" s="7">
        <v>0</v>
      </c>
      <c r="D12" s="7">
        <v>1219</v>
      </c>
      <c r="E12" s="7">
        <v>171</v>
      </c>
      <c r="F12" s="7">
        <v>187</v>
      </c>
      <c r="G12" s="7">
        <v>348</v>
      </c>
      <c r="H12" s="7">
        <f t="shared" si="1"/>
        <v>4320</v>
      </c>
      <c r="I12" s="7">
        <v>0</v>
      </c>
      <c r="J12" s="12"/>
      <c r="K12" s="6">
        <v>7</v>
      </c>
      <c r="L12" s="9">
        <v>5</v>
      </c>
      <c r="M12" s="9">
        <v>20</v>
      </c>
      <c r="N12" s="9">
        <v>9</v>
      </c>
      <c r="O12" s="7">
        <f t="shared" si="0"/>
        <v>34</v>
      </c>
      <c r="P12" s="10">
        <f t="shared" si="2"/>
        <v>6135</v>
      </c>
    </row>
    <row r="13" spans="1:19" ht="18" customHeight="1" thickTop="1" thickBot="1" x14ac:dyDescent="0.35">
      <c r="A13" s="6">
        <v>8</v>
      </c>
      <c r="B13" s="7">
        <v>2524</v>
      </c>
      <c r="C13" s="7">
        <v>0</v>
      </c>
      <c r="D13" s="7">
        <v>1306</v>
      </c>
      <c r="E13" s="7">
        <v>165</v>
      </c>
      <c r="F13" s="7">
        <v>176</v>
      </c>
      <c r="G13" s="7">
        <v>353</v>
      </c>
      <c r="H13" s="7">
        <f t="shared" si="1"/>
        <v>4524</v>
      </c>
      <c r="I13" s="7">
        <v>0</v>
      </c>
      <c r="J13" s="12"/>
      <c r="K13" s="6">
        <v>8</v>
      </c>
      <c r="L13" s="9">
        <v>1</v>
      </c>
      <c r="M13" s="9">
        <v>10</v>
      </c>
      <c r="N13" s="9">
        <v>3</v>
      </c>
      <c r="O13" s="7">
        <f t="shared" si="0"/>
        <v>14</v>
      </c>
      <c r="P13" s="10">
        <f t="shared" si="2"/>
        <v>6135</v>
      </c>
    </row>
    <row r="14" spans="1:19" s="14" customFormat="1" ht="18" customHeight="1" thickTop="1" thickBot="1" x14ac:dyDescent="0.35">
      <c r="A14" s="6">
        <v>9</v>
      </c>
      <c r="B14" s="7">
        <v>2963</v>
      </c>
      <c r="C14" s="7">
        <v>0</v>
      </c>
      <c r="D14" s="7">
        <v>1275</v>
      </c>
      <c r="E14" s="7">
        <v>174</v>
      </c>
      <c r="F14" s="7">
        <v>223</v>
      </c>
      <c r="G14" s="7">
        <v>358</v>
      </c>
      <c r="H14" s="7">
        <f t="shared" si="1"/>
        <v>4993</v>
      </c>
      <c r="I14" s="7">
        <v>0</v>
      </c>
      <c r="J14" s="12"/>
      <c r="K14" s="6">
        <v>9</v>
      </c>
      <c r="L14" s="9">
        <v>1</v>
      </c>
      <c r="M14" s="9">
        <v>10</v>
      </c>
      <c r="N14" s="9">
        <v>3</v>
      </c>
      <c r="O14" s="7">
        <f t="shared" si="0"/>
        <v>14</v>
      </c>
      <c r="P14" s="13">
        <f t="shared" si="2"/>
        <v>6135</v>
      </c>
    </row>
    <row r="15" spans="1:19" ht="18" customHeight="1" thickTop="1" thickBot="1" x14ac:dyDescent="0.35">
      <c r="A15" s="6">
        <v>10</v>
      </c>
      <c r="B15" s="7">
        <v>4145</v>
      </c>
      <c r="C15" s="7">
        <v>0</v>
      </c>
      <c r="D15" s="7">
        <v>1204</v>
      </c>
      <c r="E15" s="7">
        <v>161</v>
      </c>
      <c r="F15" s="7">
        <v>182</v>
      </c>
      <c r="G15" s="7">
        <v>287</v>
      </c>
      <c r="H15" s="7">
        <f t="shared" si="1"/>
        <v>5979</v>
      </c>
      <c r="I15" s="7">
        <v>0</v>
      </c>
      <c r="J15" s="12"/>
      <c r="K15" s="6">
        <v>10</v>
      </c>
      <c r="L15" s="9">
        <v>0</v>
      </c>
      <c r="M15" s="9">
        <v>22</v>
      </c>
      <c r="N15" s="9">
        <v>6</v>
      </c>
      <c r="O15" s="7">
        <f t="shared" si="0"/>
        <v>28</v>
      </c>
      <c r="P15" s="10">
        <f t="shared" si="2"/>
        <v>6135</v>
      </c>
    </row>
    <row r="16" spans="1:19" ht="18" customHeight="1" thickTop="1" thickBot="1" x14ac:dyDescent="0.35">
      <c r="A16" s="6">
        <v>11</v>
      </c>
      <c r="B16" s="7">
        <v>4276</v>
      </c>
      <c r="C16" s="7">
        <v>0</v>
      </c>
      <c r="D16" s="7">
        <v>1033</v>
      </c>
      <c r="E16" s="7">
        <v>112</v>
      </c>
      <c r="F16" s="7">
        <v>173</v>
      </c>
      <c r="G16" s="7">
        <v>290</v>
      </c>
      <c r="H16" s="7">
        <f t="shared" si="1"/>
        <v>5884</v>
      </c>
      <c r="I16" s="7">
        <v>0</v>
      </c>
      <c r="J16" s="12"/>
      <c r="K16" s="6">
        <v>11</v>
      </c>
      <c r="L16" s="9">
        <v>0</v>
      </c>
      <c r="M16" s="9">
        <v>10</v>
      </c>
      <c r="N16" s="9">
        <v>4</v>
      </c>
      <c r="O16" s="7">
        <f t="shared" si="0"/>
        <v>14</v>
      </c>
      <c r="P16" s="10">
        <f t="shared" si="2"/>
        <v>6135</v>
      </c>
    </row>
    <row r="17" spans="1:26" ht="18" customHeight="1" thickTop="1" thickBot="1" x14ac:dyDescent="0.35">
      <c r="A17" s="6">
        <v>12</v>
      </c>
      <c r="B17" s="7">
        <v>6035</v>
      </c>
      <c r="C17" s="7">
        <v>0</v>
      </c>
      <c r="D17" s="7">
        <v>851</v>
      </c>
      <c r="E17" s="7">
        <v>122</v>
      </c>
      <c r="F17" s="7">
        <v>109</v>
      </c>
      <c r="G17" s="7">
        <v>208</v>
      </c>
      <c r="H17" s="7">
        <f t="shared" si="1"/>
        <v>7325</v>
      </c>
      <c r="I17" s="7">
        <v>0</v>
      </c>
      <c r="J17" s="12"/>
      <c r="K17" s="6">
        <v>12</v>
      </c>
      <c r="L17" s="9">
        <v>0</v>
      </c>
      <c r="M17" s="9">
        <v>12</v>
      </c>
      <c r="N17" s="9">
        <v>0</v>
      </c>
      <c r="O17" s="7">
        <f t="shared" si="0"/>
        <v>12</v>
      </c>
      <c r="P17" s="10">
        <f t="shared" si="2"/>
        <v>6135</v>
      </c>
    </row>
    <row r="18" spans="1:26" ht="18" customHeight="1" thickTop="1" thickBot="1" x14ac:dyDescent="0.35">
      <c r="A18" s="6">
        <v>13</v>
      </c>
      <c r="B18" s="7">
        <v>2521</v>
      </c>
      <c r="C18" s="7">
        <v>0</v>
      </c>
      <c r="D18" s="7">
        <v>1055</v>
      </c>
      <c r="E18" s="7">
        <v>125</v>
      </c>
      <c r="F18" s="7">
        <v>189</v>
      </c>
      <c r="G18" s="7">
        <v>289</v>
      </c>
      <c r="H18" s="7">
        <f t="shared" si="1"/>
        <v>4179</v>
      </c>
      <c r="I18" s="7">
        <v>0</v>
      </c>
      <c r="J18" s="12"/>
      <c r="K18" s="6">
        <v>13</v>
      </c>
      <c r="L18" s="9">
        <v>3</v>
      </c>
      <c r="M18" s="9">
        <v>15</v>
      </c>
      <c r="N18" s="9">
        <v>1</v>
      </c>
      <c r="O18" s="7">
        <f t="shared" si="0"/>
        <v>19</v>
      </c>
      <c r="P18" s="10">
        <f t="shared" si="2"/>
        <v>6135</v>
      </c>
    </row>
    <row r="19" spans="1:26" ht="18" customHeight="1" thickTop="1" thickBot="1" x14ac:dyDescent="0.35">
      <c r="A19" s="6">
        <v>14</v>
      </c>
      <c r="B19" s="7">
        <v>2360</v>
      </c>
      <c r="C19" s="7">
        <v>0</v>
      </c>
      <c r="D19" s="7">
        <v>1282</v>
      </c>
      <c r="E19" s="7">
        <v>165</v>
      </c>
      <c r="F19" s="7">
        <v>200</v>
      </c>
      <c r="G19" s="7">
        <v>307</v>
      </c>
      <c r="H19" s="7">
        <f t="shared" si="1"/>
        <v>4314</v>
      </c>
      <c r="I19" s="7">
        <v>0</v>
      </c>
      <c r="J19" s="12"/>
      <c r="K19" s="6">
        <v>14</v>
      </c>
      <c r="L19" s="9">
        <v>1</v>
      </c>
      <c r="M19" s="9">
        <v>14</v>
      </c>
      <c r="N19" s="9">
        <v>2</v>
      </c>
      <c r="O19" s="7">
        <f t="shared" si="0"/>
        <v>17</v>
      </c>
      <c r="P19" s="10">
        <f t="shared" si="2"/>
        <v>6135</v>
      </c>
    </row>
    <row r="20" spans="1:26" ht="18" customHeight="1" thickTop="1" thickBot="1" x14ac:dyDescent="0.35">
      <c r="A20" s="6">
        <v>15</v>
      </c>
      <c r="B20" s="7">
        <v>2500</v>
      </c>
      <c r="C20" s="7">
        <v>0</v>
      </c>
      <c r="D20" s="7">
        <v>1287</v>
      </c>
      <c r="E20" s="7">
        <v>186</v>
      </c>
      <c r="F20" s="7">
        <v>219</v>
      </c>
      <c r="G20" s="7">
        <v>339</v>
      </c>
      <c r="H20" s="7">
        <f t="shared" si="1"/>
        <v>4531</v>
      </c>
      <c r="I20" s="7">
        <v>0</v>
      </c>
      <c r="J20" s="12"/>
      <c r="K20" s="6">
        <v>15</v>
      </c>
      <c r="L20" s="9">
        <v>2</v>
      </c>
      <c r="M20" s="9">
        <v>20</v>
      </c>
      <c r="N20" s="9">
        <v>1</v>
      </c>
      <c r="O20" s="7">
        <f t="shared" si="0"/>
        <v>23</v>
      </c>
      <c r="P20" s="10">
        <f t="shared" si="2"/>
        <v>6135</v>
      </c>
    </row>
    <row r="21" spans="1:26" ht="18" customHeight="1" thickTop="1" thickBot="1" x14ac:dyDescent="0.35">
      <c r="A21" s="6">
        <v>16</v>
      </c>
      <c r="B21" s="7">
        <v>2762</v>
      </c>
      <c r="C21" s="7">
        <v>0</v>
      </c>
      <c r="D21" s="7">
        <v>1267</v>
      </c>
      <c r="E21" s="7">
        <v>175</v>
      </c>
      <c r="F21" s="7">
        <v>229</v>
      </c>
      <c r="G21" s="7">
        <v>353</v>
      </c>
      <c r="H21" s="7">
        <f t="shared" si="1"/>
        <v>4786</v>
      </c>
      <c r="I21" s="7">
        <v>0</v>
      </c>
      <c r="J21" s="12"/>
      <c r="K21" s="6">
        <v>16</v>
      </c>
      <c r="L21" s="9">
        <v>0</v>
      </c>
      <c r="M21" s="9">
        <v>24</v>
      </c>
      <c r="N21" s="9">
        <v>4</v>
      </c>
      <c r="O21" s="7">
        <f t="shared" si="0"/>
        <v>28</v>
      </c>
      <c r="P21" s="10">
        <f>+P20</f>
        <v>6135</v>
      </c>
    </row>
    <row r="22" spans="1:26" ht="18" customHeight="1" thickTop="1" thickBot="1" x14ac:dyDescent="0.35">
      <c r="A22" s="6">
        <v>17</v>
      </c>
      <c r="B22" s="7">
        <v>4182</v>
      </c>
      <c r="C22" s="7">
        <v>0</v>
      </c>
      <c r="D22" s="7">
        <v>1224</v>
      </c>
      <c r="E22" s="7">
        <v>165</v>
      </c>
      <c r="F22" s="7">
        <v>218</v>
      </c>
      <c r="G22" s="7">
        <v>307</v>
      </c>
      <c r="H22" s="7">
        <f>SUM(B22:G22)</f>
        <v>6096</v>
      </c>
      <c r="I22" s="7">
        <v>0</v>
      </c>
      <c r="J22" s="12"/>
      <c r="K22" s="6">
        <v>17</v>
      </c>
      <c r="L22" s="9">
        <v>1</v>
      </c>
      <c r="M22" s="9">
        <v>24</v>
      </c>
      <c r="N22" s="9">
        <v>3</v>
      </c>
      <c r="O22" s="7">
        <f t="shared" si="0"/>
        <v>28</v>
      </c>
      <c r="P22" s="10">
        <f t="shared" si="2"/>
        <v>6135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 thickTop="1" thickBot="1" x14ac:dyDescent="0.35">
      <c r="A23" s="6">
        <v>18</v>
      </c>
      <c r="B23" s="7">
        <v>4105</v>
      </c>
      <c r="C23" s="7">
        <v>0</v>
      </c>
      <c r="D23" s="7">
        <v>1029</v>
      </c>
      <c r="E23" s="7">
        <v>144</v>
      </c>
      <c r="F23" s="7">
        <v>168</v>
      </c>
      <c r="G23" s="7">
        <v>248</v>
      </c>
      <c r="H23" s="7">
        <f t="shared" si="1"/>
        <v>5694</v>
      </c>
      <c r="I23" s="7">
        <v>0</v>
      </c>
      <c r="J23" s="12"/>
      <c r="K23" s="6">
        <v>18</v>
      </c>
      <c r="L23" s="9">
        <v>2</v>
      </c>
      <c r="M23" s="9">
        <v>7</v>
      </c>
      <c r="N23" s="9">
        <v>4</v>
      </c>
      <c r="O23" s="7">
        <f t="shared" si="0"/>
        <v>13</v>
      </c>
      <c r="P23" s="10">
        <f t="shared" si="2"/>
        <v>6135</v>
      </c>
    </row>
    <row r="24" spans="1:26" ht="18" customHeight="1" thickTop="1" thickBot="1" x14ac:dyDescent="0.35">
      <c r="A24" s="6">
        <v>19</v>
      </c>
      <c r="B24" s="7">
        <v>5874</v>
      </c>
      <c r="C24" s="7">
        <v>0</v>
      </c>
      <c r="D24" s="7">
        <v>863</v>
      </c>
      <c r="E24" s="7">
        <v>98</v>
      </c>
      <c r="F24" s="7">
        <v>90</v>
      </c>
      <c r="G24" s="7">
        <v>246</v>
      </c>
      <c r="H24" s="7">
        <f t="shared" si="1"/>
        <v>7171</v>
      </c>
      <c r="I24" s="7">
        <v>0</v>
      </c>
      <c r="J24" s="12"/>
      <c r="K24" s="6">
        <v>19</v>
      </c>
      <c r="L24" s="9">
        <v>0</v>
      </c>
      <c r="M24" s="9">
        <v>2</v>
      </c>
      <c r="N24" s="9">
        <v>1</v>
      </c>
      <c r="O24" s="7">
        <f t="shared" si="0"/>
        <v>3</v>
      </c>
      <c r="P24" s="10">
        <f t="shared" si="2"/>
        <v>6135</v>
      </c>
    </row>
    <row r="25" spans="1:26" ht="18" customHeight="1" thickTop="1" thickBot="1" x14ac:dyDescent="0.35">
      <c r="A25" s="6">
        <v>20</v>
      </c>
      <c r="B25" s="7">
        <v>2532</v>
      </c>
      <c r="C25" s="7">
        <v>0</v>
      </c>
      <c r="D25" s="7">
        <v>1067</v>
      </c>
      <c r="E25" s="7">
        <v>146</v>
      </c>
      <c r="F25" s="7">
        <v>181</v>
      </c>
      <c r="G25" s="7">
        <v>270</v>
      </c>
      <c r="H25" s="7">
        <f>SUM(B25:G25)</f>
        <v>4196</v>
      </c>
      <c r="I25" s="7">
        <v>0</v>
      </c>
      <c r="J25" s="12"/>
      <c r="K25" s="6">
        <v>20</v>
      </c>
      <c r="L25" s="9">
        <v>2</v>
      </c>
      <c r="M25" s="9">
        <v>14</v>
      </c>
      <c r="N25" s="9">
        <v>2</v>
      </c>
      <c r="O25" s="7">
        <f t="shared" si="0"/>
        <v>18</v>
      </c>
      <c r="P25" s="10">
        <f t="shared" si="2"/>
        <v>6135</v>
      </c>
    </row>
    <row r="26" spans="1:26" ht="18" customHeight="1" thickTop="1" thickBot="1" x14ac:dyDescent="0.35">
      <c r="A26" s="6">
        <v>21</v>
      </c>
      <c r="B26" s="7">
        <v>2414</v>
      </c>
      <c r="C26" s="7">
        <v>0</v>
      </c>
      <c r="D26" s="7">
        <v>1299</v>
      </c>
      <c r="E26" s="7">
        <v>175</v>
      </c>
      <c r="F26" s="7">
        <v>194</v>
      </c>
      <c r="G26" s="7">
        <v>338</v>
      </c>
      <c r="H26" s="7">
        <f>SUM(B26:G26)</f>
        <v>4420</v>
      </c>
      <c r="I26" s="7">
        <v>0</v>
      </c>
      <c r="J26" s="12"/>
      <c r="K26" s="6">
        <v>21</v>
      </c>
      <c r="L26" s="9">
        <v>0</v>
      </c>
      <c r="M26" s="9">
        <v>12</v>
      </c>
      <c r="N26" s="9">
        <v>5</v>
      </c>
      <c r="O26" s="7">
        <f t="shared" si="0"/>
        <v>17</v>
      </c>
      <c r="P26" s="10">
        <f t="shared" si="2"/>
        <v>6135</v>
      </c>
    </row>
    <row r="27" spans="1:26" ht="18" customHeight="1" thickTop="1" thickBot="1" x14ac:dyDescent="0.35">
      <c r="A27" s="6">
        <v>22</v>
      </c>
      <c r="B27" s="7">
        <v>2512</v>
      </c>
      <c r="C27" s="7">
        <v>0</v>
      </c>
      <c r="D27" s="7">
        <v>1339</v>
      </c>
      <c r="E27" s="7">
        <v>160</v>
      </c>
      <c r="F27" s="7">
        <v>201</v>
      </c>
      <c r="G27" s="7">
        <v>355</v>
      </c>
      <c r="H27" s="7">
        <f t="shared" si="1"/>
        <v>4567</v>
      </c>
      <c r="I27" s="7">
        <v>0</v>
      </c>
      <c r="J27" s="12"/>
      <c r="K27" s="6">
        <v>22</v>
      </c>
      <c r="L27" s="9">
        <v>3</v>
      </c>
      <c r="M27" s="9">
        <v>19</v>
      </c>
      <c r="N27" s="9">
        <v>3</v>
      </c>
      <c r="O27" s="7">
        <f t="shared" si="0"/>
        <v>25</v>
      </c>
      <c r="P27" s="10">
        <f t="shared" si="2"/>
        <v>6135</v>
      </c>
    </row>
    <row r="28" spans="1:26" ht="18" customHeight="1" thickTop="1" thickBot="1" x14ac:dyDescent="0.35">
      <c r="A28" s="6">
        <v>23</v>
      </c>
      <c r="B28" s="7">
        <v>2831</v>
      </c>
      <c r="C28" s="7">
        <v>0</v>
      </c>
      <c r="D28" s="7">
        <v>1256</v>
      </c>
      <c r="E28" s="7">
        <v>159</v>
      </c>
      <c r="F28" s="7">
        <v>193</v>
      </c>
      <c r="G28" s="7">
        <v>392</v>
      </c>
      <c r="H28" s="7">
        <f t="shared" si="1"/>
        <v>4831</v>
      </c>
      <c r="I28" s="7">
        <v>0</v>
      </c>
      <c r="J28" s="12"/>
      <c r="K28" s="6">
        <v>23</v>
      </c>
      <c r="L28" s="9">
        <v>2</v>
      </c>
      <c r="M28" s="9">
        <v>14</v>
      </c>
      <c r="N28" s="9">
        <v>4</v>
      </c>
      <c r="O28" s="7">
        <f t="shared" si="0"/>
        <v>20</v>
      </c>
      <c r="P28" s="10">
        <f t="shared" si="2"/>
        <v>6135</v>
      </c>
    </row>
    <row r="29" spans="1:26" ht="18" customHeight="1" thickTop="1" thickBot="1" x14ac:dyDescent="0.35">
      <c r="A29" s="6">
        <v>24</v>
      </c>
      <c r="B29" s="7">
        <v>4163</v>
      </c>
      <c r="C29" s="7">
        <v>0</v>
      </c>
      <c r="D29" s="7">
        <v>1188</v>
      </c>
      <c r="E29" s="7">
        <v>134</v>
      </c>
      <c r="F29" s="7">
        <v>173</v>
      </c>
      <c r="G29" s="7">
        <v>284</v>
      </c>
      <c r="H29" s="7">
        <f t="shared" si="1"/>
        <v>5942</v>
      </c>
      <c r="I29" s="7">
        <v>0</v>
      </c>
      <c r="J29" s="12"/>
      <c r="K29" s="6">
        <v>24</v>
      </c>
      <c r="L29" s="9">
        <v>1</v>
      </c>
      <c r="M29" s="9">
        <v>17</v>
      </c>
      <c r="N29" s="9">
        <v>1</v>
      </c>
      <c r="O29" s="7">
        <f t="shared" si="0"/>
        <v>19</v>
      </c>
      <c r="P29" s="10">
        <f t="shared" si="2"/>
        <v>6135</v>
      </c>
    </row>
    <row r="30" spans="1:26" ht="18" customHeight="1" thickTop="1" thickBot="1" x14ac:dyDescent="0.35">
      <c r="A30" s="6">
        <v>25</v>
      </c>
      <c r="B30" s="7">
        <v>4279</v>
      </c>
      <c r="C30" s="7">
        <v>0</v>
      </c>
      <c r="D30" s="7">
        <v>1053</v>
      </c>
      <c r="E30" s="7">
        <v>129</v>
      </c>
      <c r="F30" s="7">
        <v>177</v>
      </c>
      <c r="G30" s="7">
        <v>246</v>
      </c>
      <c r="H30" s="7">
        <f t="shared" si="1"/>
        <v>5884</v>
      </c>
      <c r="I30" s="7">
        <v>0</v>
      </c>
      <c r="J30" s="12"/>
      <c r="K30" s="6">
        <v>25</v>
      </c>
      <c r="L30" s="9">
        <v>0</v>
      </c>
      <c r="M30" s="9">
        <v>9</v>
      </c>
      <c r="N30" s="9">
        <v>4</v>
      </c>
      <c r="O30" s="7">
        <f t="shared" si="0"/>
        <v>13</v>
      </c>
      <c r="P30" s="10">
        <f t="shared" si="2"/>
        <v>6135</v>
      </c>
    </row>
    <row r="31" spans="1:26" ht="18" customHeight="1" thickTop="1" thickBot="1" x14ac:dyDescent="0.35">
      <c r="A31" s="6">
        <v>26</v>
      </c>
      <c r="B31" s="7">
        <v>5984</v>
      </c>
      <c r="C31" s="7">
        <v>0</v>
      </c>
      <c r="D31" s="7">
        <v>813</v>
      </c>
      <c r="E31" s="7">
        <v>104</v>
      </c>
      <c r="F31" s="7">
        <v>79</v>
      </c>
      <c r="G31" s="7">
        <v>229</v>
      </c>
      <c r="H31" s="7">
        <f t="shared" si="1"/>
        <v>7209</v>
      </c>
      <c r="I31" s="7">
        <v>0</v>
      </c>
      <c r="J31" s="12"/>
      <c r="K31" s="6">
        <v>26</v>
      </c>
      <c r="L31" s="9">
        <v>0</v>
      </c>
      <c r="M31" s="9">
        <v>4</v>
      </c>
      <c r="N31" s="9">
        <v>0</v>
      </c>
      <c r="O31" s="7">
        <f t="shared" si="0"/>
        <v>4</v>
      </c>
      <c r="P31" s="10">
        <f t="shared" si="2"/>
        <v>6135</v>
      </c>
    </row>
    <row r="32" spans="1:26" ht="18" customHeight="1" thickTop="1" thickBot="1" x14ac:dyDescent="0.35">
      <c r="A32" s="6">
        <v>27</v>
      </c>
      <c r="B32" s="7">
        <v>2748</v>
      </c>
      <c r="C32" s="7">
        <v>0</v>
      </c>
      <c r="D32" s="7">
        <v>1065</v>
      </c>
      <c r="E32" s="7">
        <v>156</v>
      </c>
      <c r="F32" s="7">
        <v>185</v>
      </c>
      <c r="G32" s="7">
        <v>319</v>
      </c>
      <c r="H32" s="7">
        <f t="shared" si="1"/>
        <v>4473</v>
      </c>
      <c r="I32" s="7">
        <v>0</v>
      </c>
      <c r="J32" s="12"/>
      <c r="K32" s="6">
        <v>27</v>
      </c>
      <c r="L32" s="9">
        <v>0</v>
      </c>
      <c r="M32" s="9">
        <v>10</v>
      </c>
      <c r="N32" s="9">
        <v>0</v>
      </c>
      <c r="O32" s="7">
        <f t="shared" si="0"/>
        <v>10</v>
      </c>
      <c r="P32" s="10">
        <f t="shared" si="2"/>
        <v>6135</v>
      </c>
    </row>
    <row r="33" spans="1:16" ht="18" customHeight="1" thickTop="1" thickBot="1" x14ac:dyDescent="0.35">
      <c r="A33" s="6">
        <v>28</v>
      </c>
      <c r="B33" s="7">
        <v>2481</v>
      </c>
      <c r="C33" s="7">
        <v>0</v>
      </c>
      <c r="D33" s="7">
        <v>1220</v>
      </c>
      <c r="E33" s="7">
        <v>144</v>
      </c>
      <c r="F33" s="7">
        <v>179</v>
      </c>
      <c r="G33" s="7">
        <v>279</v>
      </c>
      <c r="H33" s="7">
        <f t="shared" si="1"/>
        <v>4303</v>
      </c>
      <c r="I33" s="7">
        <v>0</v>
      </c>
      <c r="J33" s="12"/>
      <c r="K33" s="6">
        <v>28</v>
      </c>
      <c r="L33" s="9">
        <v>0</v>
      </c>
      <c r="M33" s="9">
        <v>17</v>
      </c>
      <c r="N33" s="9">
        <v>11</v>
      </c>
      <c r="O33" s="7">
        <f>SUM(L33:N33)</f>
        <v>28</v>
      </c>
      <c r="P33" s="10">
        <f t="shared" si="2"/>
        <v>6135</v>
      </c>
    </row>
    <row r="34" spans="1:16" ht="18" customHeight="1" thickTop="1" thickBot="1" x14ac:dyDescent="0.35">
      <c r="A34" s="6">
        <v>29</v>
      </c>
      <c r="B34" s="7"/>
      <c r="C34" s="7"/>
      <c r="D34" s="7"/>
      <c r="E34" s="7"/>
      <c r="F34" s="7"/>
      <c r="G34" s="7"/>
      <c r="H34" s="7">
        <f t="shared" si="1"/>
        <v>0</v>
      </c>
      <c r="I34" s="7">
        <v>0</v>
      </c>
      <c r="J34" s="12"/>
      <c r="K34" s="6">
        <v>29</v>
      </c>
      <c r="L34" s="7"/>
      <c r="M34" s="7"/>
      <c r="N34" s="7"/>
      <c r="O34" s="7">
        <f t="shared" si="0"/>
        <v>0</v>
      </c>
      <c r="P34" s="10">
        <f t="shared" si="2"/>
        <v>6135</v>
      </c>
    </row>
    <row r="35" spans="1:16" ht="18" customHeight="1" thickTop="1" thickBot="1" x14ac:dyDescent="0.35">
      <c r="A35" s="6">
        <v>30</v>
      </c>
      <c r="B35" s="7"/>
      <c r="C35" s="7"/>
      <c r="D35" s="7"/>
      <c r="E35" s="7"/>
      <c r="F35" s="7"/>
      <c r="G35" s="7"/>
      <c r="H35" s="7">
        <f t="shared" si="1"/>
        <v>0</v>
      </c>
      <c r="I35" s="7">
        <v>0</v>
      </c>
      <c r="J35" s="12"/>
      <c r="K35" s="6">
        <v>30</v>
      </c>
      <c r="L35" s="7"/>
      <c r="M35" s="7"/>
      <c r="N35" s="7"/>
      <c r="O35" s="7">
        <f t="shared" si="0"/>
        <v>0</v>
      </c>
      <c r="P35" s="10">
        <f t="shared" si="2"/>
        <v>6135</v>
      </c>
    </row>
    <row r="36" spans="1:16" ht="18" customHeight="1" thickTop="1" thickBot="1" x14ac:dyDescent="0.35">
      <c r="A36" s="6">
        <v>31</v>
      </c>
      <c r="B36" s="7"/>
      <c r="C36" s="7"/>
      <c r="D36" s="7"/>
      <c r="E36" s="7"/>
      <c r="F36" s="7"/>
      <c r="G36" s="7"/>
      <c r="H36" s="7">
        <f t="shared" si="1"/>
        <v>0</v>
      </c>
      <c r="I36" s="7">
        <v>0</v>
      </c>
      <c r="J36" s="12"/>
      <c r="K36" s="6">
        <v>31</v>
      </c>
      <c r="L36" s="7"/>
      <c r="M36" s="7"/>
      <c r="N36" s="7"/>
      <c r="O36" s="7">
        <f t="shared" si="0"/>
        <v>0</v>
      </c>
      <c r="P36" s="10">
        <f t="shared" si="2"/>
        <v>6135</v>
      </c>
    </row>
    <row r="37" spans="1:16" ht="18" customHeight="1" thickTop="1" x14ac:dyDescent="0.3">
      <c r="A37" s="4" t="s">
        <v>19</v>
      </c>
      <c r="B37" s="16">
        <f>SUM(B6:B36)</f>
        <v>99362</v>
      </c>
      <c r="C37" s="16">
        <f t="shared" ref="C37:H37" si="3">SUM(C6:C36)</f>
        <v>0</v>
      </c>
      <c r="D37" s="16">
        <f t="shared" si="3"/>
        <v>31933</v>
      </c>
      <c r="E37" s="16">
        <f t="shared" si="3"/>
        <v>4069</v>
      </c>
      <c r="F37" s="16">
        <f t="shared" si="3"/>
        <v>4851</v>
      </c>
      <c r="G37" s="16">
        <f t="shared" si="3"/>
        <v>8312</v>
      </c>
      <c r="H37" s="16">
        <f t="shared" si="3"/>
        <v>148527</v>
      </c>
      <c r="I37" s="16">
        <f>SUM(I6:I33)</f>
        <v>0</v>
      </c>
      <c r="J37" s="16"/>
      <c r="K37" s="16"/>
      <c r="L37" s="16">
        <f>SUM(L6:L36)</f>
        <v>44</v>
      </c>
      <c r="M37" s="16">
        <f>SUM(M6:M36)</f>
        <v>369</v>
      </c>
      <c r="N37" s="16">
        <f>SUM(N6:N36)</f>
        <v>88</v>
      </c>
      <c r="O37" s="16"/>
    </row>
    <row r="38" spans="1:16" ht="18" customHeight="1" x14ac:dyDescent="0.3">
      <c r="A38" s="4" t="s">
        <v>19</v>
      </c>
      <c r="B38" s="80">
        <f>+B37+C37</f>
        <v>99362</v>
      </c>
      <c r="C38" s="80"/>
      <c r="D38" s="16">
        <f>+D37</f>
        <v>31933</v>
      </c>
      <c r="E38" s="16">
        <f>+E37</f>
        <v>4069</v>
      </c>
      <c r="F38" s="16">
        <f>+F37</f>
        <v>4851</v>
      </c>
      <c r="G38" s="16">
        <f>+G37</f>
        <v>8312</v>
      </c>
      <c r="H38" s="73">
        <f>+H37</f>
        <v>148527</v>
      </c>
      <c r="I38" s="16">
        <v>0</v>
      </c>
      <c r="J38" s="17"/>
      <c r="K38" s="4"/>
      <c r="L38" s="18" t="s">
        <v>20</v>
      </c>
      <c r="M38" s="18" t="s">
        <v>21</v>
      </c>
      <c r="N38" s="74">
        <f>SUM(L37:N37)</f>
        <v>501</v>
      </c>
      <c r="O38" s="18" t="s">
        <v>21</v>
      </c>
    </row>
    <row r="39" spans="1:16" ht="18" customHeight="1" x14ac:dyDescent="0.3">
      <c r="A39" s="19" t="s">
        <v>22</v>
      </c>
      <c r="B39" s="20"/>
      <c r="C39" s="20"/>
      <c r="D39" s="20"/>
      <c r="E39" s="20"/>
      <c r="F39" s="20"/>
      <c r="G39" s="20"/>
      <c r="H39" s="20"/>
      <c r="L39" s="22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2"/>
      <c r="K40" s="25"/>
      <c r="L40" s="26"/>
    </row>
    <row r="41" spans="1:16" x14ac:dyDescent="0.3">
      <c r="A41" s="11"/>
      <c r="H41" s="11"/>
      <c r="K41" s="25"/>
      <c r="L41" s="26"/>
    </row>
    <row r="42" spans="1:16" x14ac:dyDescent="0.3">
      <c r="K42" s="25"/>
      <c r="L42" s="26"/>
    </row>
    <row r="43" spans="1:16" x14ac:dyDescent="0.3">
      <c r="I43" s="11"/>
      <c r="J43" s="11"/>
    </row>
    <row r="45" spans="1:16" x14ac:dyDescent="0.3">
      <c r="A45" s="27"/>
    </row>
    <row r="46" spans="1:16" x14ac:dyDescent="0.3">
      <c r="A46" s="27"/>
      <c r="B46" s="11"/>
      <c r="C46" s="11"/>
      <c r="D46" s="11"/>
      <c r="E46" s="11"/>
      <c r="F46" s="11"/>
      <c r="G46" s="11"/>
      <c r="H46" s="11"/>
      <c r="I46" s="11"/>
      <c r="J46" s="11"/>
      <c r="K46" s="28"/>
      <c r="L46" s="11"/>
      <c r="M46" s="11"/>
      <c r="N46" s="11"/>
      <c r="O46" s="11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  <ignoredErrors>
    <ignoredError sqref="I37 H6:H33 O6:O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7C78-BE21-4E38-9072-4F3AAB8FB2C1}">
  <dimension ref="A1:Z46"/>
  <sheetViews>
    <sheetView workbookViewId="0">
      <selection activeCell="R4" sqref="R4"/>
    </sheetView>
  </sheetViews>
  <sheetFormatPr baseColWidth="10" defaultColWidth="11.44140625" defaultRowHeight="13.8" x14ac:dyDescent="0.3"/>
  <cols>
    <col min="1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s="1" customFormat="1" ht="15.6" x14ac:dyDescent="0.3">
      <c r="A3" s="82" t="s">
        <v>24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9" ht="78" customHeight="1" x14ac:dyDescent="0.3">
      <c r="A4" s="83" t="s">
        <v>1</v>
      </c>
      <c r="B4" s="79" t="s">
        <v>2</v>
      </c>
      <c r="C4" s="79"/>
      <c r="D4" s="2" t="s">
        <v>3</v>
      </c>
      <c r="E4" s="2" t="s">
        <v>4</v>
      </c>
      <c r="F4" s="2" t="s">
        <v>5</v>
      </c>
      <c r="G4" s="2" t="s">
        <v>6</v>
      </c>
      <c r="H4" s="79" t="s">
        <v>7</v>
      </c>
      <c r="I4" s="79" t="s">
        <v>8</v>
      </c>
      <c r="J4" s="3"/>
      <c r="K4" s="85" t="s">
        <v>1</v>
      </c>
      <c r="L4" s="79" t="s">
        <v>9</v>
      </c>
      <c r="M4" s="79" t="s">
        <v>10</v>
      </c>
      <c r="N4" s="79" t="s">
        <v>11</v>
      </c>
      <c r="O4" s="79" t="s">
        <v>12</v>
      </c>
    </row>
    <row r="5" spans="1:19" ht="18" customHeight="1" x14ac:dyDescent="0.3">
      <c r="A5" s="84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79"/>
      <c r="I5" s="79"/>
      <c r="J5" s="3"/>
      <c r="K5" s="85"/>
      <c r="L5" s="79"/>
      <c r="M5" s="79"/>
      <c r="N5" s="79"/>
      <c r="O5" s="79"/>
    </row>
    <row r="6" spans="1:19" ht="18" customHeight="1" thickBot="1" x14ac:dyDescent="0.35">
      <c r="A6" s="6">
        <v>1</v>
      </c>
      <c r="B6" s="7">
        <v>2394</v>
      </c>
      <c r="C6" s="7">
        <v>0</v>
      </c>
      <c r="D6" s="7">
        <v>1205</v>
      </c>
      <c r="E6" s="7">
        <v>148</v>
      </c>
      <c r="F6" s="7">
        <v>173</v>
      </c>
      <c r="G6" s="7">
        <v>292</v>
      </c>
      <c r="H6" s="7">
        <f>SUM(B6:G6)</f>
        <v>4212</v>
      </c>
      <c r="I6" s="7">
        <v>0</v>
      </c>
      <c r="J6" s="8"/>
      <c r="K6" s="6">
        <v>1</v>
      </c>
      <c r="L6" s="9">
        <v>0</v>
      </c>
      <c r="M6" s="9">
        <v>22</v>
      </c>
      <c r="N6" s="9">
        <v>3</v>
      </c>
      <c r="O6" s="7">
        <f>SUM(L6:N6)</f>
        <v>25</v>
      </c>
      <c r="P6" s="10">
        <v>6135</v>
      </c>
    </row>
    <row r="7" spans="1:19" ht="18" customHeight="1" thickTop="1" thickBot="1" x14ac:dyDescent="0.35">
      <c r="A7" s="6">
        <v>2</v>
      </c>
      <c r="B7" s="7">
        <v>2723</v>
      </c>
      <c r="C7" s="7">
        <v>0</v>
      </c>
      <c r="D7" s="7">
        <v>1239</v>
      </c>
      <c r="E7" s="7">
        <v>133</v>
      </c>
      <c r="F7" s="7">
        <v>185</v>
      </c>
      <c r="G7" s="7">
        <v>282</v>
      </c>
      <c r="H7" s="7">
        <f>SUM(B7:G7)</f>
        <v>4562</v>
      </c>
      <c r="I7" s="7">
        <v>0</v>
      </c>
      <c r="J7" s="8"/>
      <c r="K7" s="6">
        <v>2</v>
      </c>
      <c r="L7" s="9">
        <v>0</v>
      </c>
      <c r="M7" s="9">
        <v>19</v>
      </c>
      <c r="N7" s="9">
        <v>7</v>
      </c>
      <c r="O7" s="7">
        <f t="shared" ref="O7:O36" si="0">SUM(L7:N7)</f>
        <v>26</v>
      </c>
      <c r="P7" s="10">
        <f>+P6</f>
        <v>6135</v>
      </c>
    </row>
    <row r="8" spans="1:19" ht="18" customHeight="1" thickTop="1" thickBot="1" x14ac:dyDescent="0.35">
      <c r="A8" s="6">
        <v>3</v>
      </c>
      <c r="B8" s="7">
        <v>4167</v>
      </c>
      <c r="C8" s="7">
        <v>0</v>
      </c>
      <c r="D8" s="7">
        <v>1151</v>
      </c>
      <c r="E8" s="7">
        <v>111</v>
      </c>
      <c r="F8" s="7">
        <v>169</v>
      </c>
      <c r="G8" s="7">
        <v>250</v>
      </c>
      <c r="H8" s="7">
        <f t="shared" ref="H8:H36" si="1">SUM(B8:G8)</f>
        <v>5848</v>
      </c>
      <c r="I8" s="7">
        <v>0</v>
      </c>
      <c r="J8" s="8"/>
      <c r="K8" s="6">
        <v>3</v>
      </c>
      <c r="L8" s="9">
        <v>2</v>
      </c>
      <c r="M8" s="9">
        <v>26</v>
      </c>
      <c r="N8" s="9">
        <v>3</v>
      </c>
      <c r="O8" s="7">
        <f t="shared" si="0"/>
        <v>31</v>
      </c>
      <c r="P8" s="10">
        <f t="shared" ref="P8:P36" si="2">+P7</f>
        <v>6135</v>
      </c>
      <c r="S8" s="11"/>
    </row>
    <row r="9" spans="1:19" ht="18" customHeight="1" thickTop="1" thickBot="1" x14ac:dyDescent="0.35">
      <c r="A9" s="6">
        <v>4</v>
      </c>
      <c r="B9" s="7">
        <v>4127</v>
      </c>
      <c r="C9" s="7">
        <v>0</v>
      </c>
      <c r="D9" s="7">
        <v>1014</v>
      </c>
      <c r="E9" s="7">
        <v>136</v>
      </c>
      <c r="F9" s="7">
        <v>129</v>
      </c>
      <c r="G9" s="7">
        <v>232</v>
      </c>
      <c r="H9" s="7">
        <f t="shared" si="1"/>
        <v>5638</v>
      </c>
      <c r="I9" s="7">
        <v>0</v>
      </c>
      <c r="J9" s="8"/>
      <c r="K9" s="6">
        <v>4</v>
      </c>
      <c r="L9" s="9">
        <v>2</v>
      </c>
      <c r="M9" s="9">
        <v>10</v>
      </c>
      <c r="N9" s="9">
        <v>2</v>
      </c>
      <c r="O9" s="7">
        <f t="shared" si="0"/>
        <v>14</v>
      </c>
      <c r="P9" s="10">
        <f t="shared" si="2"/>
        <v>6135</v>
      </c>
    </row>
    <row r="10" spans="1:19" ht="18" customHeight="1" thickTop="1" thickBot="1" x14ac:dyDescent="0.35">
      <c r="A10" s="6">
        <v>5</v>
      </c>
      <c r="B10" s="7">
        <v>5826</v>
      </c>
      <c r="C10" s="7">
        <v>0</v>
      </c>
      <c r="D10" s="7">
        <v>877</v>
      </c>
      <c r="E10" s="7">
        <v>107</v>
      </c>
      <c r="F10" s="7">
        <v>82</v>
      </c>
      <c r="G10" s="7">
        <v>214</v>
      </c>
      <c r="H10" s="7">
        <f t="shared" si="1"/>
        <v>7106</v>
      </c>
      <c r="I10" s="7">
        <v>0</v>
      </c>
      <c r="J10" s="8"/>
      <c r="K10" s="6">
        <v>5</v>
      </c>
      <c r="L10" s="9">
        <v>0</v>
      </c>
      <c r="M10" s="9">
        <v>6</v>
      </c>
      <c r="N10" s="9">
        <v>1</v>
      </c>
      <c r="O10" s="7">
        <f t="shared" si="0"/>
        <v>7</v>
      </c>
      <c r="P10" s="10">
        <f t="shared" si="2"/>
        <v>6135</v>
      </c>
    </row>
    <row r="11" spans="1:19" ht="18" customHeight="1" thickTop="1" thickBot="1" x14ac:dyDescent="0.35">
      <c r="A11" s="6">
        <v>6</v>
      </c>
      <c r="B11" s="7">
        <v>2534</v>
      </c>
      <c r="C11" s="7">
        <v>0</v>
      </c>
      <c r="D11" s="7">
        <v>1093</v>
      </c>
      <c r="E11" s="7">
        <v>156</v>
      </c>
      <c r="F11" s="7">
        <v>153</v>
      </c>
      <c r="G11" s="7">
        <v>269</v>
      </c>
      <c r="H11" s="7">
        <f t="shared" si="1"/>
        <v>4205</v>
      </c>
      <c r="I11" s="7">
        <v>0</v>
      </c>
      <c r="J11" s="8"/>
      <c r="K11" s="6">
        <v>6</v>
      </c>
      <c r="L11" s="9">
        <v>0</v>
      </c>
      <c r="M11" s="9">
        <v>13</v>
      </c>
      <c r="N11" s="9">
        <v>2</v>
      </c>
      <c r="O11" s="7">
        <f t="shared" si="0"/>
        <v>15</v>
      </c>
      <c r="P11" s="10">
        <f t="shared" si="2"/>
        <v>6135</v>
      </c>
    </row>
    <row r="12" spans="1:19" ht="18" customHeight="1" thickTop="1" thickBot="1" x14ac:dyDescent="0.35">
      <c r="A12" s="6">
        <v>7</v>
      </c>
      <c r="B12" s="7">
        <v>2536</v>
      </c>
      <c r="C12" s="7">
        <v>0</v>
      </c>
      <c r="D12" s="7">
        <v>1231</v>
      </c>
      <c r="E12" s="7">
        <v>134</v>
      </c>
      <c r="F12" s="7">
        <v>157</v>
      </c>
      <c r="G12" s="7">
        <v>321</v>
      </c>
      <c r="H12" s="7">
        <f t="shared" si="1"/>
        <v>4379</v>
      </c>
      <c r="I12" s="7">
        <v>0</v>
      </c>
      <c r="J12" s="12"/>
      <c r="K12" s="6">
        <v>7</v>
      </c>
      <c r="L12" s="9">
        <v>0</v>
      </c>
      <c r="M12" s="9">
        <v>12</v>
      </c>
      <c r="N12" s="9">
        <v>2</v>
      </c>
      <c r="O12" s="7">
        <f t="shared" si="0"/>
        <v>14</v>
      </c>
      <c r="P12" s="10">
        <f t="shared" si="2"/>
        <v>6135</v>
      </c>
    </row>
    <row r="13" spans="1:19" ht="18" customHeight="1" thickTop="1" thickBot="1" x14ac:dyDescent="0.35">
      <c r="A13" s="6">
        <v>8</v>
      </c>
      <c r="B13" s="7">
        <v>2332</v>
      </c>
      <c r="C13" s="7">
        <v>0</v>
      </c>
      <c r="D13" s="7">
        <v>1262</v>
      </c>
      <c r="E13" s="7">
        <v>174</v>
      </c>
      <c r="F13" s="7">
        <v>217</v>
      </c>
      <c r="G13" s="7">
        <v>312</v>
      </c>
      <c r="H13" s="7">
        <f t="shared" si="1"/>
        <v>4297</v>
      </c>
      <c r="I13" s="7">
        <v>0</v>
      </c>
      <c r="J13" s="12"/>
      <c r="K13" s="6">
        <v>8</v>
      </c>
      <c r="L13" s="9">
        <v>0</v>
      </c>
      <c r="M13" s="9">
        <v>13</v>
      </c>
      <c r="N13" s="9">
        <v>3</v>
      </c>
      <c r="O13" s="7">
        <f t="shared" si="0"/>
        <v>16</v>
      </c>
      <c r="P13" s="10">
        <f t="shared" si="2"/>
        <v>6135</v>
      </c>
    </row>
    <row r="14" spans="1:19" s="14" customFormat="1" ht="18" customHeight="1" thickTop="1" thickBot="1" x14ac:dyDescent="0.35">
      <c r="A14" s="6">
        <v>9</v>
      </c>
      <c r="B14" s="7">
        <v>2634</v>
      </c>
      <c r="C14" s="7">
        <v>0</v>
      </c>
      <c r="D14" s="7">
        <v>1231</v>
      </c>
      <c r="E14" s="7">
        <v>151</v>
      </c>
      <c r="F14" s="7">
        <v>170</v>
      </c>
      <c r="G14" s="7">
        <v>326</v>
      </c>
      <c r="H14" s="7">
        <f t="shared" si="1"/>
        <v>4512</v>
      </c>
      <c r="I14" s="7">
        <v>0</v>
      </c>
      <c r="J14" s="12"/>
      <c r="K14" s="6">
        <v>9</v>
      </c>
      <c r="L14" s="9">
        <v>3</v>
      </c>
      <c r="M14" s="9">
        <v>25</v>
      </c>
      <c r="N14" s="9">
        <v>5</v>
      </c>
      <c r="O14" s="7">
        <f t="shared" si="0"/>
        <v>33</v>
      </c>
      <c r="P14" s="13">
        <f t="shared" si="2"/>
        <v>6135</v>
      </c>
    </row>
    <row r="15" spans="1:19" ht="18" customHeight="1" thickTop="1" thickBot="1" x14ac:dyDescent="0.35">
      <c r="A15" s="6">
        <v>10</v>
      </c>
      <c r="B15" s="7">
        <v>3709</v>
      </c>
      <c r="C15" s="7">
        <v>0</v>
      </c>
      <c r="D15" s="7">
        <v>1133</v>
      </c>
      <c r="E15" s="7">
        <v>155</v>
      </c>
      <c r="F15" s="7">
        <v>173</v>
      </c>
      <c r="G15" s="7">
        <v>304</v>
      </c>
      <c r="H15" s="7">
        <f t="shared" si="1"/>
        <v>5474</v>
      </c>
      <c r="I15" s="7">
        <v>0</v>
      </c>
      <c r="J15" s="12"/>
      <c r="K15" s="6">
        <v>10</v>
      </c>
      <c r="L15" s="9">
        <v>2</v>
      </c>
      <c r="M15" s="9">
        <v>22</v>
      </c>
      <c r="N15" s="9">
        <v>3</v>
      </c>
      <c r="O15" s="7">
        <f t="shared" si="0"/>
        <v>27</v>
      </c>
      <c r="P15" s="10">
        <f t="shared" si="2"/>
        <v>6135</v>
      </c>
    </row>
    <row r="16" spans="1:19" ht="18" customHeight="1" thickTop="1" thickBot="1" x14ac:dyDescent="0.35">
      <c r="A16" s="6">
        <v>11</v>
      </c>
      <c r="B16" s="7">
        <v>3566</v>
      </c>
      <c r="C16" s="7">
        <v>0</v>
      </c>
      <c r="D16" s="7">
        <v>1033</v>
      </c>
      <c r="E16" s="7">
        <v>119</v>
      </c>
      <c r="F16" s="7">
        <v>158</v>
      </c>
      <c r="G16" s="7">
        <v>221</v>
      </c>
      <c r="H16" s="7">
        <f t="shared" si="1"/>
        <v>5097</v>
      </c>
      <c r="I16" s="7">
        <v>0</v>
      </c>
      <c r="J16" s="12"/>
      <c r="K16" s="6">
        <v>11</v>
      </c>
      <c r="L16" s="9">
        <v>1</v>
      </c>
      <c r="M16" s="9">
        <v>10</v>
      </c>
      <c r="N16" s="9">
        <v>1</v>
      </c>
      <c r="O16" s="7">
        <f t="shared" si="0"/>
        <v>12</v>
      </c>
      <c r="P16" s="10">
        <f t="shared" si="2"/>
        <v>6135</v>
      </c>
    </row>
    <row r="17" spans="1:26" ht="18" customHeight="1" thickTop="1" thickBot="1" x14ac:dyDescent="0.35">
      <c r="A17" s="6">
        <v>12</v>
      </c>
      <c r="B17" s="7">
        <v>4813</v>
      </c>
      <c r="C17" s="7">
        <v>0</v>
      </c>
      <c r="D17" s="7">
        <v>874</v>
      </c>
      <c r="E17" s="7">
        <v>121</v>
      </c>
      <c r="F17" s="7">
        <v>105</v>
      </c>
      <c r="G17" s="7">
        <v>208</v>
      </c>
      <c r="H17" s="7">
        <f t="shared" si="1"/>
        <v>6121</v>
      </c>
      <c r="I17" s="7">
        <v>0</v>
      </c>
      <c r="J17" s="12"/>
      <c r="K17" s="6">
        <v>12</v>
      </c>
      <c r="L17" s="9">
        <v>0</v>
      </c>
      <c r="M17" s="9">
        <v>2</v>
      </c>
      <c r="N17" s="9">
        <v>2</v>
      </c>
      <c r="O17" s="7">
        <f t="shared" si="0"/>
        <v>4</v>
      </c>
      <c r="P17" s="10">
        <f t="shared" si="2"/>
        <v>6135</v>
      </c>
    </row>
    <row r="18" spans="1:26" ht="18" customHeight="1" thickTop="1" thickBot="1" x14ac:dyDescent="0.35">
      <c r="A18" s="6">
        <v>13</v>
      </c>
      <c r="B18" s="7">
        <v>2637</v>
      </c>
      <c r="C18" s="7">
        <v>0</v>
      </c>
      <c r="D18" s="7">
        <v>1069</v>
      </c>
      <c r="E18" s="7">
        <v>143</v>
      </c>
      <c r="F18" s="7">
        <v>167</v>
      </c>
      <c r="G18" s="7">
        <v>252</v>
      </c>
      <c r="H18" s="7">
        <f t="shared" si="1"/>
        <v>4268</v>
      </c>
      <c r="I18" s="7">
        <v>0</v>
      </c>
      <c r="J18" s="12"/>
      <c r="K18" s="6">
        <v>13</v>
      </c>
      <c r="L18" s="9">
        <v>1</v>
      </c>
      <c r="M18" s="9">
        <v>18</v>
      </c>
      <c r="N18" s="9">
        <v>3</v>
      </c>
      <c r="O18" s="7">
        <f t="shared" si="0"/>
        <v>22</v>
      </c>
      <c r="P18" s="10">
        <f t="shared" si="2"/>
        <v>6135</v>
      </c>
    </row>
    <row r="19" spans="1:26" ht="18" customHeight="1" thickTop="1" thickBot="1" x14ac:dyDescent="0.35">
      <c r="A19" s="6">
        <v>14</v>
      </c>
      <c r="B19" s="7">
        <v>2343</v>
      </c>
      <c r="C19" s="7">
        <v>0</v>
      </c>
      <c r="D19" s="7">
        <v>1189</v>
      </c>
      <c r="E19" s="7">
        <v>172</v>
      </c>
      <c r="F19" s="7">
        <v>179</v>
      </c>
      <c r="G19" s="7">
        <v>263</v>
      </c>
      <c r="H19" s="7">
        <f t="shared" si="1"/>
        <v>4146</v>
      </c>
      <c r="I19" s="7">
        <v>0</v>
      </c>
      <c r="J19" s="12"/>
      <c r="K19" s="6">
        <v>14</v>
      </c>
      <c r="L19" s="9">
        <v>1</v>
      </c>
      <c r="M19" s="9">
        <v>14</v>
      </c>
      <c r="N19" s="9">
        <v>6</v>
      </c>
      <c r="O19" s="7">
        <f t="shared" si="0"/>
        <v>21</v>
      </c>
      <c r="P19" s="10">
        <f t="shared" si="2"/>
        <v>6135</v>
      </c>
    </row>
    <row r="20" spans="1:26" ht="18" customHeight="1" thickTop="1" thickBot="1" x14ac:dyDescent="0.35">
      <c r="A20" s="6">
        <v>15</v>
      </c>
      <c r="B20" s="7">
        <v>2512</v>
      </c>
      <c r="C20" s="7">
        <v>0</v>
      </c>
      <c r="D20" s="7">
        <v>1302</v>
      </c>
      <c r="E20" s="7">
        <v>171</v>
      </c>
      <c r="F20" s="7">
        <v>225</v>
      </c>
      <c r="G20" s="7">
        <v>351</v>
      </c>
      <c r="H20" s="7">
        <f t="shared" si="1"/>
        <v>4561</v>
      </c>
      <c r="I20" s="7">
        <v>0</v>
      </c>
      <c r="J20" s="12"/>
      <c r="K20" s="6">
        <v>15</v>
      </c>
      <c r="L20" s="9">
        <v>2</v>
      </c>
      <c r="M20" s="9">
        <v>14</v>
      </c>
      <c r="N20" s="9">
        <v>4</v>
      </c>
      <c r="O20" s="7">
        <f t="shared" si="0"/>
        <v>20</v>
      </c>
      <c r="P20" s="10">
        <f t="shared" si="2"/>
        <v>6135</v>
      </c>
    </row>
    <row r="21" spans="1:26" ht="18" customHeight="1" thickTop="1" thickBot="1" x14ac:dyDescent="0.35">
      <c r="A21" s="6">
        <v>16</v>
      </c>
      <c r="B21" s="7">
        <v>3169</v>
      </c>
      <c r="C21" s="7">
        <v>0</v>
      </c>
      <c r="D21" s="7">
        <v>1267</v>
      </c>
      <c r="E21" s="7">
        <v>137</v>
      </c>
      <c r="F21" s="7">
        <v>206</v>
      </c>
      <c r="G21" s="7">
        <v>322</v>
      </c>
      <c r="H21" s="7">
        <f t="shared" si="1"/>
        <v>5101</v>
      </c>
      <c r="I21" s="7">
        <v>0</v>
      </c>
      <c r="J21" s="12"/>
      <c r="K21" s="6">
        <v>16</v>
      </c>
      <c r="L21" s="9">
        <v>2</v>
      </c>
      <c r="M21" s="9">
        <v>16</v>
      </c>
      <c r="N21" s="9">
        <v>4</v>
      </c>
      <c r="O21" s="7">
        <f t="shared" si="0"/>
        <v>22</v>
      </c>
      <c r="P21" s="10">
        <f>+P20</f>
        <v>6135</v>
      </c>
    </row>
    <row r="22" spans="1:26" ht="18" customHeight="1" thickTop="1" thickBot="1" x14ac:dyDescent="0.35">
      <c r="A22" s="6">
        <v>17</v>
      </c>
      <c r="B22" s="7">
        <v>7071</v>
      </c>
      <c r="C22" s="7">
        <v>0</v>
      </c>
      <c r="D22" s="7">
        <v>1264</v>
      </c>
      <c r="E22" s="7">
        <v>176</v>
      </c>
      <c r="F22" s="7">
        <v>209</v>
      </c>
      <c r="G22" s="7">
        <v>288</v>
      </c>
      <c r="H22" s="7">
        <f t="shared" si="1"/>
        <v>9008</v>
      </c>
      <c r="I22" s="7">
        <v>0</v>
      </c>
      <c r="J22" s="12"/>
      <c r="K22" s="6">
        <v>17</v>
      </c>
      <c r="L22" s="9">
        <v>1</v>
      </c>
      <c r="M22" s="9">
        <v>18</v>
      </c>
      <c r="N22" s="9">
        <v>3</v>
      </c>
      <c r="O22" s="7">
        <f t="shared" si="0"/>
        <v>22</v>
      </c>
      <c r="P22" s="10">
        <f t="shared" si="2"/>
        <v>6135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 thickTop="1" thickBot="1" x14ac:dyDescent="0.35">
      <c r="A23" s="6">
        <v>18</v>
      </c>
      <c r="B23" s="7">
        <v>8294</v>
      </c>
      <c r="C23" s="7">
        <v>0</v>
      </c>
      <c r="D23" s="7">
        <v>1034</v>
      </c>
      <c r="E23" s="7">
        <v>77</v>
      </c>
      <c r="F23" s="7">
        <v>113</v>
      </c>
      <c r="G23" s="7">
        <v>159</v>
      </c>
      <c r="H23" s="7">
        <f t="shared" si="1"/>
        <v>9677</v>
      </c>
      <c r="I23" s="7">
        <v>0</v>
      </c>
      <c r="J23" s="12"/>
      <c r="K23" s="6">
        <v>18</v>
      </c>
      <c r="L23" s="9">
        <v>3</v>
      </c>
      <c r="M23" s="9">
        <v>17</v>
      </c>
      <c r="N23" s="9">
        <v>1</v>
      </c>
      <c r="O23" s="7">
        <f t="shared" si="0"/>
        <v>21</v>
      </c>
      <c r="P23" s="10">
        <f t="shared" si="2"/>
        <v>6135</v>
      </c>
    </row>
    <row r="24" spans="1:26" ht="18" customHeight="1" thickTop="1" thickBot="1" x14ac:dyDescent="0.35">
      <c r="A24" s="6">
        <v>19</v>
      </c>
      <c r="B24" s="7">
        <v>7458</v>
      </c>
      <c r="C24" s="7">
        <v>0</v>
      </c>
      <c r="D24" s="7">
        <v>900</v>
      </c>
      <c r="E24" s="7">
        <v>106</v>
      </c>
      <c r="F24" s="7">
        <v>99</v>
      </c>
      <c r="G24" s="7">
        <v>225</v>
      </c>
      <c r="H24" s="7">
        <f t="shared" si="1"/>
        <v>8788</v>
      </c>
      <c r="I24" s="7">
        <v>0</v>
      </c>
      <c r="J24" s="12"/>
      <c r="K24" s="6">
        <v>19</v>
      </c>
      <c r="L24" s="9">
        <v>2</v>
      </c>
      <c r="M24" s="9">
        <v>3</v>
      </c>
      <c r="N24" s="9">
        <v>2</v>
      </c>
      <c r="O24" s="7">
        <f t="shared" si="0"/>
        <v>7</v>
      </c>
      <c r="P24" s="10">
        <f t="shared" si="2"/>
        <v>6135</v>
      </c>
    </row>
    <row r="25" spans="1:26" ht="18" customHeight="1" thickTop="1" thickBot="1" x14ac:dyDescent="0.35">
      <c r="A25" s="6">
        <v>20</v>
      </c>
      <c r="B25" s="7">
        <v>12323</v>
      </c>
      <c r="C25" s="7">
        <v>0</v>
      </c>
      <c r="D25" s="7">
        <v>720</v>
      </c>
      <c r="E25" s="7">
        <v>58</v>
      </c>
      <c r="F25" s="7">
        <v>39</v>
      </c>
      <c r="G25" s="7">
        <v>107</v>
      </c>
      <c r="H25" s="7">
        <f t="shared" si="1"/>
        <v>13247</v>
      </c>
      <c r="I25" s="7">
        <v>0</v>
      </c>
      <c r="J25" s="12"/>
      <c r="K25" s="6">
        <v>20</v>
      </c>
      <c r="L25" s="9">
        <v>0</v>
      </c>
      <c r="M25" s="9">
        <v>6</v>
      </c>
      <c r="N25" s="9">
        <v>1</v>
      </c>
      <c r="O25" s="7">
        <f t="shared" si="0"/>
        <v>7</v>
      </c>
      <c r="P25" s="10">
        <f t="shared" si="2"/>
        <v>6135</v>
      </c>
    </row>
    <row r="26" spans="1:26" ht="18" customHeight="1" thickTop="1" thickBot="1" x14ac:dyDescent="0.35">
      <c r="A26" s="6">
        <v>21</v>
      </c>
      <c r="B26" s="7">
        <v>2886</v>
      </c>
      <c r="C26" s="7">
        <v>0</v>
      </c>
      <c r="D26" s="7">
        <v>1148</v>
      </c>
      <c r="E26" s="7">
        <v>151</v>
      </c>
      <c r="F26" s="7">
        <v>206</v>
      </c>
      <c r="G26" s="7">
        <v>263</v>
      </c>
      <c r="H26" s="7">
        <f t="shared" si="1"/>
        <v>4654</v>
      </c>
      <c r="I26" s="7">
        <v>0</v>
      </c>
      <c r="J26" s="12"/>
      <c r="K26" s="6">
        <v>21</v>
      </c>
      <c r="L26" s="9">
        <v>1</v>
      </c>
      <c r="M26" s="9">
        <v>20</v>
      </c>
      <c r="N26" s="9">
        <v>2</v>
      </c>
      <c r="O26" s="7">
        <f t="shared" si="0"/>
        <v>23</v>
      </c>
      <c r="P26" s="10">
        <f t="shared" si="2"/>
        <v>6135</v>
      </c>
    </row>
    <row r="27" spans="1:26" ht="18" customHeight="1" thickTop="1" thickBot="1" x14ac:dyDescent="0.35">
      <c r="A27" s="6">
        <v>22</v>
      </c>
      <c r="B27" s="7">
        <v>2479</v>
      </c>
      <c r="C27" s="7">
        <v>0</v>
      </c>
      <c r="D27" s="7">
        <v>1265</v>
      </c>
      <c r="E27" s="7">
        <v>179</v>
      </c>
      <c r="F27" s="7">
        <v>204</v>
      </c>
      <c r="G27" s="7">
        <v>315</v>
      </c>
      <c r="H27" s="7">
        <f t="shared" si="1"/>
        <v>4442</v>
      </c>
      <c r="I27" s="7">
        <v>0</v>
      </c>
      <c r="J27" s="12"/>
      <c r="K27" s="6">
        <v>22</v>
      </c>
      <c r="L27" s="9">
        <v>0</v>
      </c>
      <c r="M27" s="9">
        <v>10</v>
      </c>
      <c r="N27" s="9">
        <v>7</v>
      </c>
      <c r="O27" s="7">
        <f t="shared" si="0"/>
        <v>17</v>
      </c>
      <c r="P27" s="10">
        <f t="shared" si="2"/>
        <v>6135</v>
      </c>
    </row>
    <row r="28" spans="1:26" ht="18" customHeight="1" thickTop="1" thickBot="1" x14ac:dyDescent="0.35">
      <c r="A28" s="6">
        <v>23</v>
      </c>
      <c r="B28" s="7">
        <v>2289</v>
      </c>
      <c r="C28" s="7">
        <v>0</v>
      </c>
      <c r="D28" s="7">
        <v>1182</v>
      </c>
      <c r="E28" s="7">
        <v>176</v>
      </c>
      <c r="F28" s="7">
        <v>222</v>
      </c>
      <c r="G28" s="7">
        <v>338</v>
      </c>
      <c r="H28" s="7">
        <f t="shared" si="1"/>
        <v>4207</v>
      </c>
      <c r="I28" s="7">
        <v>0</v>
      </c>
      <c r="J28" s="12"/>
      <c r="K28" s="6">
        <v>23</v>
      </c>
      <c r="L28" s="9">
        <v>3</v>
      </c>
      <c r="M28" s="9">
        <v>21</v>
      </c>
      <c r="N28" s="9">
        <v>4</v>
      </c>
      <c r="O28" s="7">
        <f t="shared" si="0"/>
        <v>28</v>
      </c>
      <c r="P28" s="10">
        <f t="shared" si="2"/>
        <v>6135</v>
      </c>
    </row>
    <row r="29" spans="1:26" ht="18" customHeight="1" thickTop="1" thickBot="1" x14ac:dyDescent="0.35">
      <c r="A29" s="6">
        <v>24</v>
      </c>
      <c r="B29" s="7">
        <v>3379</v>
      </c>
      <c r="C29" s="7">
        <v>0</v>
      </c>
      <c r="D29" s="7">
        <v>1123</v>
      </c>
      <c r="E29" s="7">
        <v>128</v>
      </c>
      <c r="F29" s="7">
        <v>175</v>
      </c>
      <c r="G29" s="7">
        <v>275</v>
      </c>
      <c r="H29" s="7">
        <f t="shared" si="1"/>
        <v>5080</v>
      </c>
      <c r="I29" s="7">
        <v>0</v>
      </c>
      <c r="J29" s="12"/>
      <c r="K29" s="6">
        <v>24</v>
      </c>
      <c r="L29" s="9">
        <v>0</v>
      </c>
      <c r="M29" s="9">
        <v>18</v>
      </c>
      <c r="N29" s="9">
        <v>3</v>
      </c>
      <c r="O29" s="7">
        <f t="shared" si="0"/>
        <v>21</v>
      </c>
      <c r="P29" s="10">
        <f t="shared" si="2"/>
        <v>6135</v>
      </c>
    </row>
    <row r="30" spans="1:26" ht="18" customHeight="1" thickTop="1" thickBot="1" x14ac:dyDescent="0.35">
      <c r="A30" s="6">
        <v>25</v>
      </c>
      <c r="B30" s="7">
        <v>3277</v>
      </c>
      <c r="C30" s="7">
        <v>0</v>
      </c>
      <c r="D30" s="7">
        <v>996</v>
      </c>
      <c r="E30" s="7">
        <v>121</v>
      </c>
      <c r="F30" s="7">
        <v>173</v>
      </c>
      <c r="G30" s="7">
        <v>249</v>
      </c>
      <c r="H30" s="7">
        <f t="shared" si="1"/>
        <v>4816</v>
      </c>
      <c r="I30" s="7">
        <v>0</v>
      </c>
      <c r="J30" s="12"/>
      <c r="K30" s="6">
        <v>25</v>
      </c>
      <c r="L30" s="9">
        <v>1</v>
      </c>
      <c r="M30" s="9">
        <v>15</v>
      </c>
      <c r="N30" s="9">
        <v>1</v>
      </c>
      <c r="O30" s="7">
        <f t="shared" si="0"/>
        <v>17</v>
      </c>
      <c r="P30" s="10">
        <f t="shared" si="2"/>
        <v>6135</v>
      </c>
    </row>
    <row r="31" spans="1:26" ht="18" customHeight="1" thickTop="1" thickBot="1" x14ac:dyDescent="0.35">
      <c r="A31" s="6">
        <v>26</v>
      </c>
      <c r="B31" s="7">
        <v>4213</v>
      </c>
      <c r="C31" s="7">
        <v>0</v>
      </c>
      <c r="D31" s="7">
        <v>850</v>
      </c>
      <c r="E31" s="7">
        <v>98</v>
      </c>
      <c r="F31" s="7">
        <v>99</v>
      </c>
      <c r="G31" s="7">
        <v>195</v>
      </c>
      <c r="H31" s="7">
        <f t="shared" si="1"/>
        <v>5455</v>
      </c>
      <c r="I31" s="7">
        <v>0</v>
      </c>
      <c r="J31" s="12"/>
      <c r="K31" s="6">
        <v>26</v>
      </c>
      <c r="L31" s="9">
        <v>1</v>
      </c>
      <c r="M31" s="9">
        <v>6</v>
      </c>
      <c r="N31" s="9">
        <v>0</v>
      </c>
      <c r="O31" s="7">
        <f t="shared" si="0"/>
        <v>7</v>
      </c>
      <c r="P31" s="10">
        <f t="shared" si="2"/>
        <v>6135</v>
      </c>
    </row>
    <row r="32" spans="1:26" ht="18" customHeight="1" thickTop="1" thickBot="1" x14ac:dyDescent="0.35">
      <c r="A32" s="6">
        <v>27</v>
      </c>
      <c r="B32" s="7">
        <v>2419</v>
      </c>
      <c r="C32" s="7">
        <v>0</v>
      </c>
      <c r="D32" s="7">
        <v>1057</v>
      </c>
      <c r="E32" s="7">
        <v>166</v>
      </c>
      <c r="F32" s="7">
        <v>181</v>
      </c>
      <c r="G32" s="7">
        <v>239</v>
      </c>
      <c r="H32" s="7">
        <f t="shared" si="1"/>
        <v>4062</v>
      </c>
      <c r="I32" s="7">
        <v>0</v>
      </c>
      <c r="J32" s="12"/>
      <c r="K32" s="6">
        <v>27</v>
      </c>
      <c r="L32" s="9">
        <v>0</v>
      </c>
      <c r="M32" s="9">
        <v>11</v>
      </c>
      <c r="N32" s="9">
        <v>2</v>
      </c>
      <c r="O32" s="7">
        <f t="shared" si="0"/>
        <v>13</v>
      </c>
      <c r="P32" s="10">
        <f t="shared" si="2"/>
        <v>6135</v>
      </c>
    </row>
    <row r="33" spans="1:16" ht="18" customHeight="1" thickTop="1" thickBot="1" x14ac:dyDescent="0.35">
      <c r="A33" s="6">
        <v>28</v>
      </c>
      <c r="B33" s="7">
        <v>2157</v>
      </c>
      <c r="C33" s="7">
        <v>0</v>
      </c>
      <c r="D33" s="7">
        <v>1177</v>
      </c>
      <c r="E33" s="7">
        <v>134</v>
      </c>
      <c r="F33" s="7">
        <v>196</v>
      </c>
      <c r="G33" s="7">
        <v>287</v>
      </c>
      <c r="H33" s="7">
        <f t="shared" si="1"/>
        <v>3951</v>
      </c>
      <c r="I33" s="7">
        <v>0</v>
      </c>
      <c r="J33" s="12"/>
      <c r="K33" s="6">
        <v>28</v>
      </c>
      <c r="L33" s="9">
        <v>0</v>
      </c>
      <c r="M33" s="9">
        <v>14</v>
      </c>
      <c r="N33" s="9">
        <v>5</v>
      </c>
      <c r="O33" s="7">
        <f>SUM(L33:N33)</f>
        <v>19</v>
      </c>
      <c r="P33" s="10">
        <f t="shared" si="2"/>
        <v>6135</v>
      </c>
    </row>
    <row r="34" spans="1:16" ht="18" customHeight="1" thickTop="1" thickBot="1" x14ac:dyDescent="0.35">
      <c r="A34" s="6">
        <v>29</v>
      </c>
      <c r="B34" s="7">
        <v>2329</v>
      </c>
      <c r="C34" s="7">
        <v>0</v>
      </c>
      <c r="D34" s="7">
        <v>1357</v>
      </c>
      <c r="E34" s="7">
        <v>162</v>
      </c>
      <c r="F34" s="7">
        <v>225</v>
      </c>
      <c r="G34" s="7">
        <v>366</v>
      </c>
      <c r="H34" s="7">
        <f t="shared" si="1"/>
        <v>4439</v>
      </c>
      <c r="I34" s="7">
        <v>0</v>
      </c>
      <c r="J34" s="12"/>
      <c r="K34" s="6">
        <v>29</v>
      </c>
      <c r="L34" s="7">
        <v>0</v>
      </c>
      <c r="M34" s="7">
        <v>17</v>
      </c>
      <c r="N34" s="7">
        <v>2</v>
      </c>
      <c r="O34" s="7">
        <f t="shared" si="0"/>
        <v>19</v>
      </c>
      <c r="P34" s="10">
        <f t="shared" si="2"/>
        <v>6135</v>
      </c>
    </row>
    <row r="35" spans="1:16" ht="18" customHeight="1" thickTop="1" thickBot="1" x14ac:dyDescent="0.35">
      <c r="A35" s="6">
        <v>30</v>
      </c>
      <c r="B35" s="7">
        <v>2535</v>
      </c>
      <c r="C35" s="7">
        <v>0</v>
      </c>
      <c r="D35" s="7">
        <v>1254</v>
      </c>
      <c r="E35" s="7">
        <v>183</v>
      </c>
      <c r="F35" s="7">
        <v>187</v>
      </c>
      <c r="G35" s="7">
        <v>374</v>
      </c>
      <c r="H35" s="7">
        <f t="shared" si="1"/>
        <v>4533</v>
      </c>
      <c r="I35" s="7">
        <v>0</v>
      </c>
      <c r="J35" s="12"/>
      <c r="K35" s="6">
        <v>30</v>
      </c>
      <c r="L35" s="7">
        <v>6</v>
      </c>
      <c r="M35" s="7">
        <v>26</v>
      </c>
      <c r="N35" s="7">
        <v>5</v>
      </c>
      <c r="O35" s="7">
        <f t="shared" si="0"/>
        <v>37</v>
      </c>
      <c r="P35" s="10">
        <f t="shared" si="2"/>
        <v>6135</v>
      </c>
    </row>
    <row r="36" spans="1:16" ht="18" customHeight="1" thickTop="1" thickBot="1" x14ac:dyDescent="0.35">
      <c r="A36" s="6">
        <v>31</v>
      </c>
      <c r="B36" s="7">
        <v>3593</v>
      </c>
      <c r="C36" s="7">
        <v>0</v>
      </c>
      <c r="D36" s="7">
        <v>1103</v>
      </c>
      <c r="E36" s="7">
        <v>138</v>
      </c>
      <c r="F36" s="7">
        <v>164</v>
      </c>
      <c r="G36" s="7">
        <v>295</v>
      </c>
      <c r="H36" s="7">
        <f t="shared" si="1"/>
        <v>5293</v>
      </c>
      <c r="I36" s="7">
        <v>0</v>
      </c>
      <c r="J36" s="12"/>
      <c r="K36" s="6">
        <v>31</v>
      </c>
      <c r="L36" s="7">
        <v>1</v>
      </c>
      <c r="M36" s="7">
        <v>16</v>
      </c>
      <c r="N36" s="7">
        <v>5</v>
      </c>
      <c r="O36" s="7">
        <f t="shared" si="0"/>
        <v>22</v>
      </c>
      <c r="P36" s="10">
        <f t="shared" si="2"/>
        <v>6135</v>
      </c>
    </row>
    <row r="37" spans="1:16" ht="18" customHeight="1" thickTop="1" x14ac:dyDescent="0.3">
      <c r="A37" s="4" t="s">
        <v>19</v>
      </c>
      <c r="B37" s="16">
        <f>SUM(B6:B36)</f>
        <v>118724</v>
      </c>
      <c r="C37" s="16">
        <f t="shared" ref="C37:H37" si="3">SUM(C6:C36)</f>
        <v>0</v>
      </c>
      <c r="D37" s="16">
        <f t="shared" si="3"/>
        <v>34600</v>
      </c>
      <c r="E37" s="16">
        <f t="shared" si="3"/>
        <v>4321</v>
      </c>
      <c r="F37" s="16">
        <f t="shared" si="3"/>
        <v>5140</v>
      </c>
      <c r="G37" s="16">
        <f t="shared" si="3"/>
        <v>8394</v>
      </c>
      <c r="H37" s="16">
        <f t="shared" si="3"/>
        <v>171179</v>
      </c>
      <c r="I37" s="16">
        <f>SUM(I6:I33)</f>
        <v>0</v>
      </c>
      <c r="J37" s="16"/>
      <c r="K37" s="16"/>
      <c r="L37" s="16">
        <f>SUM(L6:L36)</f>
        <v>35</v>
      </c>
      <c r="M37" s="16">
        <f>SUM(M6:M36)</f>
        <v>460</v>
      </c>
      <c r="N37" s="16">
        <f>SUM(N6:N36)</f>
        <v>94</v>
      </c>
      <c r="O37" s="16"/>
    </row>
    <row r="38" spans="1:16" ht="18" customHeight="1" x14ac:dyDescent="0.3">
      <c r="A38" s="4" t="s">
        <v>19</v>
      </c>
      <c r="B38" s="80">
        <f>+B37+C37</f>
        <v>118724</v>
      </c>
      <c r="C38" s="80"/>
      <c r="D38" s="16">
        <f>+D37</f>
        <v>34600</v>
      </c>
      <c r="E38" s="16">
        <f>+E37</f>
        <v>4321</v>
      </c>
      <c r="F38" s="16">
        <f>+F37</f>
        <v>5140</v>
      </c>
      <c r="G38" s="16">
        <f>+G37</f>
        <v>8394</v>
      </c>
      <c r="H38" s="73">
        <f>+H37</f>
        <v>171179</v>
      </c>
      <c r="I38" s="16">
        <v>0</v>
      </c>
      <c r="J38" s="17"/>
      <c r="K38" s="4"/>
      <c r="L38" s="18" t="s">
        <v>20</v>
      </c>
      <c r="M38" s="18" t="s">
        <v>21</v>
      </c>
      <c r="N38" s="74">
        <f>SUM(L37:N37)</f>
        <v>589</v>
      </c>
      <c r="O38" s="18" t="s">
        <v>21</v>
      </c>
    </row>
    <row r="39" spans="1:16" ht="18" customHeight="1" x14ac:dyDescent="0.3">
      <c r="A39" s="19" t="s">
        <v>22</v>
      </c>
      <c r="B39" s="20"/>
      <c r="C39" s="20"/>
      <c r="D39" s="20"/>
      <c r="E39" s="20"/>
      <c r="F39" s="20"/>
      <c r="G39" s="20"/>
      <c r="H39" s="20"/>
      <c r="L39" s="22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2"/>
      <c r="K40" s="25"/>
      <c r="L40" s="26"/>
    </row>
    <row r="41" spans="1:16" x14ac:dyDescent="0.3">
      <c r="A41" s="11"/>
      <c r="H41" s="11"/>
      <c r="K41" s="25"/>
      <c r="L41" s="26"/>
    </row>
    <row r="42" spans="1:16" x14ac:dyDescent="0.3">
      <c r="K42" s="25"/>
      <c r="L42" s="26"/>
    </row>
    <row r="43" spans="1:16" x14ac:dyDescent="0.3">
      <c r="I43" s="11"/>
      <c r="J43" s="11"/>
    </row>
    <row r="45" spans="1:16" x14ac:dyDescent="0.3">
      <c r="A45" s="27"/>
    </row>
    <row r="46" spans="1:16" x14ac:dyDescent="0.3">
      <c r="A46" s="27"/>
      <c r="B46" s="11"/>
      <c r="C46" s="11"/>
      <c r="D46" s="11"/>
      <c r="E46" s="11"/>
      <c r="F46" s="11"/>
      <c r="G46" s="11"/>
      <c r="H46" s="11"/>
      <c r="I46" s="11"/>
      <c r="J46" s="11"/>
      <c r="K46" s="28"/>
      <c r="L46" s="11"/>
      <c r="M46" s="11"/>
      <c r="N46" s="11"/>
      <c r="O46" s="11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  <ignoredErrors>
    <ignoredError sqref="H6:H38 O6:O36 I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A9F3-1176-45A2-9E8C-ED1588621E33}">
  <dimension ref="A1:Z46"/>
  <sheetViews>
    <sheetView workbookViewId="0">
      <selection sqref="A1:XFD1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88" t="s">
        <v>35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43"/>
      <c r="Q2" s="43"/>
      <c r="R2" s="43"/>
      <c r="S2" s="43"/>
    </row>
    <row r="3" spans="1:19" ht="15.6" x14ac:dyDescent="0.3">
      <c r="A3" s="89" t="s">
        <v>25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43"/>
      <c r="Q3" s="43"/>
      <c r="R3" s="43"/>
      <c r="S3" s="43"/>
    </row>
    <row r="4" spans="1:19" ht="82.8" x14ac:dyDescent="0.3">
      <c r="A4" s="86" t="s">
        <v>1</v>
      </c>
      <c r="B4" s="90" t="s">
        <v>2</v>
      </c>
      <c r="C4" s="90"/>
      <c r="D4" s="38" t="s">
        <v>3</v>
      </c>
      <c r="E4" s="38" t="s">
        <v>4</v>
      </c>
      <c r="F4" s="38" t="s">
        <v>5</v>
      </c>
      <c r="G4" s="38" t="s">
        <v>6</v>
      </c>
      <c r="H4" s="90" t="s">
        <v>7</v>
      </c>
      <c r="I4" s="90" t="s">
        <v>8</v>
      </c>
      <c r="J4" s="30"/>
      <c r="K4" s="92" t="s">
        <v>1</v>
      </c>
      <c r="L4" s="90" t="s">
        <v>9</v>
      </c>
      <c r="M4" s="90" t="s">
        <v>10</v>
      </c>
      <c r="N4" s="90" t="s">
        <v>11</v>
      </c>
      <c r="O4" s="90" t="s">
        <v>12</v>
      </c>
      <c r="P4" s="29"/>
      <c r="Q4" s="29"/>
      <c r="R4" s="29"/>
      <c r="S4" s="29"/>
    </row>
    <row r="5" spans="1:19" x14ac:dyDescent="0.3">
      <c r="A5" s="87"/>
      <c r="B5" s="39" t="s">
        <v>13</v>
      </c>
      <c r="C5" s="39" t="s">
        <v>14</v>
      </c>
      <c r="D5" s="39" t="s">
        <v>15</v>
      </c>
      <c r="E5" s="39" t="s">
        <v>16</v>
      </c>
      <c r="F5" s="39" t="s">
        <v>17</v>
      </c>
      <c r="G5" s="39" t="s">
        <v>18</v>
      </c>
      <c r="H5" s="90"/>
      <c r="I5" s="90"/>
      <c r="J5" s="30"/>
      <c r="K5" s="92"/>
      <c r="L5" s="90"/>
      <c r="M5" s="90"/>
      <c r="N5" s="90"/>
      <c r="O5" s="90"/>
      <c r="P5" s="29"/>
      <c r="Q5" s="29"/>
      <c r="R5" s="29"/>
      <c r="S5" s="29"/>
    </row>
    <row r="6" spans="1:19" ht="15" thickBot="1" x14ac:dyDescent="0.35">
      <c r="A6" s="31">
        <v>1</v>
      </c>
      <c r="B6" s="32">
        <v>3647</v>
      </c>
      <c r="C6" s="32">
        <v>0</v>
      </c>
      <c r="D6" s="32">
        <v>1030</v>
      </c>
      <c r="E6" s="32">
        <v>120</v>
      </c>
      <c r="F6" s="32">
        <v>159</v>
      </c>
      <c r="G6" s="32">
        <v>277</v>
      </c>
      <c r="H6" s="32">
        <v>5233</v>
      </c>
      <c r="I6" s="32">
        <v>0</v>
      </c>
      <c r="J6" s="33"/>
      <c r="K6" s="31">
        <v>1</v>
      </c>
      <c r="L6" s="55">
        <v>1</v>
      </c>
      <c r="M6" s="55">
        <v>16</v>
      </c>
      <c r="N6" s="55">
        <v>3</v>
      </c>
      <c r="O6" s="32">
        <v>20</v>
      </c>
      <c r="P6" s="47">
        <v>6135</v>
      </c>
      <c r="Q6" s="29"/>
      <c r="R6" s="29"/>
      <c r="S6" s="29"/>
    </row>
    <row r="7" spans="1:19" ht="15.6" thickTop="1" thickBot="1" x14ac:dyDescent="0.35">
      <c r="A7" s="31">
        <v>2</v>
      </c>
      <c r="B7" s="32">
        <v>4710</v>
      </c>
      <c r="C7" s="32">
        <v>0</v>
      </c>
      <c r="D7" s="32">
        <v>792</v>
      </c>
      <c r="E7" s="32">
        <v>93</v>
      </c>
      <c r="F7" s="32">
        <v>79</v>
      </c>
      <c r="G7" s="32">
        <v>233</v>
      </c>
      <c r="H7" s="32">
        <v>5907</v>
      </c>
      <c r="I7" s="32">
        <v>0</v>
      </c>
      <c r="J7" s="33"/>
      <c r="K7" s="31">
        <v>2</v>
      </c>
      <c r="L7" s="55">
        <v>1</v>
      </c>
      <c r="M7" s="55">
        <v>0</v>
      </c>
      <c r="N7" s="55">
        <v>1</v>
      </c>
      <c r="O7" s="32">
        <v>2</v>
      </c>
      <c r="P7" s="47">
        <v>6135</v>
      </c>
      <c r="Q7" s="29"/>
      <c r="R7" s="29"/>
      <c r="S7" s="29"/>
    </row>
    <row r="8" spans="1:19" ht="15.6" thickTop="1" thickBot="1" x14ac:dyDescent="0.35">
      <c r="A8" s="31">
        <v>3</v>
      </c>
      <c r="B8" s="32">
        <v>2490</v>
      </c>
      <c r="C8" s="32">
        <v>0</v>
      </c>
      <c r="D8" s="32">
        <v>999</v>
      </c>
      <c r="E8" s="32">
        <v>131</v>
      </c>
      <c r="F8" s="32">
        <v>150</v>
      </c>
      <c r="G8" s="32">
        <v>295</v>
      </c>
      <c r="H8" s="32">
        <v>4065</v>
      </c>
      <c r="I8" s="32">
        <v>0</v>
      </c>
      <c r="J8" s="33"/>
      <c r="K8" s="31">
        <v>3</v>
      </c>
      <c r="L8" s="55">
        <v>1</v>
      </c>
      <c r="M8" s="55">
        <v>20</v>
      </c>
      <c r="N8" s="55">
        <v>1</v>
      </c>
      <c r="O8" s="32">
        <v>22</v>
      </c>
      <c r="P8" s="47">
        <v>6135</v>
      </c>
      <c r="Q8" s="29"/>
      <c r="R8" s="29"/>
      <c r="S8" s="41"/>
    </row>
    <row r="9" spans="1:19" ht="15.6" thickTop="1" thickBot="1" x14ac:dyDescent="0.35">
      <c r="A9" s="31">
        <v>4</v>
      </c>
      <c r="B9" s="32">
        <v>2529</v>
      </c>
      <c r="C9" s="32">
        <v>0</v>
      </c>
      <c r="D9" s="32">
        <v>1280</v>
      </c>
      <c r="E9" s="32">
        <v>144</v>
      </c>
      <c r="F9" s="32">
        <v>163</v>
      </c>
      <c r="G9" s="32">
        <v>279</v>
      </c>
      <c r="H9" s="32">
        <v>4395</v>
      </c>
      <c r="I9" s="32">
        <v>0</v>
      </c>
      <c r="J9" s="33"/>
      <c r="K9" s="31">
        <v>4</v>
      </c>
      <c r="L9" s="55">
        <v>5</v>
      </c>
      <c r="M9" s="55">
        <v>12</v>
      </c>
      <c r="N9" s="55">
        <v>3</v>
      </c>
      <c r="O9" s="32">
        <v>20</v>
      </c>
      <c r="P9" s="47">
        <v>6135</v>
      </c>
      <c r="Q9" s="29"/>
      <c r="R9" s="29"/>
      <c r="S9" s="29"/>
    </row>
    <row r="10" spans="1:19" ht="15.6" thickTop="1" thickBot="1" x14ac:dyDescent="0.35">
      <c r="A10" s="31">
        <v>5</v>
      </c>
      <c r="B10" s="32">
        <v>2577</v>
      </c>
      <c r="C10" s="32">
        <v>0</v>
      </c>
      <c r="D10" s="32">
        <v>1233</v>
      </c>
      <c r="E10" s="32">
        <v>168</v>
      </c>
      <c r="F10" s="32">
        <v>183</v>
      </c>
      <c r="G10" s="32">
        <v>355</v>
      </c>
      <c r="H10" s="32">
        <v>4516</v>
      </c>
      <c r="I10" s="32">
        <v>0</v>
      </c>
      <c r="J10" s="33"/>
      <c r="K10" s="31">
        <v>5</v>
      </c>
      <c r="L10" s="55">
        <v>1</v>
      </c>
      <c r="M10" s="55">
        <v>14</v>
      </c>
      <c r="N10" s="55">
        <v>7</v>
      </c>
      <c r="O10" s="32">
        <v>22</v>
      </c>
      <c r="P10" s="47">
        <v>6135</v>
      </c>
      <c r="Q10" s="29"/>
      <c r="R10" s="29"/>
      <c r="S10" s="29"/>
    </row>
    <row r="11" spans="1:19" ht="15.6" thickTop="1" thickBot="1" x14ac:dyDescent="0.35">
      <c r="A11" s="31">
        <v>6</v>
      </c>
      <c r="B11" s="32">
        <v>3315</v>
      </c>
      <c r="C11" s="32">
        <v>0</v>
      </c>
      <c r="D11" s="32">
        <v>1260</v>
      </c>
      <c r="E11" s="32">
        <v>174</v>
      </c>
      <c r="F11" s="32">
        <v>201</v>
      </c>
      <c r="G11" s="32">
        <v>348</v>
      </c>
      <c r="H11" s="32">
        <v>5298</v>
      </c>
      <c r="I11" s="32">
        <v>0</v>
      </c>
      <c r="J11" s="33"/>
      <c r="K11" s="31">
        <v>6</v>
      </c>
      <c r="L11" s="55">
        <v>1</v>
      </c>
      <c r="M11" s="55">
        <v>14</v>
      </c>
      <c r="N11" s="55">
        <v>5</v>
      </c>
      <c r="O11" s="32">
        <v>20</v>
      </c>
      <c r="P11" s="47">
        <v>6135</v>
      </c>
      <c r="Q11" s="29"/>
      <c r="R11" s="29"/>
      <c r="S11" s="29"/>
    </row>
    <row r="12" spans="1:19" ht="15.6" thickTop="1" thickBot="1" x14ac:dyDescent="0.35">
      <c r="A12" s="31">
        <v>7</v>
      </c>
      <c r="B12" s="32">
        <v>6864</v>
      </c>
      <c r="C12" s="32">
        <v>0</v>
      </c>
      <c r="D12" s="32">
        <v>1321</v>
      </c>
      <c r="E12" s="32">
        <v>177</v>
      </c>
      <c r="F12" s="32">
        <v>202</v>
      </c>
      <c r="G12" s="32">
        <v>304</v>
      </c>
      <c r="H12" s="32">
        <v>8868</v>
      </c>
      <c r="I12" s="32">
        <v>0</v>
      </c>
      <c r="J12" s="34"/>
      <c r="K12" s="31">
        <v>7</v>
      </c>
      <c r="L12" s="55">
        <v>1</v>
      </c>
      <c r="M12" s="55">
        <v>20</v>
      </c>
      <c r="N12" s="55">
        <v>3</v>
      </c>
      <c r="O12" s="32">
        <v>24</v>
      </c>
      <c r="P12" s="47">
        <v>6135</v>
      </c>
      <c r="Q12" s="29"/>
      <c r="R12" s="29"/>
      <c r="S12" s="29"/>
    </row>
    <row r="13" spans="1:19" ht="15.6" thickTop="1" thickBot="1" x14ac:dyDescent="0.35">
      <c r="A13" s="31">
        <v>8</v>
      </c>
      <c r="B13" s="32">
        <v>8192</v>
      </c>
      <c r="C13" s="32">
        <v>0</v>
      </c>
      <c r="D13" s="32">
        <v>1087</v>
      </c>
      <c r="E13" s="32">
        <v>94</v>
      </c>
      <c r="F13" s="32">
        <v>135</v>
      </c>
      <c r="G13" s="32">
        <v>217</v>
      </c>
      <c r="H13" s="32">
        <v>9725</v>
      </c>
      <c r="I13" s="32">
        <v>0</v>
      </c>
      <c r="J13" s="34"/>
      <c r="K13" s="31">
        <v>8</v>
      </c>
      <c r="L13" s="55">
        <v>0</v>
      </c>
      <c r="M13" s="55">
        <v>17</v>
      </c>
      <c r="N13" s="55">
        <v>2</v>
      </c>
      <c r="O13" s="32">
        <v>19</v>
      </c>
      <c r="P13" s="47">
        <v>6135</v>
      </c>
      <c r="Q13" s="29"/>
      <c r="R13" s="29"/>
      <c r="S13" s="29"/>
    </row>
    <row r="14" spans="1:19" ht="15.6" thickTop="1" thickBot="1" x14ac:dyDescent="0.35">
      <c r="A14" s="31">
        <v>9</v>
      </c>
      <c r="B14" s="32">
        <v>7207</v>
      </c>
      <c r="C14" s="32">
        <v>0</v>
      </c>
      <c r="D14" s="32">
        <v>933</v>
      </c>
      <c r="E14" s="32">
        <v>94</v>
      </c>
      <c r="F14" s="32">
        <v>105</v>
      </c>
      <c r="G14" s="32">
        <v>247</v>
      </c>
      <c r="H14" s="32">
        <v>8586</v>
      </c>
      <c r="I14" s="32">
        <v>0</v>
      </c>
      <c r="J14" s="34"/>
      <c r="K14" s="31">
        <v>9</v>
      </c>
      <c r="L14" s="55">
        <v>0</v>
      </c>
      <c r="M14" s="55">
        <v>7</v>
      </c>
      <c r="N14" s="55">
        <v>0</v>
      </c>
      <c r="O14" s="32">
        <v>7</v>
      </c>
      <c r="P14" s="48">
        <v>6135</v>
      </c>
      <c r="Q14" s="44"/>
      <c r="R14" s="44"/>
      <c r="S14" s="44"/>
    </row>
    <row r="15" spans="1:19" ht="15.6" thickTop="1" thickBot="1" x14ac:dyDescent="0.35">
      <c r="A15" s="31">
        <v>10</v>
      </c>
      <c r="B15" s="32">
        <v>5335</v>
      </c>
      <c r="C15" s="32">
        <v>0</v>
      </c>
      <c r="D15" s="32">
        <v>1251</v>
      </c>
      <c r="E15" s="32">
        <v>185</v>
      </c>
      <c r="F15" s="32">
        <v>182</v>
      </c>
      <c r="G15" s="32">
        <v>324</v>
      </c>
      <c r="H15" s="32">
        <v>7277</v>
      </c>
      <c r="I15" s="32">
        <v>0</v>
      </c>
      <c r="J15" s="34"/>
      <c r="K15" s="31">
        <v>10</v>
      </c>
      <c r="L15" s="55">
        <v>4</v>
      </c>
      <c r="M15" s="55">
        <v>11</v>
      </c>
      <c r="N15" s="55">
        <v>0</v>
      </c>
      <c r="O15" s="32">
        <v>15</v>
      </c>
      <c r="P15" s="47">
        <v>6135</v>
      </c>
      <c r="Q15" s="29"/>
      <c r="R15" s="29"/>
      <c r="S15" s="29"/>
    </row>
    <row r="16" spans="1:19" ht="15.6" thickTop="1" thickBot="1" x14ac:dyDescent="0.35">
      <c r="A16" s="31">
        <v>11</v>
      </c>
      <c r="B16" s="32">
        <v>6626</v>
      </c>
      <c r="C16" s="32">
        <v>0</v>
      </c>
      <c r="D16" s="32">
        <v>1254</v>
      </c>
      <c r="E16" s="32">
        <v>169</v>
      </c>
      <c r="F16" s="32">
        <v>182</v>
      </c>
      <c r="G16" s="32">
        <v>287</v>
      </c>
      <c r="H16" s="32">
        <v>8518</v>
      </c>
      <c r="I16" s="32">
        <v>0</v>
      </c>
      <c r="J16" s="34"/>
      <c r="K16" s="31">
        <v>11</v>
      </c>
      <c r="L16" s="55">
        <v>0</v>
      </c>
      <c r="M16" s="55">
        <v>18</v>
      </c>
      <c r="N16" s="55">
        <v>4</v>
      </c>
      <c r="O16" s="32">
        <v>22</v>
      </c>
      <c r="P16" s="47">
        <v>6135</v>
      </c>
      <c r="Q16" s="29"/>
      <c r="R16" s="29"/>
      <c r="S16" s="29"/>
    </row>
    <row r="17" spans="1:26" ht="15.6" thickTop="1" thickBot="1" x14ac:dyDescent="0.35">
      <c r="A17" s="31">
        <v>12</v>
      </c>
      <c r="B17" s="32">
        <v>13394</v>
      </c>
      <c r="C17" s="32">
        <v>0</v>
      </c>
      <c r="D17" s="32">
        <v>1144</v>
      </c>
      <c r="E17" s="32">
        <v>102</v>
      </c>
      <c r="F17" s="32">
        <v>126</v>
      </c>
      <c r="G17" s="32">
        <v>216</v>
      </c>
      <c r="H17" s="32">
        <v>14982</v>
      </c>
      <c r="I17" s="32">
        <v>0</v>
      </c>
      <c r="J17" s="34"/>
      <c r="K17" s="31">
        <v>12</v>
      </c>
      <c r="L17" s="55">
        <v>0</v>
      </c>
      <c r="M17" s="55">
        <v>14</v>
      </c>
      <c r="N17" s="55">
        <v>2</v>
      </c>
      <c r="O17" s="32">
        <v>16</v>
      </c>
      <c r="P17" s="47">
        <v>6135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6" thickTop="1" thickBot="1" x14ac:dyDescent="0.35">
      <c r="A18" s="31">
        <v>13</v>
      </c>
      <c r="B18" s="32">
        <v>8764</v>
      </c>
      <c r="C18" s="32">
        <v>0</v>
      </c>
      <c r="D18" s="32">
        <v>716</v>
      </c>
      <c r="E18" s="32">
        <v>27</v>
      </c>
      <c r="F18" s="32">
        <v>80</v>
      </c>
      <c r="G18" s="32">
        <v>101</v>
      </c>
      <c r="H18" s="32">
        <v>9688</v>
      </c>
      <c r="I18" s="32">
        <v>0</v>
      </c>
      <c r="J18" s="34"/>
      <c r="K18" s="31">
        <v>13</v>
      </c>
      <c r="L18" s="55">
        <v>0</v>
      </c>
      <c r="M18" s="55">
        <v>2</v>
      </c>
      <c r="N18" s="55">
        <v>1</v>
      </c>
      <c r="O18" s="32">
        <v>3</v>
      </c>
      <c r="P18" s="47">
        <v>6135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6" thickTop="1" thickBot="1" x14ac:dyDescent="0.35">
      <c r="A19" s="31">
        <v>14</v>
      </c>
      <c r="B19" s="32">
        <v>6189</v>
      </c>
      <c r="C19" s="32">
        <v>0</v>
      </c>
      <c r="D19" s="32">
        <v>489</v>
      </c>
      <c r="E19" s="32">
        <v>54</v>
      </c>
      <c r="F19" s="32">
        <v>80</v>
      </c>
      <c r="G19" s="32">
        <v>119</v>
      </c>
      <c r="H19" s="32">
        <v>6931</v>
      </c>
      <c r="I19" s="32">
        <v>0</v>
      </c>
      <c r="J19" s="34"/>
      <c r="K19" s="31">
        <v>14</v>
      </c>
      <c r="L19" s="55">
        <v>1</v>
      </c>
      <c r="M19" s="55">
        <v>10</v>
      </c>
      <c r="N19" s="55">
        <v>2</v>
      </c>
      <c r="O19" s="32">
        <v>13</v>
      </c>
      <c r="P19" s="47">
        <v>6135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6" thickTop="1" thickBot="1" x14ac:dyDescent="0.35">
      <c r="A20" s="31">
        <v>15</v>
      </c>
      <c r="B20" s="32">
        <v>12749</v>
      </c>
      <c r="C20" s="32">
        <v>0</v>
      </c>
      <c r="D20" s="32">
        <v>790</v>
      </c>
      <c r="E20" s="32">
        <v>52</v>
      </c>
      <c r="F20" s="32">
        <v>85</v>
      </c>
      <c r="G20" s="32">
        <v>114</v>
      </c>
      <c r="H20" s="32">
        <v>13790</v>
      </c>
      <c r="I20" s="32">
        <v>0</v>
      </c>
      <c r="J20" s="34"/>
      <c r="K20" s="31">
        <v>15</v>
      </c>
      <c r="L20" s="55">
        <v>0</v>
      </c>
      <c r="M20" s="55">
        <v>10</v>
      </c>
      <c r="N20" s="55">
        <v>1</v>
      </c>
      <c r="O20" s="32">
        <v>11</v>
      </c>
      <c r="P20" s="47">
        <v>6135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6" thickTop="1" thickBot="1" x14ac:dyDescent="0.35">
      <c r="A21" s="31">
        <v>16</v>
      </c>
      <c r="B21" s="32">
        <v>18031</v>
      </c>
      <c r="C21" s="32">
        <v>0</v>
      </c>
      <c r="D21" s="32">
        <v>754</v>
      </c>
      <c r="E21" s="32">
        <v>37</v>
      </c>
      <c r="F21" s="32">
        <v>26</v>
      </c>
      <c r="G21" s="32">
        <v>80</v>
      </c>
      <c r="H21" s="32">
        <v>18928</v>
      </c>
      <c r="I21" s="32">
        <v>0</v>
      </c>
      <c r="J21" s="34"/>
      <c r="K21" s="31">
        <v>16</v>
      </c>
      <c r="L21" s="55">
        <v>0</v>
      </c>
      <c r="M21" s="55">
        <v>0</v>
      </c>
      <c r="N21" s="55">
        <v>1</v>
      </c>
      <c r="O21" s="32">
        <v>1</v>
      </c>
      <c r="P21" s="47">
        <v>6135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6" thickTop="1" thickBot="1" x14ac:dyDescent="0.35">
      <c r="A22" s="31">
        <v>17</v>
      </c>
      <c r="B22" s="32">
        <v>4633</v>
      </c>
      <c r="C22" s="32">
        <v>0</v>
      </c>
      <c r="D22" s="32">
        <v>1184</v>
      </c>
      <c r="E22" s="32">
        <v>179</v>
      </c>
      <c r="F22" s="32">
        <v>153</v>
      </c>
      <c r="G22" s="32">
        <v>321</v>
      </c>
      <c r="H22" s="32">
        <v>6470</v>
      </c>
      <c r="I22" s="32">
        <v>0</v>
      </c>
      <c r="J22" s="34"/>
      <c r="K22" s="31">
        <v>17</v>
      </c>
      <c r="L22" s="55">
        <v>0</v>
      </c>
      <c r="M22" s="55">
        <v>16</v>
      </c>
      <c r="N22" s="55">
        <v>0</v>
      </c>
      <c r="O22" s="32">
        <v>16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2840</v>
      </c>
      <c r="C23" s="32">
        <v>0</v>
      </c>
      <c r="D23" s="32">
        <v>1230</v>
      </c>
      <c r="E23" s="32">
        <v>169</v>
      </c>
      <c r="F23" s="32">
        <v>137</v>
      </c>
      <c r="G23" s="32">
        <v>316</v>
      </c>
      <c r="H23" s="32">
        <v>4692</v>
      </c>
      <c r="I23" s="32">
        <v>0</v>
      </c>
      <c r="J23" s="34"/>
      <c r="K23" s="31">
        <v>18</v>
      </c>
      <c r="L23" s="55">
        <v>3</v>
      </c>
      <c r="M23" s="55">
        <v>16</v>
      </c>
      <c r="N23" s="55">
        <v>6</v>
      </c>
      <c r="O23" s="32">
        <v>25</v>
      </c>
      <c r="P23" s="47">
        <v>6135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6" thickTop="1" thickBot="1" x14ac:dyDescent="0.35">
      <c r="A24" s="31">
        <v>19</v>
      </c>
      <c r="B24" s="32">
        <v>2621</v>
      </c>
      <c r="C24" s="32">
        <v>0</v>
      </c>
      <c r="D24" s="32">
        <v>1207</v>
      </c>
      <c r="E24" s="32">
        <v>172</v>
      </c>
      <c r="F24" s="32">
        <v>170</v>
      </c>
      <c r="G24" s="32">
        <v>342</v>
      </c>
      <c r="H24" s="32">
        <v>4512</v>
      </c>
      <c r="I24" s="32">
        <v>0</v>
      </c>
      <c r="J24" s="34"/>
      <c r="K24" s="31">
        <v>19</v>
      </c>
      <c r="L24" s="55">
        <v>1</v>
      </c>
      <c r="M24" s="55">
        <v>23</v>
      </c>
      <c r="N24" s="55">
        <v>3</v>
      </c>
      <c r="O24" s="32">
        <v>27</v>
      </c>
      <c r="P24" s="47">
        <v>6135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6" thickTop="1" thickBot="1" x14ac:dyDescent="0.35">
      <c r="A25" s="31">
        <v>20</v>
      </c>
      <c r="B25" s="32">
        <v>2610</v>
      </c>
      <c r="C25" s="32">
        <v>0</v>
      </c>
      <c r="D25" s="32">
        <v>1211</v>
      </c>
      <c r="E25" s="32">
        <v>198</v>
      </c>
      <c r="F25" s="32">
        <v>197</v>
      </c>
      <c r="G25" s="32">
        <v>347</v>
      </c>
      <c r="H25" s="32">
        <v>4563</v>
      </c>
      <c r="I25" s="32">
        <v>0</v>
      </c>
      <c r="J25" s="34"/>
      <c r="K25" s="31">
        <v>20</v>
      </c>
      <c r="L25" s="55">
        <v>0</v>
      </c>
      <c r="M25" s="55">
        <v>13</v>
      </c>
      <c r="N25" s="55">
        <v>2</v>
      </c>
      <c r="O25" s="32">
        <v>15</v>
      </c>
      <c r="P25" s="47">
        <v>6135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6" thickTop="1" thickBot="1" x14ac:dyDescent="0.35">
      <c r="A26" s="31">
        <v>21</v>
      </c>
      <c r="B26" s="32">
        <v>3244</v>
      </c>
      <c r="C26" s="32">
        <v>0</v>
      </c>
      <c r="D26" s="32">
        <v>1201</v>
      </c>
      <c r="E26" s="32">
        <v>193</v>
      </c>
      <c r="F26" s="32">
        <v>193</v>
      </c>
      <c r="G26" s="32">
        <v>356</v>
      </c>
      <c r="H26" s="32">
        <v>5187</v>
      </c>
      <c r="I26" s="32">
        <v>0</v>
      </c>
      <c r="J26" s="34"/>
      <c r="K26" s="31">
        <v>21</v>
      </c>
      <c r="L26" s="55">
        <v>1</v>
      </c>
      <c r="M26" s="55">
        <v>14</v>
      </c>
      <c r="N26" s="55">
        <v>3</v>
      </c>
      <c r="O26" s="32">
        <v>18</v>
      </c>
      <c r="P26" s="47">
        <v>6135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6" thickTop="1" thickBot="1" x14ac:dyDescent="0.35">
      <c r="A27" s="31">
        <v>22</v>
      </c>
      <c r="B27" s="32">
        <v>3278</v>
      </c>
      <c r="C27" s="32">
        <v>0</v>
      </c>
      <c r="D27" s="32">
        <v>1029</v>
      </c>
      <c r="E27" s="32">
        <v>144</v>
      </c>
      <c r="F27" s="32">
        <v>171</v>
      </c>
      <c r="G27" s="32">
        <v>270</v>
      </c>
      <c r="H27" s="32">
        <v>4892</v>
      </c>
      <c r="I27" s="32">
        <v>0</v>
      </c>
      <c r="J27" s="34"/>
      <c r="K27" s="31">
        <v>22</v>
      </c>
      <c r="L27" s="55">
        <v>0</v>
      </c>
      <c r="M27" s="55">
        <v>13</v>
      </c>
      <c r="N27" s="55">
        <v>1</v>
      </c>
      <c r="O27" s="32">
        <v>14</v>
      </c>
      <c r="P27" s="47">
        <v>6135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6" thickTop="1" thickBot="1" x14ac:dyDescent="0.35">
      <c r="A28" s="31">
        <v>23</v>
      </c>
      <c r="B28" s="32">
        <v>4026</v>
      </c>
      <c r="C28" s="32">
        <v>0</v>
      </c>
      <c r="D28" s="32">
        <v>879</v>
      </c>
      <c r="E28" s="32">
        <v>137</v>
      </c>
      <c r="F28" s="32">
        <v>103</v>
      </c>
      <c r="G28" s="32">
        <v>213</v>
      </c>
      <c r="H28" s="32">
        <v>5358</v>
      </c>
      <c r="I28" s="32">
        <v>0</v>
      </c>
      <c r="J28" s="34"/>
      <c r="K28" s="31">
        <v>23</v>
      </c>
      <c r="L28" s="55">
        <v>2</v>
      </c>
      <c r="M28" s="55">
        <v>10</v>
      </c>
      <c r="N28" s="55">
        <v>0</v>
      </c>
      <c r="O28" s="32">
        <v>12</v>
      </c>
      <c r="P28" s="47">
        <v>6135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6" thickTop="1" thickBot="1" x14ac:dyDescent="0.35">
      <c r="A29" s="31">
        <v>24</v>
      </c>
      <c r="B29" s="32">
        <v>2459</v>
      </c>
      <c r="C29" s="32">
        <v>0</v>
      </c>
      <c r="D29" s="32">
        <v>1058</v>
      </c>
      <c r="E29" s="32">
        <v>156</v>
      </c>
      <c r="F29" s="32">
        <v>161</v>
      </c>
      <c r="G29" s="32">
        <v>301</v>
      </c>
      <c r="H29" s="32">
        <v>4135</v>
      </c>
      <c r="I29" s="32">
        <v>0</v>
      </c>
      <c r="J29" s="34"/>
      <c r="K29" s="31">
        <v>24</v>
      </c>
      <c r="L29" s="55">
        <v>0</v>
      </c>
      <c r="M29" s="55">
        <v>12</v>
      </c>
      <c r="N29" s="55">
        <v>2</v>
      </c>
      <c r="O29" s="32">
        <v>14</v>
      </c>
      <c r="P29" s="47">
        <v>6135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6" thickTop="1" thickBot="1" x14ac:dyDescent="0.35">
      <c r="A30" s="31">
        <v>25</v>
      </c>
      <c r="B30" s="32">
        <v>2329</v>
      </c>
      <c r="C30" s="32">
        <v>0</v>
      </c>
      <c r="D30" s="32">
        <v>1217</v>
      </c>
      <c r="E30" s="32">
        <v>178</v>
      </c>
      <c r="F30" s="32">
        <v>189</v>
      </c>
      <c r="G30" s="32">
        <v>325</v>
      </c>
      <c r="H30" s="32">
        <v>4238</v>
      </c>
      <c r="I30" s="32">
        <v>0</v>
      </c>
      <c r="J30" s="34"/>
      <c r="K30" s="31">
        <v>25</v>
      </c>
      <c r="L30" s="55">
        <v>0</v>
      </c>
      <c r="M30" s="55">
        <v>10</v>
      </c>
      <c r="N30" s="55">
        <v>4</v>
      </c>
      <c r="O30" s="32">
        <v>14</v>
      </c>
      <c r="P30" s="47">
        <v>6135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6" thickTop="1" thickBot="1" x14ac:dyDescent="0.35">
      <c r="A31" s="31">
        <v>26</v>
      </c>
      <c r="B31" s="32">
        <v>2645</v>
      </c>
      <c r="C31" s="32">
        <v>0</v>
      </c>
      <c r="D31" s="32">
        <v>1291</v>
      </c>
      <c r="E31" s="32">
        <v>165</v>
      </c>
      <c r="F31" s="32">
        <v>216</v>
      </c>
      <c r="G31" s="32">
        <v>342</v>
      </c>
      <c r="H31" s="32">
        <v>4659</v>
      </c>
      <c r="I31" s="32">
        <v>0</v>
      </c>
      <c r="J31" s="34"/>
      <c r="K31" s="31">
        <v>26</v>
      </c>
      <c r="L31" s="55">
        <v>1</v>
      </c>
      <c r="M31" s="55">
        <v>21</v>
      </c>
      <c r="N31" s="55">
        <v>4</v>
      </c>
      <c r="O31" s="32">
        <v>26</v>
      </c>
      <c r="P31" s="47">
        <v>6135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6" thickTop="1" thickBot="1" x14ac:dyDescent="0.35">
      <c r="A32" s="31">
        <v>27</v>
      </c>
      <c r="B32" s="32">
        <v>3106</v>
      </c>
      <c r="C32" s="32">
        <v>0</v>
      </c>
      <c r="D32" s="32">
        <v>1291</v>
      </c>
      <c r="E32" s="32">
        <v>165</v>
      </c>
      <c r="F32" s="32">
        <v>197</v>
      </c>
      <c r="G32" s="32">
        <v>337</v>
      </c>
      <c r="H32" s="32">
        <v>5096</v>
      </c>
      <c r="I32" s="32">
        <v>0</v>
      </c>
      <c r="J32" s="34"/>
      <c r="K32" s="31">
        <v>27</v>
      </c>
      <c r="L32" s="55">
        <v>1</v>
      </c>
      <c r="M32" s="55">
        <v>16</v>
      </c>
      <c r="N32" s="55">
        <v>3</v>
      </c>
      <c r="O32" s="32">
        <v>20</v>
      </c>
      <c r="P32" s="47">
        <v>6135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16" ht="15.6" thickTop="1" thickBot="1" x14ac:dyDescent="0.35">
      <c r="A33" s="31">
        <v>28</v>
      </c>
      <c r="B33" s="32">
        <v>5180</v>
      </c>
      <c r="C33" s="32">
        <v>0</v>
      </c>
      <c r="D33" s="32">
        <v>1180</v>
      </c>
      <c r="E33" s="32">
        <v>153</v>
      </c>
      <c r="F33" s="32">
        <v>192</v>
      </c>
      <c r="G33" s="32">
        <v>282</v>
      </c>
      <c r="H33" s="32">
        <v>6987</v>
      </c>
      <c r="I33" s="32">
        <v>0</v>
      </c>
      <c r="J33" s="34"/>
      <c r="K33" s="31">
        <v>28</v>
      </c>
      <c r="L33" s="55">
        <v>1</v>
      </c>
      <c r="M33" s="55">
        <v>14</v>
      </c>
      <c r="N33" s="55">
        <v>3</v>
      </c>
      <c r="O33" s="32">
        <v>18</v>
      </c>
      <c r="P33" s="47">
        <v>6135</v>
      </c>
    </row>
    <row r="34" spans="1:16" ht="15.6" thickTop="1" thickBot="1" x14ac:dyDescent="0.35">
      <c r="A34" s="31">
        <v>29</v>
      </c>
      <c r="B34" s="32">
        <v>6269</v>
      </c>
      <c r="C34" s="32">
        <v>0</v>
      </c>
      <c r="D34" s="32">
        <v>1012</v>
      </c>
      <c r="E34" s="32">
        <v>90</v>
      </c>
      <c r="F34" s="32">
        <v>149</v>
      </c>
      <c r="G34" s="32">
        <v>191</v>
      </c>
      <c r="H34" s="32">
        <v>7711</v>
      </c>
      <c r="I34" s="32">
        <v>0</v>
      </c>
      <c r="J34" s="34"/>
      <c r="K34" s="31">
        <v>29</v>
      </c>
      <c r="L34" s="32">
        <v>0</v>
      </c>
      <c r="M34" s="32">
        <v>9</v>
      </c>
      <c r="N34" s="32">
        <v>4</v>
      </c>
      <c r="O34" s="32">
        <v>13</v>
      </c>
      <c r="P34" s="47">
        <v>6135</v>
      </c>
    </row>
    <row r="35" spans="1:16" ht="15.6" thickTop="1" thickBot="1" x14ac:dyDescent="0.35">
      <c r="A35" s="31">
        <v>30</v>
      </c>
      <c r="B35" s="32">
        <v>6164</v>
      </c>
      <c r="C35" s="32">
        <v>0</v>
      </c>
      <c r="D35" s="32">
        <v>935</v>
      </c>
      <c r="E35" s="32">
        <v>83</v>
      </c>
      <c r="F35" s="32">
        <v>120</v>
      </c>
      <c r="G35" s="32">
        <v>243</v>
      </c>
      <c r="H35" s="32">
        <v>7545</v>
      </c>
      <c r="I35" s="32">
        <v>0</v>
      </c>
      <c r="J35" s="34"/>
      <c r="K35" s="31">
        <v>30</v>
      </c>
      <c r="L35" s="32">
        <v>3</v>
      </c>
      <c r="M35" s="32">
        <v>6</v>
      </c>
      <c r="N35" s="32">
        <v>0</v>
      </c>
      <c r="O35" s="32">
        <v>9</v>
      </c>
      <c r="P35" s="47">
        <v>6135</v>
      </c>
    </row>
    <row r="36" spans="1:16" ht="15.6" thickTop="1" thickBot="1" x14ac:dyDescent="0.35">
      <c r="A36" s="31">
        <v>31</v>
      </c>
      <c r="B36" s="32"/>
      <c r="C36" s="32"/>
      <c r="D36" s="32"/>
      <c r="E36" s="32"/>
      <c r="F36" s="32"/>
      <c r="G36" s="32"/>
      <c r="H36" s="32">
        <v>0</v>
      </c>
      <c r="I36" s="32">
        <v>0</v>
      </c>
      <c r="J36" s="34"/>
      <c r="K36" s="31">
        <v>31</v>
      </c>
      <c r="L36" s="32"/>
      <c r="M36" s="32"/>
      <c r="N36" s="32"/>
      <c r="O36" s="32">
        <v>0</v>
      </c>
      <c r="P36" s="47">
        <v>6135</v>
      </c>
    </row>
    <row r="37" spans="1:16" ht="15" thickTop="1" x14ac:dyDescent="0.3">
      <c r="A37" s="39" t="s">
        <v>19</v>
      </c>
      <c r="B37" s="40">
        <v>164023</v>
      </c>
      <c r="C37" s="40">
        <v>0</v>
      </c>
      <c r="D37" s="40">
        <v>32258</v>
      </c>
      <c r="E37" s="40">
        <v>4003</v>
      </c>
      <c r="F37" s="40">
        <v>4486</v>
      </c>
      <c r="G37" s="40">
        <v>7982</v>
      </c>
      <c r="H37" s="40">
        <v>212752</v>
      </c>
      <c r="I37" s="40">
        <v>0</v>
      </c>
      <c r="J37" s="40"/>
      <c r="K37" s="40"/>
      <c r="L37" s="40">
        <v>29</v>
      </c>
      <c r="M37" s="40">
        <v>378</v>
      </c>
      <c r="N37" s="40">
        <v>71</v>
      </c>
      <c r="O37" s="40"/>
      <c r="P37" s="29"/>
    </row>
    <row r="38" spans="1:16" x14ac:dyDescent="0.3">
      <c r="A38" s="39" t="s">
        <v>19</v>
      </c>
      <c r="B38" s="91">
        <v>164023</v>
      </c>
      <c r="C38" s="91"/>
      <c r="D38" s="40">
        <v>32258</v>
      </c>
      <c r="E38" s="40">
        <v>4003</v>
      </c>
      <c r="F38" s="40">
        <v>4486</v>
      </c>
      <c r="G38" s="40">
        <v>7982</v>
      </c>
      <c r="H38" s="75">
        <v>212752</v>
      </c>
      <c r="I38" s="40">
        <v>0</v>
      </c>
      <c r="J38" s="35"/>
      <c r="K38" s="39"/>
      <c r="L38" s="36" t="s">
        <v>20</v>
      </c>
      <c r="M38" s="36" t="s">
        <v>21</v>
      </c>
      <c r="N38" s="77">
        <f>SUM(L37:N37)</f>
        <v>478</v>
      </c>
      <c r="O38" s="36" t="s">
        <v>21</v>
      </c>
      <c r="P38" s="29"/>
    </row>
    <row r="39" spans="1:16" x14ac:dyDescent="0.3">
      <c r="A39" s="37" t="s">
        <v>22</v>
      </c>
      <c r="B39" s="42"/>
      <c r="C39" s="42"/>
      <c r="D39" s="42"/>
      <c r="E39" s="42"/>
      <c r="F39" s="42"/>
      <c r="G39" s="42"/>
      <c r="H39" s="42"/>
      <c r="I39" s="29"/>
      <c r="J39" s="29"/>
      <c r="K39" s="29"/>
      <c r="L39" s="45"/>
      <c r="M39" s="29"/>
      <c r="N39" s="29"/>
      <c r="O39" s="29"/>
      <c r="P39" s="29"/>
    </row>
    <row r="40" spans="1:16" x14ac:dyDescent="0.3">
      <c r="A40" s="51"/>
      <c r="B40" s="52"/>
      <c r="C40" s="52"/>
      <c r="D40" s="52"/>
      <c r="E40" s="52"/>
      <c r="F40" s="52"/>
      <c r="G40" s="52"/>
      <c r="H40" s="76">
        <f>13993+22243+176516</f>
        <v>212752</v>
      </c>
      <c r="I40" s="52"/>
      <c r="J40" s="45"/>
      <c r="K40" s="54"/>
      <c r="L40" s="53"/>
      <c r="M40" s="29"/>
      <c r="N40" s="29"/>
      <c r="O40" s="29"/>
      <c r="P40" s="29"/>
    </row>
    <row r="41" spans="1:16" x14ac:dyDescent="0.3">
      <c r="A41" s="41"/>
      <c r="B41" s="29"/>
      <c r="C41" s="29"/>
      <c r="D41" s="29"/>
      <c r="E41" s="29"/>
      <c r="F41" s="29"/>
      <c r="G41" s="29"/>
      <c r="H41" s="41"/>
      <c r="I41" s="29"/>
      <c r="J41" s="29"/>
      <c r="K41" s="54"/>
      <c r="L41" s="53"/>
      <c r="M41" s="29"/>
      <c r="N41" s="29"/>
      <c r="O41" s="29"/>
      <c r="P41" s="29"/>
    </row>
    <row r="42" spans="1:16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54"/>
      <c r="L42" s="53"/>
      <c r="M42" s="29"/>
      <c r="N42" s="29"/>
      <c r="O42" s="29"/>
      <c r="P42" s="29"/>
    </row>
    <row r="43" spans="1:16" x14ac:dyDescent="0.3">
      <c r="A43" s="29"/>
      <c r="B43" s="29"/>
      <c r="C43" s="29"/>
      <c r="D43" s="29"/>
      <c r="E43" s="29"/>
      <c r="F43" s="29"/>
      <c r="G43" s="29"/>
      <c r="H43" s="29"/>
      <c r="I43" s="41"/>
      <c r="J43" s="41"/>
      <c r="K43" s="29"/>
      <c r="L43" s="29"/>
      <c r="M43" s="29"/>
      <c r="N43" s="29"/>
      <c r="O43" s="29"/>
      <c r="P43" s="29"/>
    </row>
    <row r="45" spans="1:16" x14ac:dyDescent="0.3">
      <c r="A45" s="5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spans="1:16" x14ac:dyDescent="0.3">
      <c r="A46" s="50"/>
      <c r="B46" s="41"/>
      <c r="C46" s="41"/>
      <c r="D46" s="41"/>
      <c r="E46" s="41"/>
      <c r="F46" s="41"/>
      <c r="G46" s="41"/>
      <c r="H46" s="41"/>
      <c r="I46" s="41"/>
      <c r="J46" s="41"/>
      <c r="K46" s="46"/>
      <c r="L46" s="41"/>
      <c r="M46" s="41"/>
      <c r="N46" s="41"/>
      <c r="O46" s="41"/>
      <c r="P46" s="2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04F7-F5A4-41A5-A9D7-57B26E0950BD}">
  <dimension ref="A1:Z46"/>
  <sheetViews>
    <sheetView workbookViewId="0">
      <selection activeCell="G14" sqref="G14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26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9331</v>
      </c>
      <c r="C6" s="32">
        <v>0</v>
      </c>
      <c r="D6" s="32">
        <v>687</v>
      </c>
      <c r="E6" s="32">
        <v>77</v>
      </c>
      <c r="F6" s="32">
        <v>43</v>
      </c>
      <c r="G6" s="32">
        <v>100</v>
      </c>
      <c r="H6" s="32">
        <v>10238</v>
      </c>
      <c r="I6" s="32">
        <v>0</v>
      </c>
      <c r="J6" s="33"/>
      <c r="K6" s="31">
        <v>1</v>
      </c>
      <c r="L6" s="55">
        <v>0</v>
      </c>
      <c r="M6" s="55">
        <v>0</v>
      </c>
      <c r="N6" s="55">
        <v>0</v>
      </c>
      <c r="O6" s="32">
        <v>0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2980</v>
      </c>
      <c r="C7" s="32">
        <v>0</v>
      </c>
      <c r="D7" s="32">
        <v>1093</v>
      </c>
      <c r="E7" s="32">
        <v>112</v>
      </c>
      <c r="F7" s="32">
        <v>166</v>
      </c>
      <c r="G7" s="32">
        <v>268</v>
      </c>
      <c r="H7" s="32">
        <v>4619</v>
      </c>
      <c r="I7" s="32">
        <v>0</v>
      </c>
      <c r="J7" s="33"/>
      <c r="K7" s="31">
        <v>2</v>
      </c>
      <c r="L7" s="55">
        <v>1</v>
      </c>
      <c r="M7" s="55">
        <v>15</v>
      </c>
      <c r="N7" s="55">
        <v>2</v>
      </c>
      <c r="O7" s="32">
        <v>18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2432</v>
      </c>
      <c r="C8" s="32">
        <v>0</v>
      </c>
      <c r="D8" s="32">
        <v>1245</v>
      </c>
      <c r="E8" s="32">
        <v>155</v>
      </c>
      <c r="F8" s="32">
        <v>188</v>
      </c>
      <c r="G8" s="32">
        <v>339</v>
      </c>
      <c r="H8" s="32">
        <v>4359</v>
      </c>
      <c r="I8" s="32">
        <v>0</v>
      </c>
      <c r="J8" s="33"/>
      <c r="K8" s="31">
        <v>3</v>
      </c>
      <c r="L8" s="55">
        <v>3</v>
      </c>
      <c r="M8" s="55">
        <v>13</v>
      </c>
      <c r="N8" s="55">
        <v>2</v>
      </c>
      <c r="O8" s="32">
        <v>18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2560</v>
      </c>
      <c r="C9" s="32">
        <v>0</v>
      </c>
      <c r="D9" s="32">
        <v>1328</v>
      </c>
      <c r="E9" s="32">
        <v>170</v>
      </c>
      <c r="F9" s="32">
        <v>210</v>
      </c>
      <c r="G9" s="32">
        <v>358</v>
      </c>
      <c r="H9" s="32">
        <v>4626</v>
      </c>
      <c r="I9" s="32">
        <v>0</v>
      </c>
      <c r="J9" s="33"/>
      <c r="K9" s="31">
        <v>4</v>
      </c>
      <c r="L9" s="55">
        <v>3</v>
      </c>
      <c r="M9" s="55">
        <v>13</v>
      </c>
      <c r="N9" s="55">
        <v>6</v>
      </c>
      <c r="O9" s="32">
        <v>22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3573</v>
      </c>
      <c r="C10" s="32">
        <v>0</v>
      </c>
      <c r="D10" s="32">
        <v>1219</v>
      </c>
      <c r="E10" s="32">
        <v>124</v>
      </c>
      <c r="F10" s="32">
        <v>191</v>
      </c>
      <c r="G10" s="32">
        <v>316</v>
      </c>
      <c r="H10" s="32">
        <v>5423</v>
      </c>
      <c r="I10" s="32">
        <v>0</v>
      </c>
      <c r="J10" s="33"/>
      <c r="K10" s="31">
        <v>5</v>
      </c>
      <c r="L10" s="55">
        <v>0</v>
      </c>
      <c r="M10" s="55">
        <v>27</v>
      </c>
      <c r="N10" s="55">
        <v>0</v>
      </c>
      <c r="O10" s="32">
        <v>27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3396</v>
      </c>
      <c r="C11" s="32">
        <v>0</v>
      </c>
      <c r="D11" s="32">
        <v>1034</v>
      </c>
      <c r="E11" s="32">
        <v>120</v>
      </c>
      <c r="F11" s="32">
        <v>172</v>
      </c>
      <c r="G11" s="32">
        <v>258</v>
      </c>
      <c r="H11" s="32">
        <v>4980</v>
      </c>
      <c r="I11" s="32">
        <v>0</v>
      </c>
      <c r="J11" s="33"/>
      <c r="K11" s="31">
        <v>6</v>
      </c>
      <c r="L11" s="55">
        <v>1</v>
      </c>
      <c r="M11" s="55">
        <v>14</v>
      </c>
      <c r="N11" s="55">
        <v>1</v>
      </c>
      <c r="O11" s="32">
        <v>16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4579</v>
      </c>
      <c r="C12" s="32">
        <v>0</v>
      </c>
      <c r="D12" s="32">
        <v>884</v>
      </c>
      <c r="E12" s="32">
        <v>91</v>
      </c>
      <c r="F12" s="32">
        <v>79</v>
      </c>
      <c r="G12" s="32">
        <v>214</v>
      </c>
      <c r="H12" s="32">
        <v>5847</v>
      </c>
      <c r="I12" s="32">
        <v>0</v>
      </c>
      <c r="J12" s="34"/>
      <c r="K12" s="31">
        <v>7</v>
      </c>
      <c r="L12" s="55">
        <v>1</v>
      </c>
      <c r="M12" s="55">
        <v>2</v>
      </c>
      <c r="N12" s="55">
        <v>0</v>
      </c>
      <c r="O12" s="32">
        <v>3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2431</v>
      </c>
      <c r="C13" s="32">
        <v>0</v>
      </c>
      <c r="D13" s="32">
        <v>1073</v>
      </c>
      <c r="E13" s="32">
        <v>174</v>
      </c>
      <c r="F13" s="32">
        <v>145</v>
      </c>
      <c r="G13" s="32">
        <v>270</v>
      </c>
      <c r="H13" s="32">
        <v>4093</v>
      </c>
      <c r="I13" s="32">
        <v>0</v>
      </c>
      <c r="J13" s="34"/>
      <c r="K13" s="31">
        <v>8</v>
      </c>
      <c r="L13" s="55">
        <v>1</v>
      </c>
      <c r="M13" s="55">
        <v>18</v>
      </c>
      <c r="N13" s="55">
        <v>0</v>
      </c>
      <c r="O13" s="32">
        <v>19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2227</v>
      </c>
      <c r="C14" s="32">
        <v>0</v>
      </c>
      <c r="D14" s="32">
        <v>1208</v>
      </c>
      <c r="E14" s="32">
        <v>128</v>
      </c>
      <c r="F14" s="32">
        <v>167</v>
      </c>
      <c r="G14" s="32">
        <v>299</v>
      </c>
      <c r="H14" s="32">
        <v>4029</v>
      </c>
      <c r="I14" s="32">
        <v>0</v>
      </c>
      <c r="J14" s="34"/>
      <c r="K14" s="31">
        <v>9</v>
      </c>
      <c r="L14" s="55">
        <v>7</v>
      </c>
      <c r="M14" s="55">
        <v>22</v>
      </c>
      <c r="N14" s="55">
        <v>4</v>
      </c>
      <c r="O14" s="32">
        <v>33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2239</v>
      </c>
      <c r="C15" s="32">
        <v>0</v>
      </c>
      <c r="D15" s="32">
        <v>1234</v>
      </c>
      <c r="E15" s="32">
        <v>148</v>
      </c>
      <c r="F15" s="32">
        <v>193</v>
      </c>
      <c r="G15" s="32">
        <v>331</v>
      </c>
      <c r="H15" s="32">
        <v>4145</v>
      </c>
      <c r="I15" s="32">
        <v>0</v>
      </c>
      <c r="J15" s="34"/>
      <c r="K15" s="31">
        <v>10</v>
      </c>
      <c r="L15" s="55">
        <v>0</v>
      </c>
      <c r="M15" s="55">
        <v>23</v>
      </c>
      <c r="N15" s="55">
        <v>7</v>
      </c>
      <c r="O15" s="32">
        <v>30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2563</v>
      </c>
      <c r="C16" s="32">
        <v>0</v>
      </c>
      <c r="D16" s="32">
        <v>1256</v>
      </c>
      <c r="E16" s="32">
        <v>177</v>
      </c>
      <c r="F16" s="32">
        <v>184</v>
      </c>
      <c r="G16" s="32">
        <v>356</v>
      </c>
      <c r="H16" s="32">
        <v>4536</v>
      </c>
      <c r="I16" s="32">
        <v>0</v>
      </c>
      <c r="J16" s="34"/>
      <c r="K16" s="31">
        <v>11</v>
      </c>
      <c r="L16" s="55">
        <v>5</v>
      </c>
      <c r="M16" s="55">
        <v>20</v>
      </c>
      <c r="N16" s="55">
        <v>1</v>
      </c>
      <c r="O16" s="32">
        <v>26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3859</v>
      </c>
      <c r="C17" s="32">
        <v>0</v>
      </c>
      <c r="D17" s="32">
        <v>1135</v>
      </c>
      <c r="E17" s="32">
        <v>121</v>
      </c>
      <c r="F17" s="32">
        <v>190</v>
      </c>
      <c r="G17" s="32">
        <v>310</v>
      </c>
      <c r="H17" s="32">
        <v>5615</v>
      </c>
      <c r="I17" s="32">
        <v>0</v>
      </c>
      <c r="J17" s="34"/>
      <c r="K17" s="31">
        <v>12</v>
      </c>
      <c r="L17" s="55">
        <v>2</v>
      </c>
      <c r="M17" s="55">
        <v>20</v>
      </c>
      <c r="N17" s="55">
        <v>3</v>
      </c>
      <c r="O17" s="32">
        <v>25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3586</v>
      </c>
      <c r="C18" s="32">
        <v>0</v>
      </c>
      <c r="D18" s="32">
        <v>1013</v>
      </c>
      <c r="E18" s="32">
        <v>120</v>
      </c>
      <c r="F18" s="32">
        <v>147</v>
      </c>
      <c r="G18" s="32">
        <v>258</v>
      </c>
      <c r="H18" s="32">
        <v>5124</v>
      </c>
      <c r="I18" s="32">
        <v>0</v>
      </c>
      <c r="J18" s="34"/>
      <c r="K18" s="31">
        <v>13</v>
      </c>
      <c r="L18" s="55">
        <v>4</v>
      </c>
      <c r="M18" s="55">
        <v>16</v>
      </c>
      <c r="N18" s="55">
        <v>3</v>
      </c>
      <c r="O18" s="32">
        <v>23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5055</v>
      </c>
      <c r="C19" s="32">
        <v>0</v>
      </c>
      <c r="D19" s="32">
        <v>739</v>
      </c>
      <c r="E19" s="32">
        <v>82</v>
      </c>
      <c r="F19" s="32">
        <v>85</v>
      </c>
      <c r="G19" s="32">
        <v>224</v>
      </c>
      <c r="H19" s="32">
        <v>6185</v>
      </c>
      <c r="I19" s="32">
        <v>0</v>
      </c>
      <c r="J19" s="34"/>
      <c r="K19" s="31">
        <v>14</v>
      </c>
      <c r="L19" s="55">
        <v>1</v>
      </c>
      <c r="M19" s="55">
        <v>8</v>
      </c>
      <c r="N19" s="55">
        <v>1</v>
      </c>
      <c r="O19" s="32">
        <v>10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2604</v>
      </c>
      <c r="C20" s="32">
        <v>0</v>
      </c>
      <c r="D20" s="32">
        <v>1079</v>
      </c>
      <c r="E20" s="32">
        <v>161</v>
      </c>
      <c r="F20" s="32">
        <v>153</v>
      </c>
      <c r="G20" s="32">
        <v>273</v>
      </c>
      <c r="H20" s="32">
        <v>4270</v>
      </c>
      <c r="I20" s="32">
        <v>0</v>
      </c>
      <c r="J20" s="34"/>
      <c r="K20" s="31">
        <v>15</v>
      </c>
      <c r="L20" s="55">
        <v>0</v>
      </c>
      <c r="M20" s="55">
        <v>17</v>
      </c>
      <c r="N20" s="55">
        <v>3</v>
      </c>
      <c r="O20" s="32">
        <v>20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2344</v>
      </c>
      <c r="C21" s="32">
        <v>0</v>
      </c>
      <c r="D21" s="32">
        <v>1325</v>
      </c>
      <c r="E21" s="32">
        <v>165</v>
      </c>
      <c r="F21" s="32">
        <v>167</v>
      </c>
      <c r="G21" s="32">
        <v>316</v>
      </c>
      <c r="H21" s="32">
        <v>4317</v>
      </c>
      <c r="I21" s="32">
        <v>0</v>
      </c>
      <c r="J21" s="34"/>
      <c r="K21" s="31">
        <v>16</v>
      </c>
      <c r="L21" s="55">
        <v>2</v>
      </c>
      <c r="M21" s="55">
        <v>13</v>
      </c>
      <c r="N21" s="55">
        <v>0</v>
      </c>
      <c r="O21" s="32">
        <v>15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2371</v>
      </c>
      <c r="C22" s="32">
        <v>0</v>
      </c>
      <c r="D22" s="32">
        <v>1351</v>
      </c>
      <c r="E22" s="32">
        <v>199</v>
      </c>
      <c r="F22" s="32">
        <v>220</v>
      </c>
      <c r="G22" s="32">
        <v>349</v>
      </c>
      <c r="H22" s="32">
        <v>4490</v>
      </c>
      <c r="I22" s="32">
        <v>0</v>
      </c>
      <c r="J22" s="34"/>
      <c r="K22" s="31">
        <v>17</v>
      </c>
      <c r="L22" s="55">
        <v>14</v>
      </c>
      <c r="M22" s="55">
        <v>16</v>
      </c>
      <c r="N22" s="55">
        <v>2</v>
      </c>
      <c r="O22" s="32">
        <v>32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2412</v>
      </c>
      <c r="C23" s="32">
        <v>0</v>
      </c>
      <c r="D23" s="32">
        <v>1265</v>
      </c>
      <c r="E23" s="32">
        <v>181</v>
      </c>
      <c r="F23" s="32">
        <v>234</v>
      </c>
      <c r="G23" s="32">
        <v>344</v>
      </c>
      <c r="H23" s="32">
        <v>4436</v>
      </c>
      <c r="I23" s="32">
        <v>0</v>
      </c>
      <c r="J23" s="34"/>
      <c r="K23" s="31">
        <v>18</v>
      </c>
      <c r="L23" s="55">
        <v>6</v>
      </c>
      <c r="M23" s="55">
        <v>16</v>
      </c>
      <c r="N23" s="55">
        <v>6</v>
      </c>
      <c r="O23" s="32">
        <v>28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3321</v>
      </c>
      <c r="C24" s="32">
        <v>0</v>
      </c>
      <c r="D24" s="32">
        <v>1151</v>
      </c>
      <c r="E24" s="32">
        <v>122</v>
      </c>
      <c r="F24" s="32">
        <v>177</v>
      </c>
      <c r="G24" s="32">
        <v>332</v>
      </c>
      <c r="H24" s="32">
        <v>5103</v>
      </c>
      <c r="I24" s="32">
        <v>0</v>
      </c>
      <c r="J24" s="34"/>
      <c r="K24" s="31">
        <v>19</v>
      </c>
      <c r="L24" s="55">
        <v>0</v>
      </c>
      <c r="M24" s="55">
        <v>29</v>
      </c>
      <c r="N24" s="55">
        <v>1</v>
      </c>
      <c r="O24" s="32">
        <v>30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3275</v>
      </c>
      <c r="C25" s="32">
        <v>0</v>
      </c>
      <c r="D25" s="32">
        <v>1011</v>
      </c>
      <c r="E25" s="32">
        <v>139</v>
      </c>
      <c r="F25" s="32">
        <v>144</v>
      </c>
      <c r="G25" s="32">
        <v>238</v>
      </c>
      <c r="H25" s="32">
        <v>4807</v>
      </c>
      <c r="I25" s="32">
        <v>0</v>
      </c>
      <c r="J25" s="34"/>
      <c r="K25" s="31">
        <v>20</v>
      </c>
      <c r="L25" s="55">
        <v>3</v>
      </c>
      <c r="M25" s="55">
        <v>13</v>
      </c>
      <c r="N25" s="55">
        <v>2</v>
      </c>
      <c r="O25" s="32">
        <v>18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4443</v>
      </c>
      <c r="C26" s="32">
        <v>0</v>
      </c>
      <c r="D26" s="32">
        <v>886</v>
      </c>
      <c r="E26" s="32">
        <v>116</v>
      </c>
      <c r="F26" s="32">
        <v>85</v>
      </c>
      <c r="G26" s="32">
        <v>232</v>
      </c>
      <c r="H26" s="32">
        <v>5762</v>
      </c>
      <c r="I26" s="32">
        <v>0</v>
      </c>
      <c r="J26" s="34"/>
      <c r="K26" s="31">
        <v>21</v>
      </c>
      <c r="L26" s="55">
        <v>3</v>
      </c>
      <c r="M26" s="55">
        <v>4</v>
      </c>
      <c r="N26" s="55">
        <v>1</v>
      </c>
      <c r="O26" s="32">
        <v>8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2248</v>
      </c>
      <c r="C27" s="32">
        <v>0</v>
      </c>
      <c r="D27" s="32">
        <v>1062</v>
      </c>
      <c r="E27" s="32">
        <v>145</v>
      </c>
      <c r="F27" s="32">
        <v>142</v>
      </c>
      <c r="G27" s="32">
        <v>303</v>
      </c>
      <c r="H27" s="32">
        <v>3900</v>
      </c>
      <c r="I27" s="32">
        <v>0</v>
      </c>
      <c r="J27" s="34"/>
      <c r="K27" s="31">
        <v>22</v>
      </c>
      <c r="L27" s="55">
        <v>2</v>
      </c>
      <c r="M27" s="55">
        <v>8</v>
      </c>
      <c r="N27" s="55">
        <v>3</v>
      </c>
      <c r="O27" s="32">
        <v>13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2431</v>
      </c>
      <c r="C28" s="32">
        <v>0</v>
      </c>
      <c r="D28" s="32">
        <v>1286</v>
      </c>
      <c r="E28" s="32">
        <v>160</v>
      </c>
      <c r="F28" s="32">
        <v>166</v>
      </c>
      <c r="G28" s="32">
        <v>328</v>
      </c>
      <c r="H28" s="32">
        <v>4371</v>
      </c>
      <c r="I28" s="32">
        <v>0</v>
      </c>
      <c r="J28" s="34"/>
      <c r="K28" s="31">
        <v>23</v>
      </c>
      <c r="L28" s="55">
        <v>3</v>
      </c>
      <c r="M28" s="55">
        <v>15</v>
      </c>
      <c r="N28" s="55">
        <v>1</v>
      </c>
      <c r="O28" s="32">
        <v>19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2492</v>
      </c>
      <c r="C29" s="32">
        <v>0</v>
      </c>
      <c r="D29" s="32">
        <v>1356</v>
      </c>
      <c r="E29" s="32">
        <v>176</v>
      </c>
      <c r="F29" s="32">
        <v>178</v>
      </c>
      <c r="G29" s="32">
        <v>350</v>
      </c>
      <c r="H29" s="32">
        <v>4552</v>
      </c>
      <c r="I29" s="32">
        <v>0</v>
      </c>
      <c r="J29" s="34"/>
      <c r="K29" s="31">
        <v>24</v>
      </c>
      <c r="L29" s="55">
        <v>5</v>
      </c>
      <c r="M29" s="55">
        <v>14</v>
      </c>
      <c r="N29" s="55">
        <v>4</v>
      </c>
      <c r="O29" s="32">
        <v>23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3005</v>
      </c>
      <c r="C30" s="32">
        <v>0</v>
      </c>
      <c r="D30" s="32">
        <v>1323</v>
      </c>
      <c r="E30" s="32">
        <v>168</v>
      </c>
      <c r="F30" s="32">
        <v>177</v>
      </c>
      <c r="G30" s="32">
        <v>327</v>
      </c>
      <c r="H30" s="32">
        <v>5000</v>
      </c>
      <c r="I30" s="32">
        <v>0</v>
      </c>
      <c r="J30" s="34"/>
      <c r="K30" s="31">
        <v>25</v>
      </c>
      <c r="L30" s="55">
        <v>1</v>
      </c>
      <c r="M30" s="55">
        <v>22</v>
      </c>
      <c r="N30" s="55">
        <v>2</v>
      </c>
      <c r="O30" s="32">
        <v>25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6144</v>
      </c>
      <c r="C31" s="32">
        <v>0</v>
      </c>
      <c r="D31" s="32">
        <v>1261</v>
      </c>
      <c r="E31" s="32">
        <v>146</v>
      </c>
      <c r="F31" s="32">
        <v>186</v>
      </c>
      <c r="G31" s="32">
        <v>295</v>
      </c>
      <c r="H31" s="32">
        <v>8032</v>
      </c>
      <c r="I31" s="32">
        <v>0</v>
      </c>
      <c r="J31" s="34"/>
      <c r="K31" s="31">
        <v>26</v>
      </c>
      <c r="L31" s="55">
        <v>2</v>
      </c>
      <c r="M31" s="55">
        <v>14</v>
      </c>
      <c r="N31" s="55">
        <v>4</v>
      </c>
      <c r="O31" s="32">
        <v>20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7167</v>
      </c>
      <c r="C32" s="32">
        <v>0</v>
      </c>
      <c r="D32" s="32">
        <v>1080</v>
      </c>
      <c r="E32" s="32">
        <v>91</v>
      </c>
      <c r="F32" s="32">
        <v>139</v>
      </c>
      <c r="G32" s="32">
        <v>243</v>
      </c>
      <c r="H32" s="32">
        <v>8720</v>
      </c>
      <c r="I32" s="32">
        <v>0</v>
      </c>
      <c r="J32" s="34"/>
      <c r="K32" s="31">
        <v>27</v>
      </c>
      <c r="L32" s="55">
        <v>4</v>
      </c>
      <c r="M32" s="55">
        <v>10</v>
      </c>
      <c r="N32" s="55">
        <v>0</v>
      </c>
      <c r="O32" s="32">
        <v>14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6221</v>
      </c>
      <c r="C33" s="32">
        <v>0</v>
      </c>
      <c r="D33" s="32">
        <v>897</v>
      </c>
      <c r="E33" s="32">
        <v>91</v>
      </c>
      <c r="F33" s="32">
        <v>78</v>
      </c>
      <c r="G33" s="32">
        <v>222</v>
      </c>
      <c r="H33" s="32">
        <v>7509</v>
      </c>
      <c r="I33" s="32">
        <v>0</v>
      </c>
      <c r="J33" s="34"/>
      <c r="K33" s="31">
        <v>28</v>
      </c>
      <c r="L33" s="55">
        <v>1</v>
      </c>
      <c r="M33" s="55">
        <v>4</v>
      </c>
      <c r="N33" s="55">
        <v>0</v>
      </c>
      <c r="O33" s="32">
        <v>5</v>
      </c>
      <c r="P33" s="47">
        <v>6135</v>
      </c>
    </row>
    <row r="34" spans="1:16" ht="15.6" thickTop="1" thickBot="1" x14ac:dyDescent="0.35">
      <c r="A34" s="31">
        <v>29</v>
      </c>
      <c r="B34" s="32">
        <v>10603</v>
      </c>
      <c r="C34" s="32">
        <v>0</v>
      </c>
      <c r="D34" s="32">
        <v>767</v>
      </c>
      <c r="E34" s="32">
        <v>54</v>
      </c>
      <c r="F34" s="32">
        <v>47</v>
      </c>
      <c r="G34" s="32">
        <v>93</v>
      </c>
      <c r="H34" s="32">
        <v>11564</v>
      </c>
      <c r="I34" s="32">
        <v>0</v>
      </c>
      <c r="J34" s="34"/>
      <c r="K34" s="31">
        <v>29</v>
      </c>
      <c r="L34" s="32">
        <v>2</v>
      </c>
      <c r="M34" s="32">
        <v>0</v>
      </c>
      <c r="N34" s="32">
        <v>0</v>
      </c>
      <c r="O34" s="32">
        <v>2</v>
      </c>
      <c r="P34" s="47">
        <v>6135</v>
      </c>
    </row>
    <row r="35" spans="1:16" ht="15.6" thickTop="1" thickBot="1" x14ac:dyDescent="0.35">
      <c r="A35" s="31">
        <v>30</v>
      </c>
      <c r="B35" s="32">
        <v>2839</v>
      </c>
      <c r="C35" s="32">
        <v>0</v>
      </c>
      <c r="D35" s="32">
        <v>1261</v>
      </c>
      <c r="E35" s="32">
        <v>147</v>
      </c>
      <c r="F35" s="32">
        <v>169</v>
      </c>
      <c r="G35" s="32">
        <v>259</v>
      </c>
      <c r="H35" s="32">
        <v>4675</v>
      </c>
      <c r="I35" s="32">
        <v>0</v>
      </c>
      <c r="J35" s="34"/>
      <c r="K35" s="31">
        <v>30</v>
      </c>
      <c r="L35" s="32">
        <v>2</v>
      </c>
      <c r="M35" s="32">
        <v>19</v>
      </c>
      <c r="N35" s="32">
        <v>4</v>
      </c>
      <c r="O35" s="32">
        <v>25</v>
      </c>
      <c r="P35" s="47">
        <v>6135</v>
      </c>
    </row>
    <row r="36" spans="1:16" ht="15.6" thickTop="1" thickBot="1" x14ac:dyDescent="0.35">
      <c r="A36" s="31">
        <v>31</v>
      </c>
      <c r="B36" s="32">
        <v>2626</v>
      </c>
      <c r="C36" s="32">
        <v>0</v>
      </c>
      <c r="D36" s="32">
        <v>1328</v>
      </c>
      <c r="E36" s="32">
        <v>159</v>
      </c>
      <c r="F36" s="32">
        <v>186</v>
      </c>
      <c r="G36" s="32">
        <v>330</v>
      </c>
      <c r="H36" s="32">
        <v>4629</v>
      </c>
      <c r="I36" s="32">
        <v>0</v>
      </c>
      <c r="J36" s="34"/>
      <c r="K36" s="31">
        <v>31</v>
      </c>
      <c r="L36" s="32">
        <v>2</v>
      </c>
      <c r="M36" s="32">
        <v>14</v>
      </c>
      <c r="N36" s="32">
        <v>4</v>
      </c>
      <c r="O36" s="32">
        <v>20</v>
      </c>
      <c r="P36" s="47">
        <v>6135</v>
      </c>
    </row>
    <row r="37" spans="1:16" ht="15" thickTop="1" x14ac:dyDescent="0.3">
      <c r="A37" s="56" t="s">
        <v>19</v>
      </c>
      <c r="B37" s="58">
        <v>117357</v>
      </c>
      <c r="C37" s="58">
        <v>0</v>
      </c>
      <c r="D37" s="58">
        <v>34837</v>
      </c>
      <c r="E37" s="58">
        <v>4219</v>
      </c>
      <c r="F37" s="58">
        <v>4808</v>
      </c>
      <c r="G37" s="58">
        <v>8735</v>
      </c>
      <c r="H37" s="58">
        <v>169956</v>
      </c>
      <c r="I37" s="58">
        <v>0</v>
      </c>
      <c r="J37" s="58"/>
      <c r="K37" s="58"/>
      <c r="L37" s="58">
        <v>81</v>
      </c>
      <c r="M37" s="58">
        <v>439</v>
      </c>
      <c r="N37" s="58">
        <v>67</v>
      </c>
      <c r="O37" s="58"/>
      <c r="P37" s="59"/>
    </row>
    <row r="38" spans="1:16" x14ac:dyDescent="0.3">
      <c r="A38" s="56" t="s">
        <v>19</v>
      </c>
      <c r="B38" s="98">
        <v>117357</v>
      </c>
      <c r="C38" s="98"/>
      <c r="D38" s="58">
        <v>34837</v>
      </c>
      <c r="E38" s="58">
        <v>4219</v>
      </c>
      <c r="F38" s="58">
        <v>4808</v>
      </c>
      <c r="G38" s="58">
        <v>8735</v>
      </c>
      <c r="H38" s="78">
        <v>169956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587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5230-5F1D-4DB6-87EA-5FB5B4A58D29}">
  <dimension ref="A1:Z46"/>
  <sheetViews>
    <sheetView workbookViewId="0">
      <selection activeCell="G15" sqref="G15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27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2637</v>
      </c>
      <c r="C6" s="32">
        <v>0</v>
      </c>
      <c r="D6" s="32">
        <v>1363</v>
      </c>
      <c r="E6" s="32">
        <v>167</v>
      </c>
      <c r="F6" s="32">
        <v>195</v>
      </c>
      <c r="G6" s="32">
        <v>355</v>
      </c>
      <c r="H6" s="32">
        <v>4717</v>
      </c>
      <c r="I6" s="32">
        <v>0</v>
      </c>
      <c r="J6" s="33"/>
      <c r="K6" s="31">
        <v>1</v>
      </c>
      <c r="L6" s="55">
        <v>2</v>
      </c>
      <c r="M6" s="55">
        <v>16</v>
      </c>
      <c r="N6" s="55">
        <v>3</v>
      </c>
      <c r="O6" s="32">
        <v>21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3507</v>
      </c>
      <c r="C7" s="32">
        <v>0</v>
      </c>
      <c r="D7" s="32">
        <v>1210</v>
      </c>
      <c r="E7" s="32">
        <v>127</v>
      </c>
      <c r="F7" s="32">
        <v>192</v>
      </c>
      <c r="G7" s="32">
        <v>304</v>
      </c>
      <c r="H7" s="32">
        <v>5340</v>
      </c>
      <c r="I7" s="32">
        <v>0</v>
      </c>
      <c r="J7" s="33"/>
      <c r="K7" s="31">
        <v>2</v>
      </c>
      <c r="L7" s="55">
        <v>4</v>
      </c>
      <c r="M7" s="55">
        <v>14</v>
      </c>
      <c r="N7" s="55">
        <v>3</v>
      </c>
      <c r="O7" s="32">
        <v>21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3211</v>
      </c>
      <c r="C8" s="32">
        <v>0</v>
      </c>
      <c r="D8" s="32">
        <v>1028</v>
      </c>
      <c r="E8" s="32">
        <v>128</v>
      </c>
      <c r="F8" s="32">
        <v>172</v>
      </c>
      <c r="G8" s="32">
        <v>275</v>
      </c>
      <c r="H8" s="32">
        <v>4814</v>
      </c>
      <c r="I8" s="32">
        <v>0</v>
      </c>
      <c r="J8" s="33"/>
      <c r="K8" s="31">
        <v>3</v>
      </c>
      <c r="L8" s="55">
        <v>6</v>
      </c>
      <c r="M8" s="55">
        <v>12</v>
      </c>
      <c r="N8" s="55">
        <v>4</v>
      </c>
      <c r="O8" s="32">
        <v>22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4436</v>
      </c>
      <c r="C9" s="32">
        <v>0</v>
      </c>
      <c r="D9" s="32">
        <v>901</v>
      </c>
      <c r="E9" s="32">
        <v>99</v>
      </c>
      <c r="F9" s="32">
        <v>81</v>
      </c>
      <c r="G9" s="32">
        <v>242</v>
      </c>
      <c r="H9" s="32">
        <v>5759</v>
      </c>
      <c r="I9" s="32">
        <v>0</v>
      </c>
      <c r="J9" s="33"/>
      <c r="K9" s="31">
        <v>4</v>
      </c>
      <c r="L9" s="55">
        <v>1</v>
      </c>
      <c r="M9" s="55">
        <v>8</v>
      </c>
      <c r="N9" s="55">
        <v>0</v>
      </c>
      <c r="O9" s="32">
        <v>9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2497</v>
      </c>
      <c r="C10" s="32">
        <v>0</v>
      </c>
      <c r="D10" s="32">
        <v>1096</v>
      </c>
      <c r="E10" s="32">
        <v>144</v>
      </c>
      <c r="F10" s="32">
        <v>158</v>
      </c>
      <c r="G10" s="32">
        <v>280</v>
      </c>
      <c r="H10" s="32">
        <v>4175</v>
      </c>
      <c r="I10" s="32">
        <v>0</v>
      </c>
      <c r="J10" s="33"/>
      <c r="K10" s="31">
        <v>5</v>
      </c>
      <c r="L10" s="55">
        <v>0</v>
      </c>
      <c r="M10" s="55">
        <v>12</v>
      </c>
      <c r="N10" s="55">
        <v>2</v>
      </c>
      <c r="O10" s="32">
        <v>14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2399</v>
      </c>
      <c r="C11" s="32">
        <v>0</v>
      </c>
      <c r="D11" s="32">
        <v>1281</v>
      </c>
      <c r="E11" s="32">
        <v>132</v>
      </c>
      <c r="F11" s="32">
        <v>162</v>
      </c>
      <c r="G11" s="32">
        <v>304</v>
      </c>
      <c r="H11" s="32">
        <v>4278</v>
      </c>
      <c r="I11" s="32">
        <v>0</v>
      </c>
      <c r="J11" s="33"/>
      <c r="K11" s="31">
        <v>6</v>
      </c>
      <c r="L11" s="55">
        <v>6</v>
      </c>
      <c r="M11" s="55">
        <v>12</v>
      </c>
      <c r="N11" s="55">
        <v>9</v>
      </c>
      <c r="O11" s="32">
        <v>27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2494</v>
      </c>
      <c r="C12" s="32">
        <v>0</v>
      </c>
      <c r="D12" s="32">
        <v>1346</v>
      </c>
      <c r="E12" s="32">
        <v>146</v>
      </c>
      <c r="F12" s="32">
        <v>155</v>
      </c>
      <c r="G12" s="32">
        <v>345</v>
      </c>
      <c r="H12" s="32">
        <v>4486</v>
      </c>
      <c r="I12" s="32">
        <v>0</v>
      </c>
      <c r="J12" s="34"/>
      <c r="K12" s="31">
        <v>7</v>
      </c>
      <c r="L12" s="55">
        <v>1</v>
      </c>
      <c r="M12" s="55">
        <v>18</v>
      </c>
      <c r="N12" s="55">
        <v>3</v>
      </c>
      <c r="O12" s="32">
        <v>22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2764</v>
      </c>
      <c r="C13" s="32">
        <v>0</v>
      </c>
      <c r="D13" s="32">
        <v>1325</v>
      </c>
      <c r="E13" s="32">
        <v>141</v>
      </c>
      <c r="F13" s="32">
        <v>179</v>
      </c>
      <c r="G13" s="32">
        <v>342</v>
      </c>
      <c r="H13" s="32">
        <v>4751</v>
      </c>
      <c r="I13" s="32">
        <v>0</v>
      </c>
      <c r="J13" s="34"/>
      <c r="K13" s="31">
        <v>8</v>
      </c>
      <c r="L13" s="55">
        <v>1</v>
      </c>
      <c r="M13" s="55">
        <v>18</v>
      </c>
      <c r="N13" s="55">
        <v>10</v>
      </c>
      <c r="O13" s="32">
        <v>29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3915</v>
      </c>
      <c r="C14" s="32">
        <v>0</v>
      </c>
      <c r="D14" s="32">
        <v>1277</v>
      </c>
      <c r="E14" s="32">
        <v>166</v>
      </c>
      <c r="F14" s="32">
        <v>200</v>
      </c>
      <c r="G14" s="32">
        <v>335</v>
      </c>
      <c r="H14" s="32">
        <v>5893</v>
      </c>
      <c r="I14" s="32">
        <v>0</v>
      </c>
      <c r="J14" s="34"/>
      <c r="K14" s="31">
        <v>9</v>
      </c>
      <c r="L14" s="55">
        <v>2</v>
      </c>
      <c r="M14" s="55">
        <v>15</v>
      </c>
      <c r="N14" s="55">
        <v>2</v>
      </c>
      <c r="O14" s="32">
        <v>19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4077</v>
      </c>
      <c r="C15" s="32">
        <v>0</v>
      </c>
      <c r="D15" s="32">
        <v>1084</v>
      </c>
      <c r="E15" s="32">
        <v>142</v>
      </c>
      <c r="F15" s="32">
        <v>156</v>
      </c>
      <c r="G15" s="32">
        <v>242</v>
      </c>
      <c r="H15" s="32">
        <v>5701</v>
      </c>
      <c r="I15" s="32">
        <v>0</v>
      </c>
      <c r="J15" s="34"/>
      <c r="K15" s="31">
        <v>10</v>
      </c>
      <c r="L15" s="55">
        <v>4</v>
      </c>
      <c r="M15" s="55">
        <v>2</v>
      </c>
      <c r="N15" s="55">
        <v>0</v>
      </c>
      <c r="O15" s="32">
        <v>6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5049</v>
      </c>
      <c r="C16" s="32">
        <v>0</v>
      </c>
      <c r="D16" s="32">
        <v>932</v>
      </c>
      <c r="E16" s="32">
        <v>110</v>
      </c>
      <c r="F16" s="32">
        <v>93</v>
      </c>
      <c r="G16" s="32">
        <v>238</v>
      </c>
      <c r="H16" s="32">
        <v>6422</v>
      </c>
      <c r="I16" s="32">
        <v>0</v>
      </c>
      <c r="J16" s="34"/>
      <c r="K16" s="31">
        <v>11</v>
      </c>
      <c r="L16" s="55">
        <v>1</v>
      </c>
      <c r="M16" s="55">
        <v>4</v>
      </c>
      <c r="N16" s="55">
        <v>0</v>
      </c>
      <c r="O16" s="32">
        <v>5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2653</v>
      </c>
      <c r="C17" s="32">
        <v>0</v>
      </c>
      <c r="D17" s="32">
        <v>1124</v>
      </c>
      <c r="E17" s="32">
        <v>134</v>
      </c>
      <c r="F17" s="32">
        <v>171</v>
      </c>
      <c r="G17" s="32">
        <v>334</v>
      </c>
      <c r="H17" s="32">
        <v>4416</v>
      </c>
      <c r="I17" s="32">
        <v>0</v>
      </c>
      <c r="J17" s="34"/>
      <c r="K17" s="31">
        <v>12</v>
      </c>
      <c r="L17" s="55">
        <v>5</v>
      </c>
      <c r="M17" s="55">
        <v>7</v>
      </c>
      <c r="N17" s="55">
        <v>3</v>
      </c>
      <c r="O17" s="32">
        <v>15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2546</v>
      </c>
      <c r="C18" s="32">
        <v>0</v>
      </c>
      <c r="D18" s="32">
        <v>1321</v>
      </c>
      <c r="E18" s="32">
        <v>154</v>
      </c>
      <c r="F18" s="32">
        <v>180</v>
      </c>
      <c r="G18" s="32">
        <v>326</v>
      </c>
      <c r="H18" s="32">
        <v>4527</v>
      </c>
      <c r="I18" s="32">
        <v>0</v>
      </c>
      <c r="J18" s="34"/>
      <c r="K18" s="31">
        <v>13</v>
      </c>
      <c r="L18" s="55">
        <v>4</v>
      </c>
      <c r="M18" s="55">
        <v>16</v>
      </c>
      <c r="N18" s="55">
        <v>1</v>
      </c>
      <c r="O18" s="32">
        <v>21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2768</v>
      </c>
      <c r="C19" s="32">
        <v>0</v>
      </c>
      <c r="D19" s="32">
        <v>1391</v>
      </c>
      <c r="E19" s="32">
        <v>200</v>
      </c>
      <c r="F19" s="32">
        <v>191</v>
      </c>
      <c r="G19" s="32">
        <v>343</v>
      </c>
      <c r="H19" s="32">
        <v>4893</v>
      </c>
      <c r="I19" s="32">
        <v>0</v>
      </c>
      <c r="J19" s="34"/>
      <c r="K19" s="31">
        <v>14</v>
      </c>
      <c r="L19" s="55">
        <v>1</v>
      </c>
      <c r="M19" s="55">
        <v>20</v>
      </c>
      <c r="N19" s="55">
        <v>2</v>
      </c>
      <c r="O19" s="32">
        <v>23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3359</v>
      </c>
      <c r="C20" s="32">
        <v>0</v>
      </c>
      <c r="D20" s="32">
        <v>1374</v>
      </c>
      <c r="E20" s="32">
        <v>155</v>
      </c>
      <c r="F20" s="32">
        <v>182</v>
      </c>
      <c r="G20" s="32">
        <v>339</v>
      </c>
      <c r="H20" s="32">
        <v>5409</v>
      </c>
      <c r="I20" s="32">
        <v>0</v>
      </c>
      <c r="J20" s="34"/>
      <c r="K20" s="31">
        <v>15</v>
      </c>
      <c r="L20" s="55">
        <v>3</v>
      </c>
      <c r="M20" s="55">
        <v>13</v>
      </c>
      <c r="N20" s="55">
        <v>2</v>
      </c>
      <c r="O20" s="32">
        <v>18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7066</v>
      </c>
      <c r="C21" s="32">
        <v>0</v>
      </c>
      <c r="D21" s="32">
        <v>1452</v>
      </c>
      <c r="E21" s="32">
        <v>131</v>
      </c>
      <c r="F21" s="32">
        <v>192</v>
      </c>
      <c r="G21" s="32">
        <v>272</v>
      </c>
      <c r="H21" s="32">
        <v>9113</v>
      </c>
      <c r="I21" s="32">
        <v>0</v>
      </c>
      <c r="J21" s="34"/>
      <c r="K21" s="31">
        <v>16</v>
      </c>
      <c r="L21" s="55">
        <v>2</v>
      </c>
      <c r="M21" s="55">
        <v>18</v>
      </c>
      <c r="N21" s="55">
        <v>4</v>
      </c>
      <c r="O21" s="32">
        <v>24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8014</v>
      </c>
      <c r="C22" s="32">
        <v>0</v>
      </c>
      <c r="D22" s="32">
        <v>1045</v>
      </c>
      <c r="E22" s="32">
        <v>84</v>
      </c>
      <c r="F22" s="32">
        <v>135</v>
      </c>
      <c r="G22" s="32">
        <v>174</v>
      </c>
      <c r="H22" s="32">
        <v>9452</v>
      </c>
      <c r="I22" s="32">
        <v>0</v>
      </c>
      <c r="J22" s="34"/>
      <c r="K22" s="31">
        <v>17</v>
      </c>
      <c r="L22" s="55">
        <v>1</v>
      </c>
      <c r="M22" s="55">
        <v>8</v>
      </c>
      <c r="N22" s="55">
        <v>1</v>
      </c>
      <c r="O22" s="32">
        <v>10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6319</v>
      </c>
      <c r="C23" s="32">
        <v>0</v>
      </c>
      <c r="D23" s="32">
        <v>952</v>
      </c>
      <c r="E23" s="32">
        <v>85</v>
      </c>
      <c r="F23" s="32">
        <v>98</v>
      </c>
      <c r="G23" s="32">
        <v>219</v>
      </c>
      <c r="H23" s="32">
        <v>7673</v>
      </c>
      <c r="I23" s="32">
        <v>0</v>
      </c>
      <c r="J23" s="34"/>
      <c r="K23" s="31">
        <v>18</v>
      </c>
      <c r="L23" s="55">
        <v>2</v>
      </c>
      <c r="M23" s="55">
        <v>2</v>
      </c>
      <c r="N23" s="55">
        <v>1</v>
      </c>
      <c r="O23" s="32">
        <v>5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10678</v>
      </c>
      <c r="C24" s="32">
        <v>0</v>
      </c>
      <c r="D24" s="32">
        <v>766</v>
      </c>
      <c r="E24" s="32">
        <v>67</v>
      </c>
      <c r="F24" s="32">
        <v>42</v>
      </c>
      <c r="G24" s="32">
        <v>95</v>
      </c>
      <c r="H24" s="32">
        <v>11648</v>
      </c>
      <c r="I24" s="32">
        <v>0</v>
      </c>
      <c r="J24" s="34"/>
      <c r="K24" s="31">
        <v>19</v>
      </c>
      <c r="L24" s="55">
        <v>1</v>
      </c>
      <c r="M24" s="55">
        <v>5</v>
      </c>
      <c r="N24" s="55">
        <v>1</v>
      </c>
      <c r="O24" s="32">
        <v>7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3929</v>
      </c>
      <c r="C25" s="32">
        <v>0</v>
      </c>
      <c r="D25" s="32">
        <v>1239</v>
      </c>
      <c r="E25" s="32">
        <v>137</v>
      </c>
      <c r="F25" s="32">
        <v>164</v>
      </c>
      <c r="G25" s="32">
        <v>241</v>
      </c>
      <c r="H25" s="32">
        <v>5710</v>
      </c>
      <c r="I25" s="32">
        <v>0</v>
      </c>
      <c r="J25" s="34"/>
      <c r="K25" s="31">
        <v>20</v>
      </c>
      <c r="L25" s="55">
        <v>5</v>
      </c>
      <c r="M25" s="55">
        <v>15</v>
      </c>
      <c r="N25" s="55">
        <v>2</v>
      </c>
      <c r="O25" s="32">
        <v>22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3734</v>
      </c>
      <c r="C26" s="32">
        <v>0</v>
      </c>
      <c r="D26" s="32">
        <v>1411</v>
      </c>
      <c r="E26" s="32">
        <v>189</v>
      </c>
      <c r="F26" s="32">
        <v>182</v>
      </c>
      <c r="G26" s="32">
        <v>332</v>
      </c>
      <c r="H26" s="32">
        <v>5848</v>
      </c>
      <c r="I26" s="32">
        <v>0</v>
      </c>
      <c r="J26" s="34"/>
      <c r="K26" s="31">
        <v>21</v>
      </c>
      <c r="L26" s="55">
        <v>5</v>
      </c>
      <c r="M26" s="55">
        <v>15</v>
      </c>
      <c r="N26" s="55">
        <v>2</v>
      </c>
      <c r="O26" s="32">
        <v>22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4209</v>
      </c>
      <c r="C27" s="32">
        <v>0</v>
      </c>
      <c r="D27" s="32">
        <v>1447</v>
      </c>
      <c r="E27" s="32">
        <v>179</v>
      </c>
      <c r="F27" s="32">
        <v>216</v>
      </c>
      <c r="G27" s="32">
        <v>392</v>
      </c>
      <c r="H27" s="32">
        <v>6443</v>
      </c>
      <c r="I27" s="32">
        <v>0</v>
      </c>
      <c r="J27" s="34"/>
      <c r="K27" s="31">
        <v>22</v>
      </c>
      <c r="L27" s="55">
        <v>2</v>
      </c>
      <c r="M27" s="55">
        <v>23</v>
      </c>
      <c r="N27" s="55">
        <v>2</v>
      </c>
      <c r="O27" s="32">
        <v>27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7478</v>
      </c>
      <c r="C28" s="32">
        <v>0</v>
      </c>
      <c r="D28" s="32">
        <v>1392</v>
      </c>
      <c r="E28" s="32">
        <v>134</v>
      </c>
      <c r="F28" s="32">
        <v>192</v>
      </c>
      <c r="G28" s="32">
        <v>288</v>
      </c>
      <c r="H28" s="32">
        <v>9484</v>
      </c>
      <c r="I28" s="32">
        <v>0</v>
      </c>
      <c r="J28" s="34"/>
      <c r="K28" s="31">
        <v>23</v>
      </c>
      <c r="L28" s="55">
        <v>3</v>
      </c>
      <c r="M28" s="55">
        <v>17</v>
      </c>
      <c r="N28" s="55">
        <v>4</v>
      </c>
      <c r="O28" s="32">
        <v>24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9135</v>
      </c>
      <c r="C29" s="32">
        <v>0</v>
      </c>
      <c r="D29" s="32">
        <v>1041</v>
      </c>
      <c r="E29" s="32">
        <v>88</v>
      </c>
      <c r="F29" s="32">
        <v>135</v>
      </c>
      <c r="G29" s="32">
        <v>169</v>
      </c>
      <c r="H29" s="32">
        <v>10568</v>
      </c>
      <c r="I29" s="32">
        <v>0</v>
      </c>
      <c r="J29" s="34"/>
      <c r="K29" s="31">
        <v>24</v>
      </c>
      <c r="L29" s="55">
        <v>0</v>
      </c>
      <c r="M29" s="55">
        <v>5</v>
      </c>
      <c r="N29" s="55">
        <v>0</v>
      </c>
      <c r="O29" s="32">
        <v>5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8945</v>
      </c>
      <c r="C30" s="32">
        <v>0</v>
      </c>
      <c r="D30" s="32">
        <v>1056</v>
      </c>
      <c r="E30" s="32">
        <v>104</v>
      </c>
      <c r="F30" s="32">
        <v>115</v>
      </c>
      <c r="G30" s="32">
        <v>265</v>
      </c>
      <c r="H30" s="32">
        <v>10485</v>
      </c>
      <c r="I30" s="32">
        <v>0</v>
      </c>
      <c r="J30" s="34"/>
      <c r="K30" s="31">
        <v>25</v>
      </c>
      <c r="L30" s="55">
        <v>3</v>
      </c>
      <c r="M30" s="55">
        <v>10</v>
      </c>
      <c r="N30" s="55">
        <v>1</v>
      </c>
      <c r="O30" s="32">
        <v>14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11895</v>
      </c>
      <c r="C31" s="32">
        <v>0</v>
      </c>
      <c r="D31" s="32">
        <v>833</v>
      </c>
      <c r="E31" s="32">
        <v>82</v>
      </c>
      <c r="F31" s="32">
        <v>49</v>
      </c>
      <c r="G31" s="32">
        <v>81</v>
      </c>
      <c r="H31" s="32">
        <v>12940</v>
      </c>
      <c r="I31" s="32">
        <v>0</v>
      </c>
      <c r="J31" s="34"/>
      <c r="K31" s="31">
        <v>26</v>
      </c>
      <c r="L31" s="55">
        <v>1</v>
      </c>
      <c r="M31" s="55">
        <v>2</v>
      </c>
      <c r="N31" s="55">
        <v>1</v>
      </c>
      <c r="O31" s="32">
        <v>4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4630</v>
      </c>
      <c r="C32" s="32">
        <v>0</v>
      </c>
      <c r="D32" s="32">
        <v>1287</v>
      </c>
      <c r="E32" s="32">
        <v>124</v>
      </c>
      <c r="F32" s="32">
        <v>168</v>
      </c>
      <c r="G32" s="32">
        <v>281</v>
      </c>
      <c r="H32" s="32">
        <v>6490</v>
      </c>
      <c r="I32" s="32">
        <v>0</v>
      </c>
      <c r="J32" s="34"/>
      <c r="K32" s="31">
        <v>27</v>
      </c>
      <c r="L32" s="55">
        <v>1</v>
      </c>
      <c r="M32" s="55">
        <v>22</v>
      </c>
      <c r="N32" s="55">
        <v>5</v>
      </c>
      <c r="O32" s="32">
        <v>28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3986</v>
      </c>
      <c r="C33" s="32">
        <v>0</v>
      </c>
      <c r="D33" s="32">
        <v>1450</v>
      </c>
      <c r="E33" s="32">
        <v>175</v>
      </c>
      <c r="F33" s="32">
        <v>198</v>
      </c>
      <c r="G33" s="32">
        <v>349</v>
      </c>
      <c r="H33" s="32">
        <v>6158</v>
      </c>
      <c r="I33" s="32">
        <v>0</v>
      </c>
      <c r="J33" s="34"/>
      <c r="K33" s="31">
        <v>28</v>
      </c>
      <c r="L33" s="55">
        <v>3</v>
      </c>
      <c r="M33" s="55">
        <v>23</v>
      </c>
      <c r="N33" s="55">
        <v>6</v>
      </c>
      <c r="O33" s="32">
        <v>32</v>
      </c>
      <c r="P33" s="47">
        <v>6135</v>
      </c>
    </row>
    <row r="34" spans="1:16" ht="15.6" thickTop="1" thickBot="1" x14ac:dyDescent="0.35">
      <c r="A34" s="31">
        <v>29</v>
      </c>
      <c r="B34" s="32">
        <v>4666</v>
      </c>
      <c r="C34" s="32">
        <v>0</v>
      </c>
      <c r="D34" s="32">
        <v>1491</v>
      </c>
      <c r="E34" s="32">
        <v>189</v>
      </c>
      <c r="F34" s="32">
        <v>218</v>
      </c>
      <c r="G34" s="32">
        <v>371</v>
      </c>
      <c r="H34" s="32">
        <v>6935</v>
      </c>
      <c r="I34" s="32">
        <v>0</v>
      </c>
      <c r="J34" s="34"/>
      <c r="K34" s="31">
        <v>29</v>
      </c>
      <c r="L34" s="32">
        <v>2</v>
      </c>
      <c r="M34" s="32">
        <v>14</v>
      </c>
      <c r="N34" s="32">
        <v>7</v>
      </c>
      <c r="O34" s="32">
        <v>23</v>
      </c>
      <c r="P34" s="47">
        <v>6135</v>
      </c>
    </row>
    <row r="35" spans="1:16" ht="15.6" thickTop="1" thickBot="1" x14ac:dyDescent="0.35">
      <c r="A35" s="31">
        <v>30</v>
      </c>
      <c r="B35" s="32">
        <v>8946</v>
      </c>
      <c r="C35" s="32">
        <v>0</v>
      </c>
      <c r="D35" s="32">
        <v>1343</v>
      </c>
      <c r="E35" s="32">
        <v>133</v>
      </c>
      <c r="F35" s="32">
        <v>167</v>
      </c>
      <c r="G35" s="32">
        <v>280</v>
      </c>
      <c r="H35" s="32">
        <v>10869</v>
      </c>
      <c r="I35" s="32">
        <v>0</v>
      </c>
      <c r="J35" s="34"/>
      <c r="K35" s="31">
        <v>30</v>
      </c>
      <c r="L35" s="32">
        <v>5</v>
      </c>
      <c r="M35" s="32">
        <v>7</v>
      </c>
      <c r="N35" s="32">
        <v>8</v>
      </c>
      <c r="O35" s="32">
        <v>20</v>
      </c>
      <c r="P35" s="47">
        <v>6135</v>
      </c>
    </row>
    <row r="36" spans="1:16" ht="15.6" thickTop="1" thickBot="1" x14ac:dyDescent="0.35">
      <c r="A36" s="31">
        <v>31</v>
      </c>
      <c r="B36" s="32"/>
      <c r="C36" s="32"/>
      <c r="D36" s="32"/>
      <c r="E36" s="32"/>
      <c r="F36" s="32"/>
      <c r="G36" s="32"/>
      <c r="H36" s="32">
        <v>0</v>
      </c>
      <c r="I36" s="32">
        <v>0</v>
      </c>
      <c r="J36" s="34"/>
      <c r="K36" s="31">
        <v>31</v>
      </c>
      <c r="L36" s="32"/>
      <c r="M36" s="32"/>
      <c r="N36" s="32"/>
      <c r="O36" s="32">
        <v>0</v>
      </c>
      <c r="P36" s="47">
        <v>6135</v>
      </c>
    </row>
    <row r="37" spans="1:16" ht="15" thickTop="1" x14ac:dyDescent="0.3">
      <c r="A37" s="56" t="s">
        <v>19</v>
      </c>
      <c r="B37" s="58">
        <v>151942</v>
      </c>
      <c r="C37" s="58">
        <v>0</v>
      </c>
      <c r="D37" s="58">
        <v>36258</v>
      </c>
      <c r="E37" s="58">
        <v>4046</v>
      </c>
      <c r="F37" s="58">
        <v>4738</v>
      </c>
      <c r="G37" s="58">
        <v>8413</v>
      </c>
      <c r="H37" s="58">
        <v>205397</v>
      </c>
      <c r="I37" s="58">
        <v>0</v>
      </c>
      <c r="J37" s="58"/>
      <c r="K37" s="58"/>
      <c r="L37" s="58">
        <v>77</v>
      </c>
      <c r="M37" s="58">
        <v>373</v>
      </c>
      <c r="N37" s="58">
        <v>89</v>
      </c>
      <c r="O37" s="58"/>
      <c r="P37" s="59"/>
    </row>
    <row r="38" spans="1:16" x14ac:dyDescent="0.3">
      <c r="A38" s="56" t="s">
        <v>19</v>
      </c>
      <c r="B38" s="98">
        <v>151942</v>
      </c>
      <c r="C38" s="98"/>
      <c r="D38" s="58">
        <v>36258</v>
      </c>
      <c r="E38" s="58">
        <v>4046</v>
      </c>
      <c r="F38" s="58">
        <v>4738</v>
      </c>
      <c r="G38" s="58">
        <v>8413</v>
      </c>
      <c r="H38" s="78">
        <v>205397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539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E4EA-16D8-4C12-AAA4-B0BF092A6727}">
  <dimension ref="A1:Z46"/>
  <sheetViews>
    <sheetView topLeftCell="A18" workbookViewId="0">
      <selection sqref="A1:XFD1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28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10912</v>
      </c>
      <c r="C6" s="32">
        <v>0</v>
      </c>
      <c r="D6" s="32">
        <v>1150</v>
      </c>
      <c r="E6" s="32">
        <v>79</v>
      </c>
      <c r="F6" s="32">
        <v>153</v>
      </c>
      <c r="G6" s="32">
        <v>206</v>
      </c>
      <c r="H6" s="32">
        <v>12500</v>
      </c>
      <c r="I6" s="32">
        <v>0</v>
      </c>
      <c r="J6" s="33"/>
      <c r="K6" s="31">
        <v>1</v>
      </c>
      <c r="L6" s="55">
        <v>1</v>
      </c>
      <c r="M6" s="55">
        <v>11</v>
      </c>
      <c r="N6" s="55">
        <v>3</v>
      </c>
      <c r="O6" s="32">
        <v>15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11281</v>
      </c>
      <c r="C7" s="32">
        <v>0</v>
      </c>
      <c r="D7" s="32">
        <v>1024</v>
      </c>
      <c r="E7" s="32">
        <v>89</v>
      </c>
      <c r="F7" s="32">
        <v>58</v>
      </c>
      <c r="G7" s="32">
        <v>145</v>
      </c>
      <c r="H7" s="32">
        <v>12597</v>
      </c>
      <c r="I7" s="32">
        <v>0</v>
      </c>
      <c r="J7" s="33"/>
      <c r="K7" s="31">
        <v>2</v>
      </c>
      <c r="L7" s="55">
        <v>1</v>
      </c>
      <c r="M7" s="55">
        <v>0</v>
      </c>
      <c r="N7" s="55">
        <v>1</v>
      </c>
      <c r="O7" s="32">
        <v>2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15107</v>
      </c>
      <c r="C8" s="32">
        <v>0</v>
      </c>
      <c r="D8" s="32">
        <v>791</v>
      </c>
      <c r="E8" s="32">
        <v>50</v>
      </c>
      <c r="F8" s="32">
        <v>14</v>
      </c>
      <c r="G8" s="32">
        <v>49</v>
      </c>
      <c r="H8" s="32">
        <v>16011</v>
      </c>
      <c r="I8" s="32">
        <v>0</v>
      </c>
      <c r="J8" s="33"/>
      <c r="K8" s="31">
        <v>3</v>
      </c>
      <c r="L8" s="55">
        <v>2</v>
      </c>
      <c r="M8" s="55">
        <v>6</v>
      </c>
      <c r="N8" s="55">
        <v>0</v>
      </c>
      <c r="O8" s="32">
        <v>8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4849</v>
      </c>
      <c r="C9" s="32">
        <v>0</v>
      </c>
      <c r="D9" s="32">
        <v>1300</v>
      </c>
      <c r="E9" s="32">
        <v>173</v>
      </c>
      <c r="F9" s="32">
        <v>160</v>
      </c>
      <c r="G9" s="32">
        <v>306</v>
      </c>
      <c r="H9" s="32">
        <v>6788</v>
      </c>
      <c r="I9" s="32">
        <v>0</v>
      </c>
      <c r="J9" s="33"/>
      <c r="K9" s="31">
        <v>4</v>
      </c>
      <c r="L9" s="55">
        <v>3</v>
      </c>
      <c r="M9" s="55">
        <v>16</v>
      </c>
      <c r="N9" s="55">
        <v>4</v>
      </c>
      <c r="O9" s="32">
        <v>23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3649</v>
      </c>
      <c r="C10" s="32">
        <v>0</v>
      </c>
      <c r="D10" s="32">
        <v>1394</v>
      </c>
      <c r="E10" s="32">
        <v>198</v>
      </c>
      <c r="F10" s="32">
        <v>182</v>
      </c>
      <c r="G10" s="32">
        <v>335</v>
      </c>
      <c r="H10" s="32">
        <v>5758</v>
      </c>
      <c r="I10" s="32">
        <v>0</v>
      </c>
      <c r="J10" s="33"/>
      <c r="K10" s="31">
        <v>5</v>
      </c>
      <c r="L10" s="55">
        <v>5</v>
      </c>
      <c r="M10" s="55">
        <v>12</v>
      </c>
      <c r="N10" s="55">
        <v>2</v>
      </c>
      <c r="O10" s="32">
        <v>19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3703</v>
      </c>
      <c r="C11" s="32">
        <v>0</v>
      </c>
      <c r="D11" s="32">
        <v>1429</v>
      </c>
      <c r="E11" s="32">
        <v>198</v>
      </c>
      <c r="F11" s="32">
        <v>197</v>
      </c>
      <c r="G11" s="32">
        <v>342</v>
      </c>
      <c r="H11" s="32">
        <v>5869</v>
      </c>
      <c r="I11" s="32">
        <v>0</v>
      </c>
      <c r="J11" s="33"/>
      <c r="K11" s="31">
        <v>6</v>
      </c>
      <c r="L11" s="55">
        <v>3</v>
      </c>
      <c r="M11" s="55">
        <v>12</v>
      </c>
      <c r="N11" s="55">
        <v>3</v>
      </c>
      <c r="O11" s="32">
        <v>18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4821</v>
      </c>
      <c r="C12" s="32">
        <v>0</v>
      </c>
      <c r="D12" s="32">
        <v>1276</v>
      </c>
      <c r="E12" s="32">
        <v>138</v>
      </c>
      <c r="F12" s="32">
        <v>212</v>
      </c>
      <c r="G12" s="32">
        <v>323</v>
      </c>
      <c r="H12" s="32">
        <v>6770</v>
      </c>
      <c r="I12" s="32">
        <v>0</v>
      </c>
      <c r="J12" s="34"/>
      <c r="K12" s="31">
        <v>7</v>
      </c>
      <c r="L12" s="55">
        <v>6</v>
      </c>
      <c r="M12" s="55">
        <v>23</v>
      </c>
      <c r="N12" s="55">
        <v>6</v>
      </c>
      <c r="O12" s="32">
        <v>35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5025</v>
      </c>
      <c r="C13" s="32">
        <v>0</v>
      </c>
      <c r="D13" s="32">
        <v>1107</v>
      </c>
      <c r="E13" s="32">
        <v>130</v>
      </c>
      <c r="F13" s="32">
        <v>173</v>
      </c>
      <c r="G13" s="32">
        <v>309</v>
      </c>
      <c r="H13" s="32">
        <v>6744</v>
      </c>
      <c r="I13" s="32">
        <v>0</v>
      </c>
      <c r="J13" s="34"/>
      <c r="K13" s="31">
        <v>8</v>
      </c>
      <c r="L13" s="55">
        <v>9</v>
      </c>
      <c r="M13" s="55">
        <v>12</v>
      </c>
      <c r="N13" s="55">
        <v>3</v>
      </c>
      <c r="O13" s="32">
        <v>24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6762</v>
      </c>
      <c r="C14" s="32">
        <v>0</v>
      </c>
      <c r="D14" s="32">
        <v>960</v>
      </c>
      <c r="E14" s="32">
        <v>123</v>
      </c>
      <c r="F14" s="32">
        <v>95</v>
      </c>
      <c r="G14" s="32">
        <v>212</v>
      </c>
      <c r="H14" s="32">
        <v>8152</v>
      </c>
      <c r="I14" s="32">
        <v>0</v>
      </c>
      <c r="J14" s="34"/>
      <c r="K14" s="31">
        <v>9</v>
      </c>
      <c r="L14" s="55">
        <v>3</v>
      </c>
      <c r="M14" s="55">
        <v>6</v>
      </c>
      <c r="N14" s="55">
        <v>1</v>
      </c>
      <c r="O14" s="32">
        <v>10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3223</v>
      </c>
      <c r="C15" s="32">
        <v>0</v>
      </c>
      <c r="D15" s="32">
        <v>1135</v>
      </c>
      <c r="E15" s="32">
        <v>166</v>
      </c>
      <c r="F15" s="32">
        <v>198</v>
      </c>
      <c r="G15" s="32">
        <v>343</v>
      </c>
      <c r="H15" s="32">
        <v>5065</v>
      </c>
      <c r="I15" s="32">
        <v>0</v>
      </c>
      <c r="J15" s="34"/>
      <c r="K15" s="31">
        <v>10</v>
      </c>
      <c r="L15" s="55">
        <v>3</v>
      </c>
      <c r="M15" s="55">
        <v>8</v>
      </c>
      <c r="N15" s="55">
        <v>2</v>
      </c>
      <c r="O15" s="32">
        <v>13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3034</v>
      </c>
      <c r="C16" s="32">
        <v>0</v>
      </c>
      <c r="D16" s="32">
        <v>1205</v>
      </c>
      <c r="E16" s="32">
        <v>184</v>
      </c>
      <c r="F16" s="32">
        <v>189</v>
      </c>
      <c r="G16" s="32">
        <v>325</v>
      </c>
      <c r="H16" s="32">
        <v>4937</v>
      </c>
      <c r="I16" s="32">
        <v>0</v>
      </c>
      <c r="J16" s="34"/>
      <c r="K16" s="31">
        <v>11</v>
      </c>
      <c r="L16" s="55">
        <v>2</v>
      </c>
      <c r="M16" s="55">
        <v>10</v>
      </c>
      <c r="N16" s="55">
        <v>1</v>
      </c>
      <c r="O16" s="32">
        <v>13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2991</v>
      </c>
      <c r="C17" s="32">
        <v>0</v>
      </c>
      <c r="D17" s="32">
        <v>1354</v>
      </c>
      <c r="E17" s="32">
        <v>186</v>
      </c>
      <c r="F17" s="32">
        <v>204</v>
      </c>
      <c r="G17" s="32">
        <v>317</v>
      </c>
      <c r="H17" s="32">
        <v>5052</v>
      </c>
      <c r="I17" s="32">
        <v>0</v>
      </c>
      <c r="J17" s="34"/>
      <c r="K17" s="31">
        <v>12</v>
      </c>
      <c r="L17" s="55">
        <v>5</v>
      </c>
      <c r="M17" s="55">
        <v>12</v>
      </c>
      <c r="N17" s="55">
        <v>8</v>
      </c>
      <c r="O17" s="32">
        <v>25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3124</v>
      </c>
      <c r="C18" s="32">
        <v>0</v>
      </c>
      <c r="D18" s="32">
        <v>1269</v>
      </c>
      <c r="E18" s="32">
        <v>200</v>
      </c>
      <c r="F18" s="32">
        <v>184</v>
      </c>
      <c r="G18" s="32">
        <v>379</v>
      </c>
      <c r="H18" s="32">
        <v>5156</v>
      </c>
      <c r="I18" s="32">
        <v>0</v>
      </c>
      <c r="J18" s="34"/>
      <c r="K18" s="31">
        <v>13</v>
      </c>
      <c r="L18" s="55">
        <v>4</v>
      </c>
      <c r="M18" s="55">
        <v>18</v>
      </c>
      <c r="N18" s="55">
        <v>5</v>
      </c>
      <c r="O18" s="32">
        <v>27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4398</v>
      </c>
      <c r="C19" s="32">
        <v>0</v>
      </c>
      <c r="D19" s="32">
        <v>1218</v>
      </c>
      <c r="E19" s="32">
        <v>132</v>
      </c>
      <c r="F19" s="32">
        <v>181</v>
      </c>
      <c r="G19" s="32">
        <v>296</v>
      </c>
      <c r="H19" s="32">
        <v>6225</v>
      </c>
      <c r="I19" s="32">
        <v>0</v>
      </c>
      <c r="J19" s="34"/>
      <c r="K19" s="31">
        <v>14</v>
      </c>
      <c r="L19" s="55">
        <v>7</v>
      </c>
      <c r="M19" s="55">
        <v>16</v>
      </c>
      <c r="N19" s="55">
        <v>5</v>
      </c>
      <c r="O19" s="32">
        <v>28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4508</v>
      </c>
      <c r="C20" s="32">
        <v>0</v>
      </c>
      <c r="D20" s="32">
        <v>1099</v>
      </c>
      <c r="E20" s="32">
        <v>124</v>
      </c>
      <c r="F20" s="32">
        <v>173</v>
      </c>
      <c r="G20" s="32">
        <v>272</v>
      </c>
      <c r="H20" s="32">
        <v>6176</v>
      </c>
      <c r="I20" s="32">
        <v>0</v>
      </c>
      <c r="J20" s="34"/>
      <c r="K20" s="31">
        <v>15</v>
      </c>
      <c r="L20" s="55">
        <v>1</v>
      </c>
      <c r="M20" s="55">
        <v>16</v>
      </c>
      <c r="N20" s="55">
        <v>1</v>
      </c>
      <c r="O20" s="32">
        <v>18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6025</v>
      </c>
      <c r="C21" s="32">
        <v>0</v>
      </c>
      <c r="D21" s="32">
        <v>928</v>
      </c>
      <c r="E21" s="32">
        <v>117</v>
      </c>
      <c r="F21" s="32">
        <v>115</v>
      </c>
      <c r="G21" s="32">
        <v>218</v>
      </c>
      <c r="H21" s="32">
        <v>7403</v>
      </c>
      <c r="I21" s="32">
        <v>0</v>
      </c>
      <c r="J21" s="34"/>
      <c r="K21" s="31">
        <v>16</v>
      </c>
      <c r="L21" s="55">
        <v>2</v>
      </c>
      <c r="M21" s="55">
        <v>10</v>
      </c>
      <c r="N21" s="55">
        <v>1</v>
      </c>
      <c r="O21" s="32">
        <v>13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3088</v>
      </c>
      <c r="C22" s="32">
        <v>0</v>
      </c>
      <c r="D22" s="32">
        <v>1173</v>
      </c>
      <c r="E22" s="32">
        <v>167</v>
      </c>
      <c r="F22" s="32">
        <v>188</v>
      </c>
      <c r="G22" s="32">
        <v>325</v>
      </c>
      <c r="H22" s="32">
        <v>4941</v>
      </c>
      <c r="I22" s="32">
        <v>0</v>
      </c>
      <c r="J22" s="34"/>
      <c r="K22" s="31">
        <v>17</v>
      </c>
      <c r="L22" s="55">
        <v>3</v>
      </c>
      <c r="M22" s="55">
        <v>18</v>
      </c>
      <c r="N22" s="55">
        <v>4</v>
      </c>
      <c r="O22" s="32">
        <v>25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2924</v>
      </c>
      <c r="C23" s="32">
        <v>0</v>
      </c>
      <c r="D23" s="32">
        <v>1252</v>
      </c>
      <c r="E23" s="32">
        <v>209</v>
      </c>
      <c r="F23" s="32">
        <v>197</v>
      </c>
      <c r="G23" s="32">
        <v>319</v>
      </c>
      <c r="H23" s="32">
        <v>4901</v>
      </c>
      <c r="I23" s="32">
        <v>0</v>
      </c>
      <c r="J23" s="34"/>
      <c r="K23" s="31">
        <v>18</v>
      </c>
      <c r="L23" s="55">
        <v>3</v>
      </c>
      <c r="M23" s="55">
        <v>14</v>
      </c>
      <c r="N23" s="55">
        <v>1</v>
      </c>
      <c r="O23" s="32">
        <v>18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4890</v>
      </c>
      <c r="C24" s="32">
        <v>0</v>
      </c>
      <c r="D24" s="32">
        <v>1136</v>
      </c>
      <c r="E24" s="32">
        <v>170</v>
      </c>
      <c r="F24" s="32">
        <v>195</v>
      </c>
      <c r="G24" s="32">
        <v>321</v>
      </c>
      <c r="H24" s="32">
        <v>6712</v>
      </c>
      <c r="I24" s="32">
        <v>0</v>
      </c>
      <c r="J24" s="34"/>
      <c r="K24" s="31">
        <v>19</v>
      </c>
      <c r="L24" s="55">
        <v>3</v>
      </c>
      <c r="M24" s="55">
        <v>20</v>
      </c>
      <c r="N24" s="55">
        <v>5</v>
      </c>
      <c r="O24" s="32">
        <v>28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5521</v>
      </c>
      <c r="C25" s="32">
        <v>0</v>
      </c>
      <c r="D25" s="32">
        <v>992</v>
      </c>
      <c r="E25" s="32">
        <v>117</v>
      </c>
      <c r="F25" s="32">
        <v>132</v>
      </c>
      <c r="G25" s="32">
        <v>265</v>
      </c>
      <c r="H25" s="32">
        <v>7027</v>
      </c>
      <c r="I25" s="32">
        <v>0</v>
      </c>
      <c r="J25" s="34"/>
      <c r="K25" s="31">
        <v>20</v>
      </c>
      <c r="L25" s="55">
        <v>5</v>
      </c>
      <c r="M25" s="55">
        <v>14</v>
      </c>
      <c r="N25" s="55">
        <v>5</v>
      </c>
      <c r="O25" s="32">
        <v>24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4265</v>
      </c>
      <c r="C26" s="32">
        <v>0</v>
      </c>
      <c r="D26" s="32">
        <v>1135</v>
      </c>
      <c r="E26" s="32">
        <v>137</v>
      </c>
      <c r="F26" s="32">
        <v>174</v>
      </c>
      <c r="G26" s="32">
        <v>295</v>
      </c>
      <c r="H26" s="32">
        <v>6006</v>
      </c>
      <c r="I26" s="32">
        <v>0</v>
      </c>
      <c r="J26" s="34"/>
      <c r="K26" s="31">
        <v>21</v>
      </c>
      <c r="L26" s="55">
        <v>1</v>
      </c>
      <c r="M26" s="55">
        <v>12</v>
      </c>
      <c r="N26" s="55">
        <v>1</v>
      </c>
      <c r="O26" s="32">
        <v>14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4745</v>
      </c>
      <c r="C27" s="32">
        <v>0</v>
      </c>
      <c r="D27" s="32">
        <v>1043</v>
      </c>
      <c r="E27" s="32">
        <v>102</v>
      </c>
      <c r="F27" s="32">
        <v>167</v>
      </c>
      <c r="G27" s="32">
        <v>281</v>
      </c>
      <c r="H27" s="32">
        <v>6338</v>
      </c>
      <c r="I27" s="32">
        <v>0</v>
      </c>
      <c r="J27" s="34"/>
      <c r="K27" s="31">
        <v>22</v>
      </c>
      <c r="L27" s="55">
        <v>3</v>
      </c>
      <c r="M27" s="55">
        <v>8</v>
      </c>
      <c r="N27" s="55">
        <v>1</v>
      </c>
      <c r="O27" s="32">
        <v>12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8627</v>
      </c>
      <c r="C28" s="32">
        <v>0</v>
      </c>
      <c r="D28" s="32">
        <v>832</v>
      </c>
      <c r="E28" s="32">
        <v>102</v>
      </c>
      <c r="F28" s="32">
        <v>91</v>
      </c>
      <c r="G28" s="32">
        <v>254</v>
      </c>
      <c r="H28" s="32">
        <v>9906</v>
      </c>
      <c r="I28" s="32">
        <v>0</v>
      </c>
      <c r="J28" s="34"/>
      <c r="K28" s="31">
        <v>23</v>
      </c>
      <c r="L28" s="55">
        <v>4</v>
      </c>
      <c r="M28" s="55">
        <v>6</v>
      </c>
      <c r="N28" s="55">
        <v>1</v>
      </c>
      <c r="O28" s="32">
        <v>11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3137</v>
      </c>
      <c r="C29" s="32">
        <v>0</v>
      </c>
      <c r="D29" s="32">
        <v>1076</v>
      </c>
      <c r="E29" s="32">
        <v>151</v>
      </c>
      <c r="F29" s="32">
        <v>191</v>
      </c>
      <c r="G29" s="32">
        <v>316</v>
      </c>
      <c r="H29" s="32">
        <v>4871</v>
      </c>
      <c r="I29" s="32">
        <v>0</v>
      </c>
      <c r="J29" s="34"/>
      <c r="K29" s="31">
        <v>24</v>
      </c>
      <c r="L29" s="55">
        <v>1</v>
      </c>
      <c r="M29" s="55">
        <v>19</v>
      </c>
      <c r="N29" s="55">
        <v>0</v>
      </c>
      <c r="O29" s="32">
        <v>20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2762</v>
      </c>
      <c r="C30" s="32">
        <v>0</v>
      </c>
      <c r="D30" s="32">
        <v>1214</v>
      </c>
      <c r="E30" s="32">
        <v>142</v>
      </c>
      <c r="F30" s="32">
        <v>171</v>
      </c>
      <c r="G30" s="32">
        <v>345</v>
      </c>
      <c r="H30" s="32">
        <v>4634</v>
      </c>
      <c r="I30" s="32">
        <v>0</v>
      </c>
      <c r="J30" s="34"/>
      <c r="K30" s="31">
        <v>25</v>
      </c>
      <c r="L30" s="55">
        <v>2</v>
      </c>
      <c r="M30" s="55">
        <v>8</v>
      </c>
      <c r="N30" s="55">
        <v>1</v>
      </c>
      <c r="O30" s="32">
        <v>11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2796</v>
      </c>
      <c r="C31" s="32">
        <v>0</v>
      </c>
      <c r="D31" s="32">
        <v>1276</v>
      </c>
      <c r="E31" s="32">
        <v>170</v>
      </c>
      <c r="F31" s="32">
        <v>189</v>
      </c>
      <c r="G31" s="32">
        <v>362</v>
      </c>
      <c r="H31" s="32">
        <v>4793</v>
      </c>
      <c r="I31" s="32">
        <v>0</v>
      </c>
      <c r="J31" s="34"/>
      <c r="K31" s="31">
        <v>26</v>
      </c>
      <c r="L31" s="55">
        <v>6</v>
      </c>
      <c r="M31" s="55">
        <v>13</v>
      </c>
      <c r="N31" s="55">
        <v>5</v>
      </c>
      <c r="O31" s="32">
        <v>24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2754</v>
      </c>
      <c r="C32" s="32">
        <v>0</v>
      </c>
      <c r="D32" s="32">
        <v>1039</v>
      </c>
      <c r="E32" s="32">
        <v>175</v>
      </c>
      <c r="F32" s="32">
        <v>138</v>
      </c>
      <c r="G32" s="32">
        <v>325</v>
      </c>
      <c r="H32" s="32">
        <v>4431</v>
      </c>
      <c r="I32" s="32">
        <v>0</v>
      </c>
      <c r="J32" s="34"/>
      <c r="K32" s="31">
        <v>27</v>
      </c>
      <c r="L32" s="55">
        <v>3</v>
      </c>
      <c r="M32" s="55">
        <v>15</v>
      </c>
      <c r="N32" s="55">
        <v>4</v>
      </c>
      <c r="O32" s="32">
        <v>22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4335</v>
      </c>
      <c r="C33" s="32">
        <v>0</v>
      </c>
      <c r="D33" s="32">
        <v>1216</v>
      </c>
      <c r="E33" s="32">
        <v>164</v>
      </c>
      <c r="F33" s="32">
        <v>196</v>
      </c>
      <c r="G33" s="32">
        <v>328</v>
      </c>
      <c r="H33" s="32">
        <v>6239</v>
      </c>
      <c r="I33" s="32">
        <v>0</v>
      </c>
      <c r="J33" s="34"/>
      <c r="K33" s="31">
        <v>28</v>
      </c>
      <c r="L33" s="55">
        <v>1</v>
      </c>
      <c r="M33" s="55">
        <v>18</v>
      </c>
      <c r="N33" s="55">
        <v>1</v>
      </c>
      <c r="O33" s="32">
        <v>20</v>
      </c>
      <c r="P33" s="47">
        <v>6135</v>
      </c>
    </row>
    <row r="34" spans="1:16" ht="15.6" thickTop="1" thickBot="1" x14ac:dyDescent="0.35">
      <c r="A34" s="31">
        <v>29</v>
      </c>
      <c r="B34" s="32">
        <v>4742</v>
      </c>
      <c r="C34" s="32">
        <v>0</v>
      </c>
      <c r="D34" s="32">
        <v>1017</v>
      </c>
      <c r="E34" s="32">
        <v>94</v>
      </c>
      <c r="F34" s="32">
        <v>176</v>
      </c>
      <c r="G34" s="32">
        <v>254</v>
      </c>
      <c r="H34" s="32">
        <v>6283</v>
      </c>
      <c r="I34" s="32">
        <v>0</v>
      </c>
      <c r="J34" s="34"/>
      <c r="K34" s="31">
        <v>29</v>
      </c>
      <c r="L34" s="32">
        <v>2</v>
      </c>
      <c r="M34" s="32">
        <v>8</v>
      </c>
      <c r="N34" s="32">
        <v>2</v>
      </c>
      <c r="O34" s="32">
        <v>12</v>
      </c>
      <c r="P34" s="47">
        <v>6135</v>
      </c>
    </row>
    <row r="35" spans="1:16" ht="15.6" thickTop="1" thickBot="1" x14ac:dyDescent="0.35">
      <c r="A35" s="31">
        <v>30</v>
      </c>
      <c r="B35" s="32">
        <v>6312</v>
      </c>
      <c r="C35" s="32">
        <v>0</v>
      </c>
      <c r="D35" s="32">
        <v>930</v>
      </c>
      <c r="E35" s="32">
        <v>124</v>
      </c>
      <c r="F35" s="32">
        <v>101</v>
      </c>
      <c r="G35" s="32">
        <v>232</v>
      </c>
      <c r="H35" s="32">
        <v>7699</v>
      </c>
      <c r="I35" s="32">
        <v>0</v>
      </c>
      <c r="J35" s="34"/>
      <c r="K35" s="31">
        <v>30</v>
      </c>
      <c r="L35" s="32">
        <v>1</v>
      </c>
      <c r="M35" s="32">
        <v>8</v>
      </c>
      <c r="N35" s="32">
        <v>4</v>
      </c>
      <c r="O35" s="32">
        <v>13</v>
      </c>
      <c r="P35" s="47">
        <v>6135</v>
      </c>
    </row>
    <row r="36" spans="1:16" ht="15.6" thickTop="1" thickBot="1" x14ac:dyDescent="0.35">
      <c r="A36" s="31">
        <v>31</v>
      </c>
      <c r="B36" s="32">
        <v>2875</v>
      </c>
      <c r="C36" s="32">
        <v>0</v>
      </c>
      <c r="D36" s="32">
        <v>1078</v>
      </c>
      <c r="E36" s="32">
        <v>182</v>
      </c>
      <c r="F36" s="32">
        <v>171</v>
      </c>
      <c r="G36" s="32">
        <v>333</v>
      </c>
      <c r="H36" s="32">
        <v>4639</v>
      </c>
      <c r="I36" s="32">
        <v>0</v>
      </c>
      <c r="J36" s="34"/>
      <c r="K36" s="31">
        <v>31</v>
      </c>
      <c r="L36" s="32">
        <v>1</v>
      </c>
      <c r="M36" s="32">
        <v>23</v>
      </c>
      <c r="N36" s="32">
        <v>2</v>
      </c>
      <c r="O36" s="32">
        <v>26</v>
      </c>
      <c r="P36" s="47">
        <v>6135</v>
      </c>
    </row>
    <row r="37" spans="1:16" ht="15" thickTop="1" x14ac:dyDescent="0.3">
      <c r="A37" s="56" t="s">
        <v>19</v>
      </c>
      <c r="B37" s="58">
        <v>157185</v>
      </c>
      <c r="C37" s="58">
        <v>0</v>
      </c>
      <c r="D37" s="58">
        <v>35048</v>
      </c>
      <c r="E37" s="58">
        <v>4493</v>
      </c>
      <c r="F37" s="58">
        <v>4965</v>
      </c>
      <c r="G37" s="58">
        <v>8932</v>
      </c>
      <c r="H37" s="58">
        <v>210623</v>
      </c>
      <c r="I37" s="58">
        <v>0</v>
      </c>
      <c r="J37" s="58"/>
      <c r="K37" s="58"/>
      <c r="L37" s="58">
        <v>96</v>
      </c>
      <c r="M37" s="58">
        <v>392</v>
      </c>
      <c r="N37" s="58">
        <v>83</v>
      </c>
      <c r="O37" s="58"/>
      <c r="P37" s="59"/>
    </row>
    <row r="38" spans="1:16" x14ac:dyDescent="0.3">
      <c r="A38" s="56" t="s">
        <v>19</v>
      </c>
      <c r="B38" s="98">
        <v>157185</v>
      </c>
      <c r="C38" s="98"/>
      <c r="D38" s="58">
        <v>35048</v>
      </c>
      <c r="E38" s="58">
        <v>4493</v>
      </c>
      <c r="F38" s="58">
        <v>4965</v>
      </c>
      <c r="G38" s="58">
        <v>8932</v>
      </c>
      <c r="H38" s="78">
        <v>210623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571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22F2-0B46-4130-9B68-F9E7EC08F9F4}">
  <dimension ref="A1:Z46"/>
  <sheetViews>
    <sheetView topLeftCell="A21" workbookViewId="0">
      <selection activeCell="J11" sqref="J11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29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2785</v>
      </c>
      <c r="C6" s="32">
        <v>0</v>
      </c>
      <c r="D6" s="32">
        <v>1239</v>
      </c>
      <c r="E6" s="32">
        <v>185</v>
      </c>
      <c r="F6" s="32">
        <v>182</v>
      </c>
      <c r="G6" s="32">
        <v>334</v>
      </c>
      <c r="H6" s="32">
        <v>4725</v>
      </c>
      <c r="I6" s="32">
        <v>0</v>
      </c>
      <c r="J6" s="33"/>
      <c r="K6" s="31">
        <v>1</v>
      </c>
      <c r="L6" s="55">
        <v>1</v>
      </c>
      <c r="M6" s="55">
        <v>13</v>
      </c>
      <c r="N6" s="55">
        <v>2</v>
      </c>
      <c r="O6" s="32">
        <v>16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2815</v>
      </c>
      <c r="C7" s="32">
        <v>0</v>
      </c>
      <c r="D7" s="32">
        <v>1302</v>
      </c>
      <c r="E7" s="32">
        <v>199</v>
      </c>
      <c r="F7" s="32">
        <v>204</v>
      </c>
      <c r="G7" s="32">
        <v>364</v>
      </c>
      <c r="H7" s="32">
        <v>4884</v>
      </c>
      <c r="I7" s="32">
        <v>0</v>
      </c>
      <c r="J7" s="33"/>
      <c r="K7" s="31">
        <v>2</v>
      </c>
      <c r="L7" s="55">
        <v>0</v>
      </c>
      <c r="M7" s="55">
        <v>12</v>
      </c>
      <c r="N7" s="55">
        <v>4</v>
      </c>
      <c r="O7" s="32">
        <v>16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3750</v>
      </c>
      <c r="C8" s="32">
        <v>0</v>
      </c>
      <c r="D8" s="32">
        <v>1334</v>
      </c>
      <c r="E8" s="32">
        <v>182</v>
      </c>
      <c r="F8" s="32">
        <v>208</v>
      </c>
      <c r="G8" s="32">
        <v>360</v>
      </c>
      <c r="H8" s="32">
        <v>5834</v>
      </c>
      <c r="I8" s="32">
        <v>0</v>
      </c>
      <c r="J8" s="33"/>
      <c r="K8" s="31">
        <v>3</v>
      </c>
      <c r="L8" s="55">
        <v>0</v>
      </c>
      <c r="M8" s="55">
        <v>16</v>
      </c>
      <c r="N8" s="55">
        <v>7</v>
      </c>
      <c r="O8" s="32">
        <v>23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7951</v>
      </c>
      <c r="C9" s="32">
        <v>0</v>
      </c>
      <c r="D9" s="32">
        <v>1322</v>
      </c>
      <c r="E9" s="32">
        <v>157</v>
      </c>
      <c r="F9" s="32">
        <v>203</v>
      </c>
      <c r="G9" s="32">
        <v>324</v>
      </c>
      <c r="H9" s="32">
        <v>9957</v>
      </c>
      <c r="I9" s="32">
        <v>0</v>
      </c>
      <c r="J9" s="33"/>
      <c r="K9" s="31">
        <v>4</v>
      </c>
      <c r="L9" s="55">
        <v>4</v>
      </c>
      <c r="M9" s="55">
        <v>25</v>
      </c>
      <c r="N9" s="55">
        <v>2</v>
      </c>
      <c r="O9" s="32">
        <v>31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7496</v>
      </c>
      <c r="C10" s="32">
        <v>0</v>
      </c>
      <c r="D10" s="32">
        <v>964</v>
      </c>
      <c r="E10" s="32">
        <v>83</v>
      </c>
      <c r="F10" s="32">
        <v>141</v>
      </c>
      <c r="G10" s="32">
        <v>181</v>
      </c>
      <c r="H10" s="32">
        <v>8865</v>
      </c>
      <c r="I10" s="32">
        <v>0</v>
      </c>
      <c r="J10" s="33"/>
      <c r="K10" s="31">
        <v>5</v>
      </c>
      <c r="L10" s="55">
        <v>0</v>
      </c>
      <c r="M10" s="55">
        <v>6</v>
      </c>
      <c r="N10" s="55">
        <v>2</v>
      </c>
      <c r="O10" s="32">
        <v>8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6261</v>
      </c>
      <c r="C11" s="32">
        <v>0</v>
      </c>
      <c r="D11" s="32">
        <v>898</v>
      </c>
      <c r="E11" s="32">
        <v>101</v>
      </c>
      <c r="F11" s="32">
        <v>126</v>
      </c>
      <c r="G11" s="32">
        <v>228</v>
      </c>
      <c r="H11" s="32">
        <v>7614</v>
      </c>
      <c r="I11" s="32">
        <v>0</v>
      </c>
      <c r="J11" s="33"/>
      <c r="K11" s="31">
        <v>6</v>
      </c>
      <c r="L11" s="55">
        <v>2</v>
      </c>
      <c r="M11" s="55">
        <v>0</v>
      </c>
      <c r="N11" s="55">
        <v>2</v>
      </c>
      <c r="O11" s="32">
        <v>4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12393</v>
      </c>
      <c r="C12" s="32">
        <v>0</v>
      </c>
      <c r="D12" s="32">
        <v>779</v>
      </c>
      <c r="E12" s="32">
        <v>79</v>
      </c>
      <c r="F12" s="32">
        <v>45</v>
      </c>
      <c r="G12" s="32">
        <v>87</v>
      </c>
      <c r="H12" s="32">
        <v>13383</v>
      </c>
      <c r="I12" s="32">
        <v>0</v>
      </c>
      <c r="J12" s="34"/>
      <c r="K12" s="31">
        <v>7</v>
      </c>
      <c r="L12" s="55">
        <v>1</v>
      </c>
      <c r="M12" s="55">
        <v>7</v>
      </c>
      <c r="N12" s="55">
        <v>0</v>
      </c>
      <c r="O12" s="32">
        <v>8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3866</v>
      </c>
      <c r="C13" s="32">
        <v>0</v>
      </c>
      <c r="D13" s="32">
        <v>1255</v>
      </c>
      <c r="E13" s="32">
        <v>177</v>
      </c>
      <c r="F13" s="32">
        <v>192</v>
      </c>
      <c r="G13" s="32">
        <v>306</v>
      </c>
      <c r="H13" s="32">
        <v>5796</v>
      </c>
      <c r="I13" s="32">
        <v>0</v>
      </c>
      <c r="J13" s="34"/>
      <c r="K13" s="31">
        <v>8</v>
      </c>
      <c r="L13" s="55">
        <v>17</v>
      </c>
      <c r="M13" s="55">
        <v>17</v>
      </c>
      <c r="N13" s="55">
        <v>1</v>
      </c>
      <c r="O13" s="32">
        <v>35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2844</v>
      </c>
      <c r="C14" s="32">
        <v>0</v>
      </c>
      <c r="D14" s="32">
        <v>1283</v>
      </c>
      <c r="E14" s="32">
        <v>196</v>
      </c>
      <c r="F14" s="32">
        <v>225</v>
      </c>
      <c r="G14" s="32">
        <v>370</v>
      </c>
      <c r="H14" s="32">
        <v>4918</v>
      </c>
      <c r="I14" s="32">
        <v>0</v>
      </c>
      <c r="J14" s="34"/>
      <c r="K14" s="31">
        <v>9</v>
      </c>
      <c r="L14" s="55">
        <v>3</v>
      </c>
      <c r="M14" s="55">
        <v>16</v>
      </c>
      <c r="N14" s="55">
        <v>6</v>
      </c>
      <c r="O14" s="32">
        <v>25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2924</v>
      </c>
      <c r="C15" s="32">
        <v>0</v>
      </c>
      <c r="D15" s="32">
        <v>1281</v>
      </c>
      <c r="E15" s="32">
        <v>196</v>
      </c>
      <c r="F15" s="32">
        <v>200</v>
      </c>
      <c r="G15" s="32">
        <v>411</v>
      </c>
      <c r="H15" s="32">
        <v>5012</v>
      </c>
      <c r="I15" s="32">
        <v>0</v>
      </c>
      <c r="J15" s="34"/>
      <c r="K15" s="31">
        <v>10</v>
      </c>
      <c r="L15" s="55">
        <v>4</v>
      </c>
      <c r="M15" s="55">
        <v>18</v>
      </c>
      <c r="N15" s="55">
        <v>3</v>
      </c>
      <c r="O15" s="32">
        <v>25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3981</v>
      </c>
      <c r="C16" s="32">
        <v>0</v>
      </c>
      <c r="D16" s="32">
        <v>1218</v>
      </c>
      <c r="E16" s="32">
        <v>159</v>
      </c>
      <c r="F16" s="32">
        <v>188</v>
      </c>
      <c r="G16" s="32">
        <v>338</v>
      </c>
      <c r="H16" s="32">
        <v>5884</v>
      </c>
      <c r="I16" s="32">
        <v>0</v>
      </c>
      <c r="J16" s="34"/>
      <c r="K16" s="31">
        <v>11</v>
      </c>
      <c r="L16" s="55">
        <v>2</v>
      </c>
      <c r="M16" s="55">
        <v>18</v>
      </c>
      <c r="N16" s="55">
        <v>2</v>
      </c>
      <c r="O16" s="32">
        <v>22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3990</v>
      </c>
      <c r="C17" s="32">
        <v>0</v>
      </c>
      <c r="D17" s="32">
        <v>1027</v>
      </c>
      <c r="E17" s="32">
        <v>135</v>
      </c>
      <c r="F17" s="32">
        <v>174</v>
      </c>
      <c r="G17" s="32">
        <v>275</v>
      </c>
      <c r="H17" s="32">
        <v>5601</v>
      </c>
      <c r="I17" s="32">
        <v>0</v>
      </c>
      <c r="J17" s="34"/>
      <c r="K17" s="31">
        <v>12</v>
      </c>
      <c r="L17" s="55">
        <v>2</v>
      </c>
      <c r="M17" s="55">
        <v>16</v>
      </c>
      <c r="N17" s="55">
        <v>2</v>
      </c>
      <c r="O17" s="32">
        <v>20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5405</v>
      </c>
      <c r="C18" s="32">
        <v>0</v>
      </c>
      <c r="D18" s="32">
        <v>999</v>
      </c>
      <c r="E18" s="32">
        <v>125</v>
      </c>
      <c r="F18" s="32">
        <v>95</v>
      </c>
      <c r="G18" s="32">
        <v>270</v>
      </c>
      <c r="H18" s="32">
        <v>6894</v>
      </c>
      <c r="I18" s="32">
        <v>0</v>
      </c>
      <c r="J18" s="34"/>
      <c r="K18" s="31">
        <v>13</v>
      </c>
      <c r="L18" s="55">
        <v>1</v>
      </c>
      <c r="M18" s="55">
        <v>12</v>
      </c>
      <c r="N18" s="55">
        <v>0</v>
      </c>
      <c r="O18" s="32">
        <v>13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2872</v>
      </c>
      <c r="C19" s="32">
        <v>0</v>
      </c>
      <c r="D19" s="32">
        <v>1137</v>
      </c>
      <c r="E19" s="32">
        <v>201</v>
      </c>
      <c r="F19" s="32">
        <v>184</v>
      </c>
      <c r="G19" s="32">
        <v>332</v>
      </c>
      <c r="H19" s="32">
        <v>4726</v>
      </c>
      <c r="I19" s="32">
        <v>0</v>
      </c>
      <c r="J19" s="34"/>
      <c r="K19" s="31">
        <v>14</v>
      </c>
      <c r="L19" s="55">
        <v>2</v>
      </c>
      <c r="M19" s="55">
        <v>16</v>
      </c>
      <c r="N19" s="55">
        <v>1</v>
      </c>
      <c r="O19" s="32">
        <v>19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2649</v>
      </c>
      <c r="C20" s="32">
        <v>0</v>
      </c>
      <c r="D20" s="32">
        <v>1242</v>
      </c>
      <c r="E20" s="32">
        <v>201</v>
      </c>
      <c r="F20" s="32">
        <v>205</v>
      </c>
      <c r="G20" s="32">
        <v>358</v>
      </c>
      <c r="H20" s="32">
        <v>4655</v>
      </c>
      <c r="I20" s="32">
        <v>0</v>
      </c>
      <c r="J20" s="34"/>
      <c r="K20" s="31">
        <v>15</v>
      </c>
      <c r="L20" s="55">
        <v>2</v>
      </c>
      <c r="M20" s="55">
        <v>14</v>
      </c>
      <c r="N20" s="55">
        <v>8</v>
      </c>
      <c r="O20" s="32">
        <v>24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2783</v>
      </c>
      <c r="C21" s="32">
        <v>0</v>
      </c>
      <c r="D21" s="32">
        <v>1283</v>
      </c>
      <c r="E21" s="32">
        <v>191</v>
      </c>
      <c r="F21" s="32">
        <v>201</v>
      </c>
      <c r="G21" s="32">
        <v>376</v>
      </c>
      <c r="H21" s="32">
        <v>4834</v>
      </c>
      <c r="I21" s="32">
        <v>0</v>
      </c>
      <c r="J21" s="34"/>
      <c r="K21" s="31">
        <v>16</v>
      </c>
      <c r="L21" s="55">
        <v>1</v>
      </c>
      <c r="M21" s="55">
        <v>6</v>
      </c>
      <c r="N21" s="55">
        <v>2</v>
      </c>
      <c r="O21" s="32">
        <v>9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3555</v>
      </c>
      <c r="C22" s="32">
        <v>0</v>
      </c>
      <c r="D22" s="32">
        <v>1299</v>
      </c>
      <c r="E22" s="32">
        <v>192</v>
      </c>
      <c r="F22" s="32">
        <v>215</v>
      </c>
      <c r="G22" s="32">
        <v>340</v>
      </c>
      <c r="H22" s="32">
        <v>5601</v>
      </c>
      <c r="I22" s="32">
        <v>0</v>
      </c>
      <c r="J22" s="34"/>
      <c r="K22" s="31">
        <v>17</v>
      </c>
      <c r="L22" s="55">
        <v>4</v>
      </c>
      <c r="M22" s="55">
        <v>23</v>
      </c>
      <c r="N22" s="55">
        <v>3</v>
      </c>
      <c r="O22" s="32">
        <v>30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7836</v>
      </c>
      <c r="C23" s="32">
        <v>0</v>
      </c>
      <c r="D23" s="32">
        <v>1312</v>
      </c>
      <c r="E23" s="32">
        <v>182</v>
      </c>
      <c r="F23" s="32">
        <v>218</v>
      </c>
      <c r="G23" s="32">
        <v>293</v>
      </c>
      <c r="H23" s="32">
        <v>9841</v>
      </c>
      <c r="I23" s="32">
        <v>0</v>
      </c>
      <c r="J23" s="34"/>
      <c r="K23" s="31">
        <v>18</v>
      </c>
      <c r="L23" s="55">
        <v>3</v>
      </c>
      <c r="M23" s="55">
        <v>17</v>
      </c>
      <c r="N23" s="55">
        <v>3</v>
      </c>
      <c r="O23" s="32">
        <v>23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8646</v>
      </c>
      <c r="C24" s="32">
        <v>0</v>
      </c>
      <c r="D24" s="32">
        <v>957</v>
      </c>
      <c r="E24" s="32">
        <v>70</v>
      </c>
      <c r="F24" s="32">
        <v>142</v>
      </c>
      <c r="G24" s="32">
        <v>191</v>
      </c>
      <c r="H24" s="32">
        <v>10006</v>
      </c>
      <c r="I24" s="32">
        <v>0</v>
      </c>
      <c r="J24" s="34"/>
      <c r="K24" s="31">
        <v>19</v>
      </c>
      <c r="L24" s="55">
        <v>0</v>
      </c>
      <c r="M24" s="55">
        <v>11</v>
      </c>
      <c r="N24" s="55">
        <v>0</v>
      </c>
      <c r="O24" s="32">
        <v>11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6737</v>
      </c>
      <c r="C25" s="32">
        <v>0</v>
      </c>
      <c r="D25" s="32">
        <v>975</v>
      </c>
      <c r="E25" s="32">
        <v>99</v>
      </c>
      <c r="F25" s="32">
        <v>104</v>
      </c>
      <c r="G25" s="32">
        <v>259</v>
      </c>
      <c r="H25" s="32">
        <v>8174</v>
      </c>
      <c r="I25" s="32">
        <v>0</v>
      </c>
      <c r="J25" s="34"/>
      <c r="K25" s="31">
        <v>20</v>
      </c>
      <c r="L25" s="55">
        <v>5</v>
      </c>
      <c r="M25" s="55">
        <v>2</v>
      </c>
      <c r="N25" s="55">
        <v>0</v>
      </c>
      <c r="O25" s="32">
        <v>7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13068</v>
      </c>
      <c r="C26" s="32">
        <v>0</v>
      </c>
      <c r="D26" s="32">
        <v>826</v>
      </c>
      <c r="E26" s="32">
        <v>85</v>
      </c>
      <c r="F26" s="32">
        <v>44</v>
      </c>
      <c r="G26" s="32">
        <v>109</v>
      </c>
      <c r="H26" s="32">
        <v>14132</v>
      </c>
      <c r="I26" s="32">
        <v>0</v>
      </c>
      <c r="J26" s="34"/>
      <c r="K26" s="31">
        <v>21</v>
      </c>
      <c r="L26" s="55">
        <v>0</v>
      </c>
      <c r="M26" s="55">
        <v>8</v>
      </c>
      <c r="N26" s="55">
        <v>0</v>
      </c>
      <c r="O26" s="32">
        <v>8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3379</v>
      </c>
      <c r="C27" s="32">
        <v>0</v>
      </c>
      <c r="D27" s="32">
        <v>1177</v>
      </c>
      <c r="E27" s="32">
        <v>164</v>
      </c>
      <c r="F27" s="32">
        <v>193</v>
      </c>
      <c r="G27" s="32">
        <v>314</v>
      </c>
      <c r="H27" s="32">
        <v>5227</v>
      </c>
      <c r="I27" s="32">
        <v>0</v>
      </c>
      <c r="J27" s="34"/>
      <c r="K27" s="31">
        <v>22</v>
      </c>
      <c r="L27" s="55">
        <v>2</v>
      </c>
      <c r="M27" s="55">
        <v>18</v>
      </c>
      <c r="N27" s="55">
        <v>4</v>
      </c>
      <c r="O27" s="32">
        <v>24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2602</v>
      </c>
      <c r="C28" s="32">
        <v>0</v>
      </c>
      <c r="D28" s="32">
        <v>1266</v>
      </c>
      <c r="E28" s="32">
        <v>187</v>
      </c>
      <c r="F28" s="32">
        <v>207</v>
      </c>
      <c r="G28" s="32">
        <v>347</v>
      </c>
      <c r="H28" s="32">
        <v>4609</v>
      </c>
      <c r="I28" s="32">
        <v>0</v>
      </c>
      <c r="J28" s="34"/>
      <c r="K28" s="31">
        <v>23</v>
      </c>
      <c r="L28" s="55">
        <v>4</v>
      </c>
      <c r="M28" s="55">
        <v>16</v>
      </c>
      <c r="N28" s="55">
        <v>0</v>
      </c>
      <c r="O28" s="32">
        <v>20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2920</v>
      </c>
      <c r="C29" s="32">
        <v>0</v>
      </c>
      <c r="D29" s="32">
        <v>1313</v>
      </c>
      <c r="E29" s="32">
        <v>209</v>
      </c>
      <c r="F29" s="32">
        <v>218</v>
      </c>
      <c r="G29" s="32">
        <v>366</v>
      </c>
      <c r="H29" s="32">
        <v>5026</v>
      </c>
      <c r="I29" s="32">
        <v>0</v>
      </c>
      <c r="J29" s="34"/>
      <c r="K29" s="31">
        <v>24</v>
      </c>
      <c r="L29" s="55">
        <v>2</v>
      </c>
      <c r="M29" s="55">
        <v>21</v>
      </c>
      <c r="N29" s="55">
        <v>3</v>
      </c>
      <c r="O29" s="32">
        <v>26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3752</v>
      </c>
      <c r="C30" s="32">
        <v>0</v>
      </c>
      <c r="D30" s="32">
        <v>1176</v>
      </c>
      <c r="E30" s="32">
        <v>151</v>
      </c>
      <c r="F30" s="32">
        <v>213</v>
      </c>
      <c r="G30" s="32">
        <v>328</v>
      </c>
      <c r="H30" s="32">
        <v>5620</v>
      </c>
      <c r="I30" s="32">
        <v>0</v>
      </c>
      <c r="J30" s="34"/>
      <c r="K30" s="31">
        <v>25</v>
      </c>
      <c r="L30" s="55">
        <v>5</v>
      </c>
      <c r="M30" s="55">
        <v>12</v>
      </c>
      <c r="N30" s="55">
        <v>3</v>
      </c>
      <c r="O30" s="32">
        <v>20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3714</v>
      </c>
      <c r="C31" s="32">
        <v>0</v>
      </c>
      <c r="D31" s="32">
        <v>1025</v>
      </c>
      <c r="E31" s="32">
        <v>122</v>
      </c>
      <c r="F31" s="32">
        <v>186</v>
      </c>
      <c r="G31" s="32">
        <v>281</v>
      </c>
      <c r="H31" s="32">
        <v>5328</v>
      </c>
      <c r="I31" s="32">
        <v>0</v>
      </c>
      <c r="J31" s="34"/>
      <c r="K31" s="31">
        <v>26</v>
      </c>
      <c r="L31" s="55">
        <v>3</v>
      </c>
      <c r="M31" s="55">
        <v>10</v>
      </c>
      <c r="N31" s="55">
        <v>2</v>
      </c>
      <c r="O31" s="32">
        <v>15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4865</v>
      </c>
      <c r="C32" s="32">
        <v>0</v>
      </c>
      <c r="D32" s="32">
        <v>884</v>
      </c>
      <c r="E32" s="32">
        <v>113</v>
      </c>
      <c r="F32" s="32">
        <v>116</v>
      </c>
      <c r="G32" s="32">
        <v>241</v>
      </c>
      <c r="H32" s="32">
        <v>6219</v>
      </c>
      <c r="I32" s="32">
        <v>0</v>
      </c>
      <c r="J32" s="34"/>
      <c r="K32" s="31">
        <v>27</v>
      </c>
      <c r="L32" s="55">
        <v>0</v>
      </c>
      <c r="M32" s="55">
        <v>7</v>
      </c>
      <c r="N32" s="55">
        <v>1</v>
      </c>
      <c r="O32" s="32">
        <v>8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2742</v>
      </c>
      <c r="C33" s="32">
        <v>0</v>
      </c>
      <c r="D33" s="32">
        <v>1118</v>
      </c>
      <c r="E33" s="32">
        <v>160</v>
      </c>
      <c r="F33" s="32">
        <v>188</v>
      </c>
      <c r="G33" s="32">
        <v>317</v>
      </c>
      <c r="H33" s="32">
        <v>4525</v>
      </c>
      <c r="I33" s="32">
        <v>0</v>
      </c>
      <c r="J33" s="34"/>
      <c r="K33" s="31">
        <v>28</v>
      </c>
      <c r="L33" s="55">
        <v>5</v>
      </c>
      <c r="M33" s="55">
        <v>8</v>
      </c>
      <c r="N33" s="55">
        <v>0</v>
      </c>
      <c r="O33" s="32">
        <v>13</v>
      </c>
      <c r="P33" s="47">
        <v>6135</v>
      </c>
    </row>
    <row r="34" spans="1:16" ht="15.6" thickTop="1" thickBot="1" x14ac:dyDescent="0.35">
      <c r="A34" s="31">
        <v>29</v>
      </c>
      <c r="B34" s="32">
        <v>2536</v>
      </c>
      <c r="C34" s="32">
        <v>0</v>
      </c>
      <c r="D34" s="32">
        <v>1338</v>
      </c>
      <c r="E34" s="32">
        <v>202</v>
      </c>
      <c r="F34" s="32">
        <v>196</v>
      </c>
      <c r="G34" s="32">
        <v>328</v>
      </c>
      <c r="H34" s="32">
        <v>4600</v>
      </c>
      <c r="I34" s="32">
        <v>0</v>
      </c>
      <c r="J34" s="34"/>
      <c r="K34" s="31">
        <v>29</v>
      </c>
      <c r="L34" s="32">
        <v>3</v>
      </c>
      <c r="M34" s="32">
        <v>12</v>
      </c>
      <c r="N34" s="32">
        <v>7</v>
      </c>
      <c r="O34" s="32">
        <v>22</v>
      </c>
      <c r="P34" s="47">
        <v>6135</v>
      </c>
    </row>
    <row r="35" spans="1:16" ht="15.6" thickTop="1" thickBot="1" x14ac:dyDescent="0.35">
      <c r="A35" s="31">
        <v>30</v>
      </c>
      <c r="B35" s="32">
        <v>2640</v>
      </c>
      <c r="C35" s="32">
        <v>0</v>
      </c>
      <c r="D35" s="32">
        <v>1358</v>
      </c>
      <c r="E35" s="32">
        <v>195</v>
      </c>
      <c r="F35" s="32">
        <v>211</v>
      </c>
      <c r="G35" s="32">
        <v>378</v>
      </c>
      <c r="H35" s="32">
        <v>4782</v>
      </c>
      <c r="I35" s="32">
        <v>0</v>
      </c>
      <c r="J35" s="34"/>
      <c r="K35" s="31">
        <v>30</v>
      </c>
      <c r="L35" s="32">
        <v>6</v>
      </c>
      <c r="M35" s="32">
        <v>15</v>
      </c>
      <c r="N35" s="32">
        <v>6</v>
      </c>
      <c r="O35" s="32">
        <v>27</v>
      </c>
      <c r="P35" s="47">
        <v>6135</v>
      </c>
    </row>
    <row r="36" spans="1:16" ht="15.6" thickTop="1" thickBot="1" x14ac:dyDescent="0.35">
      <c r="A36" s="31">
        <v>31</v>
      </c>
      <c r="B36" s="32">
        <v>2678</v>
      </c>
      <c r="C36" s="32">
        <v>0</v>
      </c>
      <c r="D36" s="32">
        <v>1372</v>
      </c>
      <c r="E36" s="32">
        <v>199</v>
      </c>
      <c r="F36" s="32">
        <v>182</v>
      </c>
      <c r="G36" s="32">
        <v>372</v>
      </c>
      <c r="H36" s="32">
        <v>4803</v>
      </c>
      <c r="I36" s="32">
        <v>0</v>
      </c>
      <c r="J36" s="34"/>
      <c r="K36" s="31">
        <v>31</v>
      </c>
      <c r="L36" s="32">
        <v>2</v>
      </c>
      <c r="M36" s="32">
        <v>26</v>
      </c>
      <c r="N36" s="32">
        <v>5</v>
      </c>
      <c r="O36" s="32">
        <v>33</v>
      </c>
      <c r="P36" s="47">
        <v>6135</v>
      </c>
    </row>
    <row r="37" spans="1:16" ht="15" thickTop="1" x14ac:dyDescent="0.3">
      <c r="A37" s="56" t="s">
        <v>19</v>
      </c>
      <c r="B37" s="58">
        <v>146435</v>
      </c>
      <c r="C37" s="58">
        <v>0</v>
      </c>
      <c r="D37" s="58">
        <v>35959</v>
      </c>
      <c r="E37" s="58">
        <v>4897</v>
      </c>
      <c r="F37" s="58">
        <v>5406</v>
      </c>
      <c r="G37" s="58">
        <v>9378</v>
      </c>
      <c r="H37" s="58">
        <v>202075</v>
      </c>
      <c r="I37" s="58">
        <v>0</v>
      </c>
      <c r="J37" s="58"/>
      <c r="K37" s="58"/>
      <c r="L37" s="58">
        <v>86</v>
      </c>
      <c r="M37" s="58">
        <v>418</v>
      </c>
      <c r="N37" s="58">
        <v>81</v>
      </c>
      <c r="O37" s="58"/>
      <c r="P37" s="59"/>
    </row>
    <row r="38" spans="1:16" x14ac:dyDescent="0.3">
      <c r="A38" s="56" t="s">
        <v>19</v>
      </c>
      <c r="B38" s="98">
        <v>146435</v>
      </c>
      <c r="C38" s="98"/>
      <c r="D38" s="58">
        <v>35959</v>
      </c>
      <c r="E38" s="58">
        <v>4897</v>
      </c>
      <c r="F38" s="58">
        <v>5406</v>
      </c>
      <c r="G38" s="58">
        <v>9378</v>
      </c>
      <c r="H38" s="78">
        <v>202075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585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BB57-1905-4DAC-A895-A1F333036F93}">
  <dimension ref="A1:Z46"/>
  <sheetViews>
    <sheetView workbookViewId="0">
      <selection activeCell="E41" sqref="E41"/>
    </sheetView>
  </sheetViews>
  <sheetFormatPr baseColWidth="10" defaultColWidth="11.44140625" defaultRowHeight="13.8" x14ac:dyDescent="0.3"/>
  <cols>
    <col min="1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s="1" customFormat="1" ht="15.6" x14ac:dyDescent="0.3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9" s="1" customFormat="1" ht="15.6" x14ac:dyDescent="0.3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9" ht="78" customHeight="1" x14ac:dyDescent="0.3">
      <c r="A4" s="83" t="s">
        <v>1</v>
      </c>
      <c r="B4" s="79" t="s">
        <v>2</v>
      </c>
      <c r="C4" s="79"/>
      <c r="D4" s="2" t="s">
        <v>3</v>
      </c>
      <c r="E4" s="2" t="s">
        <v>4</v>
      </c>
      <c r="F4" s="2" t="s">
        <v>5</v>
      </c>
      <c r="G4" s="2" t="s">
        <v>6</v>
      </c>
      <c r="H4" s="79" t="s">
        <v>7</v>
      </c>
      <c r="I4" s="79" t="s">
        <v>8</v>
      </c>
      <c r="J4" s="3"/>
      <c r="K4" s="85" t="s">
        <v>1</v>
      </c>
      <c r="L4" s="79" t="s">
        <v>9</v>
      </c>
      <c r="M4" s="79" t="s">
        <v>10</v>
      </c>
      <c r="N4" s="79" t="s">
        <v>11</v>
      </c>
      <c r="O4" s="79" t="s">
        <v>12</v>
      </c>
    </row>
    <row r="5" spans="1:19" ht="18" customHeight="1" x14ac:dyDescent="0.3">
      <c r="A5" s="84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79"/>
      <c r="I5" s="79"/>
      <c r="J5" s="3"/>
      <c r="K5" s="85"/>
      <c r="L5" s="79"/>
      <c r="M5" s="79"/>
      <c r="N5" s="79"/>
      <c r="O5" s="79"/>
    </row>
    <row r="6" spans="1:19" ht="18" customHeight="1" thickBot="1" x14ac:dyDescent="0.35">
      <c r="A6" s="6">
        <v>1</v>
      </c>
      <c r="B6" s="7">
        <v>4248</v>
      </c>
      <c r="C6" s="7">
        <v>0</v>
      </c>
      <c r="D6" s="7">
        <v>1195</v>
      </c>
      <c r="E6" s="7">
        <v>177</v>
      </c>
      <c r="F6" s="7">
        <v>191</v>
      </c>
      <c r="G6" s="7">
        <v>301</v>
      </c>
      <c r="H6" s="7">
        <f>SUM(B6:G6)</f>
        <v>6112</v>
      </c>
      <c r="I6" s="7">
        <v>0</v>
      </c>
      <c r="J6" s="8"/>
      <c r="K6" s="6">
        <v>1</v>
      </c>
      <c r="L6" s="9">
        <v>0</v>
      </c>
      <c r="M6" s="9">
        <v>8</v>
      </c>
      <c r="N6" s="9">
        <v>2</v>
      </c>
      <c r="O6" s="7">
        <f>SUM(L6:N6)</f>
        <v>10</v>
      </c>
      <c r="P6" s="10">
        <v>6135</v>
      </c>
    </row>
    <row r="7" spans="1:19" ht="18" customHeight="1" thickTop="1" thickBot="1" x14ac:dyDescent="0.35">
      <c r="A7" s="6">
        <v>2</v>
      </c>
      <c r="B7" s="7">
        <v>4201</v>
      </c>
      <c r="C7" s="7">
        <v>0</v>
      </c>
      <c r="D7" s="7">
        <v>1070</v>
      </c>
      <c r="E7" s="7">
        <v>137</v>
      </c>
      <c r="F7" s="7">
        <v>173</v>
      </c>
      <c r="G7" s="7">
        <v>260</v>
      </c>
      <c r="H7" s="7">
        <f>SUM(B7:G7)</f>
        <v>5841</v>
      </c>
      <c r="I7" s="7">
        <v>0</v>
      </c>
      <c r="J7" s="8"/>
      <c r="K7" s="6">
        <v>2</v>
      </c>
      <c r="L7" s="9">
        <v>0</v>
      </c>
      <c r="M7" s="9">
        <v>10</v>
      </c>
      <c r="N7" s="9">
        <v>1</v>
      </c>
      <c r="O7" s="7">
        <f t="shared" ref="O7:O36" si="0">SUM(L7:N7)</f>
        <v>11</v>
      </c>
      <c r="P7" s="10">
        <f>+P6</f>
        <v>6135</v>
      </c>
    </row>
    <row r="8" spans="1:19" ht="18" customHeight="1" thickTop="1" thickBot="1" x14ac:dyDescent="0.35">
      <c r="A8" s="6">
        <v>3</v>
      </c>
      <c r="B8" s="7">
        <v>5656</v>
      </c>
      <c r="C8" s="7">
        <v>0</v>
      </c>
      <c r="D8" s="7">
        <v>958</v>
      </c>
      <c r="E8" s="7">
        <v>116</v>
      </c>
      <c r="F8" s="7">
        <v>102</v>
      </c>
      <c r="G8" s="7">
        <v>246</v>
      </c>
      <c r="H8" s="7">
        <f t="shared" ref="H8:H36" si="1">SUM(B8:G8)</f>
        <v>7078</v>
      </c>
      <c r="I8" s="7">
        <v>0</v>
      </c>
      <c r="J8" s="8"/>
      <c r="K8" s="6">
        <v>3</v>
      </c>
      <c r="L8" s="9">
        <v>1</v>
      </c>
      <c r="M8" s="9">
        <v>8</v>
      </c>
      <c r="N8" s="9">
        <v>2</v>
      </c>
      <c r="O8" s="7">
        <f t="shared" si="0"/>
        <v>11</v>
      </c>
      <c r="P8" s="10">
        <f t="shared" ref="P8:P36" si="2">+P7</f>
        <v>6135</v>
      </c>
      <c r="S8" s="11"/>
    </row>
    <row r="9" spans="1:19" ht="18" customHeight="1" thickTop="1" thickBot="1" x14ac:dyDescent="0.35">
      <c r="A9" s="6">
        <v>4</v>
      </c>
      <c r="B9" s="7">
        <v>2665</v>
      </c>
      <c r="C9" s="7">
        <v>0</v>
      </c>
      <c r="D9" s="7">
        <v>1144</v>
      </c>
      <c r="E9" s="7">
        <v>167</v>
      </c>
      <c r="F9" s="7">
        <v>175</v>
      </c>
      <c r="G9" s="7">
        <v>277</v>
      </c>
      <c r="H9" s="7">
        <f t="shared" si="1"/>
        <v>4428</v>
      </c>
      <c r="I9" s="7">
        <v>0</v>
      </c>
      <c r="J9" s="8"/>
      <c r="K9" s="6">
        <v>4</v>
      </c>
      <c r="L9" s="9">
        <v>2</v>
      </c>
      <c r="M9" s="9">
        <v>13</v>
      </c>
      <c r="N9" s="9">
        <v>2</v>
      </c>
      <c r="O9" s="7">
        <f t="shared" si="0"/>
        <v>17</v>
      </c>
      <c r="P9" s="10">
        <f t="shared" si="2"/>
        <v>6135</v>
      </c>
    </row>
    <row r="10" spans="1:19" ht="18" customHeight="1" thickTop="1" thickBot="1" x14ac:dyDescent="0.35">
      <c r="A10" s="6">
        <v>5</v>
      </c>
      <c r="B10" s="7">
        <v>2403</v>
      </c>
      <c r="C10" s="7">
        <v>0</v>
      </c>
      <c r="D10" s="7">
        <v>1305</v>
      </c>
      <c r="E10" s="7">
        <v>199</v>
      </c>
      <c r="F10" s="7">
        <v>175</v>
      </c>
      <c r="G10" s="7">
        <v>326</v>
      </c>
      <c r="H10" s="7">
        <f t="shared" si="1"/>
        <v>4408</v>
      </c>
      <c r="I10" s="7">
        <v>0</v>
      </c>
      <c r="J10" s="8"/>
      <c r="K10" s="6">
        <v>5</v>
      </c>
      <c r="L10" s="9">
        <v>0</v>
      </c>
      <c r="M10" s="9">
        <v>8</v>
      </c>
      <c r="N10" s="9">
        <v>8</v>
      </c>
      <c r="O10" s="7">
        <f t="shared" si="0"/>
        <v>16</v>
      </c>
      <c r="P10" s="10">
        <f t="shared" si="2"/>
        <v>6135</v>
      </c>
    </row>
    <row r="11" spans="1:19" ht="18" customHeight="1" thickTop="1" thickBot="1" x14ac:dyDescent="0.35">
      <c r="A11" s="6">
        <v>6</v>
      </c>
      <c r="B11" s="7">
        <v>2876</v>
      </c>
      <c r="C11" s="7">
        <v>0</v>
      </c>
      <c r="D11" s="7">
        <v>1162</v>
      </c>
      <c r="E11" s="7">
        <v>197</v>
      </c>
      <c r="F11" s="7">
        <v>202</v>
      </c>
      <c r="G11" s="7">
        <v>311</v>
      </c>
      <c r="H11" s="7">
        <f t="shared" si="1"/>
        <v>4748</v>
      </c>
      <c r="I11" s="7">
        <v>0</v>
      </c>
      <c r="J11" s="8"/>
      <c r="K11" s="6">
        <v>6</v>
      </c>
      <c r="L11" s="9">
        <v>7</v>
      </c>
      <c r="M11" s="9">
        <v>16</v>
      </c>
      <c r="N11" s="9">
        <v>1</v>
      </c>
      <c r="O11" s="7">
        <f t="shared" si="0"/>
        <v>24</v>
      </c>
      <c r="P11" s="10">
        <f t="shared" si="2"/>
        <v>6135</v>
      </c>
    </row>
    <row r="12" spans="1:19" ht="18" customHeight="1" thickTop="1" thickBot="1" x14ac:dyDescent="0.35">
      <c r="A12" s="6">
        <v>7</v>
      </c>
      <c r="B12" s="7">
        <v>2797</v>
      </c>
      <c r="C12" s="7">
        <v>0</v>
      </c>
      <c r="D12" s="7">
        <v>984</v>
      </c>
      <c r="E12" s="7">
        <v>146</v>
      </c>
      <c r="F12" s="7">
        <v>157</v>
      </c>
      <c r="G12" s="7">
        <v>248</v>
      </c>
      <c r="H12" s="7">
        <f t="shared" si="1"/>
        <v>4332</v>
      </c>
      <c r="I12" s="7">
        <v>0</v>
      </c>
      <c r="J12" s="12"/>
      <c r="K12" s="6">
        <v>7</v>
      </c>
      <c r="L12" s="9">
        <v>2</v>
      </c>
      <c r="M12" s="9">
        <v>20</v>
      </c>
      <c r="N12" s="9">
        <v>2</v>
      </c>
      <c r="O12" s="7">
        <f t="shared" si="0"/>
        <v>24</v>
      </c>
      <c r="P12" s="10">
        <f t="shared" si="2"/>
        <v>6135</v>
      </c>
    </row>
    <row r="13" spans="1:19" ht="18" customHeight="1" thickTop="1" thickBot="1" x14ac:dyDescent="0.35">
      <c r="A13" s="6">
        <v>8</v>
      </c>
      <c r="B13" s="7">
        <v>3918</v>
      </c>
      <c r="C13" s="7">
        <v>0</v>
      </c>
      <c r="D13" s="7">
        <v>1057</v>
      </c>
      <c r="E13" s="7">
        <v>142</v>
      </c>
      <c r="F13" s="7">
        <v>155</v>
      </c>
      <c r="G13" s="7">
        <v>222</v>
      </c>
      <c r="H13" s="7">
        <f t="shared" si="1"/>
        <v>5494</v>
      </c>
      <c r="I13" s="7">
        <v>0</v>
      </c>
      <c r="J13" s="12"/>
      <c r="K13" s="6">
        <v>8</v>
      </c>
      <c r="L13" s="9">
        <v>3</v>
      </c>
      <c r="M13" s="9">
        <v>4</v>
      </c>
      <c r="N13" s="9">
        <v>3</v>
      </c>
      <c r="O13" s="7">
        <f t="shared" si="0"/>
        <v>10</v>
      </c>
      <c r="P13" s="10">
        <f t="shared" si="2"/>
        <v>6135</v>
      </c>
    </row>
    <row r="14" spans="1:19" s="14" customFormat="1" ht="18" customHeight="1" thickTop="1" thickBot="1" x14ac:dyDescent="0.35">
      <c r="A14" s="6">
        <v>9</v>
      </c>
      <c r="B14" s="7">
        <v>4128</v>
      </c>
      <c r="C14" s="7">
        <v>0</v>
      </c>
      <c r="D14" s="7">
        <v>1011</v>
      </c>
      <c r="E14" s="7">
        <v>117</v>
      </c>
      <c r="F14" s="7">
        <v>131</v>
      </c>
      <c r="G14" s="7">
        <v>189</v>
      </c>
      <c r="H14" s="7">
        <f t="shared" si="1"/>
        <v>5576</v>
      </c>
      <c r="I14" s="7">
        <v>0</v>
      </c>
      <c r="J14" s="12"/>
      <c r="K14" s="6">
        <v>9</v>
      </c>
      <c r="L14" s="9">
        <v>3</v>
      </c>
      <c r="M14" s="9">
        <v>6</v>
      </c>
      <c r="N14" s="9">
        <v>1</v>
      </c>
      <c r="O14" s="7">
        <f t="shared" si="0"/>
        <v>10</v>
      </c>
      <c r="P14" s="13">
        <f t="shared" si="2"/>
        <v>6135</v>
      </c>
    </row>
    <row r="15" spans="1:19" ht="18" customHeight="1" thickTop="1" thickBot="1" x14ac:dyDescent="0.35">
      <c r="A15" s="6">
        <v>10</v>
      </c>
      <c r="B15" s="7">
        <v>6061</v>
      </c>
      <c r="C15" s="7">
        <v>0</v>
      </c>
      <c r="D15" s="7">
        <v>879</v>
      </c>
      <c r="E15" s="7">
        <v>107</v>
      </c>
      <c r="F15" s="7">
        <v>81</v>
      </c>
      <c r="G15" s="7">
        <v>239</v>
      </c>
      <c r="H15" s="7">
        <f t="shared" si="1"/>
        <v>7367</v>
      </c>
      <c r="I15" s="7">
        <v>0</v>
      </c>
      <c r="J15" s="12"/>
      <c r="K15" s="6">
        <v>10</v>
      </c>
      <c r="L15" s="9">
        <v>2</v>
      </c>
      <c r="M15" s="9">
        <v>8</v>
      </c>
      <c r="N15" s="9">
        <v>1</v>
      </c>
      <c r="O15" s="7">
        <f t="shared" si="0"/>
        <v>11</v>
      </c>
      <c r="P15" s="10">
        <f t="shared" si="2"/>
        <v>6135</v>
      </c>
    </row>
    <row r="16" spans="1:19" ht="18" customHeight="1" thickTop="1" thickBot="1" x14ac:dyDescent="0.35">
      <c r="A16" s="6">
        <v>11</v>
      </c>
      <c r="B16" s="7">
        <v>2697</v>
      </c>
      <c r="C16" s="7">
        <v>0</v>
      </c>
      <c r="D16" s="7">
        <v>1128</v>
      </c>
      <c r="E16" s="7">
        <v>156</v>
      </c>
      <c r="F16" s="7">
        <v>166</v>
      </c>
      <c r="G16" s="7">
        <v>303</v>
      </c>
      <c r="H16" s="7">
        <f t="shared" si="1"/>
        <v>4450</v>
      </c>
      <c r="I16" s="7">
        <v>0</v>
      </c>
      <c r="J16" s="12"/>
      <c r="K16" s="6">
        <v>11</v>
      </c>
      <c r="L16" s="9">
        <v>1</v>
      </c>
      <c r="M16" s="9">
        <v>15</v>
      </c>
      <c r="N16" s="9">
        <v>2</v>
      </c>
      <c r="O16" s="7">
        <f t="shared" si="0"/>
        <v>18</v>
      </c>
      <c r="P16" s="10">
        <f t="shared" si="2"/>
        <v>6135</v>
      </c>
    </row>
    <row r="17" spans="1:26" ht="18" customHeight="1" thickTop="1" thickBot="1" x14ac:dyDescent="0.35">
      <c r="A17" s="6">
        <v>12</v>
      </c>
      <c r="B17" s="7">
        <v>2544</v>
      </c>
      <c r="C17" s="7">
        <v>0</v>
      </c>
      <c r="D17" s="7">
        <v>1255</v>
      </c>
      <c r="E17" s="7">
        <v>175</v>
      </c>
      <c r="F17" s="7">
        <v>184</v>
      </c>
      <c r="G17" s="7">
        <v>308</v>
      </c>
      <c r="H17" s="7">
        <f t="shared" si="1"/>
        <v>4466</v>
      </c>
      <c r="I17" s="7">
        <v>22</v>
      </c>
      <c r="J17" s="12">
        <v>1</v>
      </c>
      <c r="K17" s="6">
        <v>12</v>
      </c>
      <c r="L17" s="9">
        <v>3</v>
      </c>
      <c r="M17" s="9">
        <v>22</v>
      </c>
      <c r="N17" s="9">
        <v>1</v>
      </c>
      <c r="O17" s="7">
        <f t="shared" si="0"/>
        <v>26</v>
      </c>
      <c r="P17" s="10">
        <f t="shared" si="2"/>
        <v>6135</v>
      </c>
    </row>
    <row r="18" spans="1:26" ht="18" customHeight="1" thickTop="1" thickBot="1" x14ac:dyDescent="0.35">
      <c r="A18" s="6">
        <v>13</v>
      </c>
      <c r="B18" s="7">
        <v>2609</v>
      </c>
      <c r="C18" s="7">
        <v>0</v>
      </c>
      <c r="D18" s="7">
        <v>1322</v>
      </c>
      <c r="E18" s="7">
        <v>192</v>
      </c>
      <c r="F18" s="7">
        <v>195</v>
      </c>
      <c r="G18" s="7">
        <v>312</v>
      </c>
      <c r="H18" s="7">
        <f t="shared" si="1"/>
        <v>4630</v>
      </c>
      <c r="I18" s="7">
        <v>0</v>
      </c>
      <c r="J18" s="12"/>
      <c r="K18" s="6">
        <v>13</v>
      </c>
      <c r="L18" s="9">
        <v>1</v>
      </c>
      <c r="M18" s="9">
        <v>16</v>
      </c>
      <c r="N18" s="9">
        <v>2</v>
      </c>
      <c r="O18" s="7">
        <f t="shared" si="0"/>
        <v>19</v>
      </c>
      <c r="P18" s="10">
        <f t="shared" si="2"/>
        <v>6135</v>
      </c>
    </row>
    <row r="19" spans="1:26" ht="18" customHeight="1" thickTop="1" thickBot="1" x14ac:dyDescent="0.35">
      <c r="A19" s="6">
        <v>14</v>
      </c>
      <c r="B19" s="7">
        <v>2912</v>
      </c>
      <c r="C19" s="7">
        <v>0</v>
      </c>
      <c r="D19" s="7">
        <v>1296</v>
      </c>
      <c r="E19" s="7">
        <v>180</v>
      </c>
      <c r="F19" s="7">
        <v>186</v>
      </c>
      <c r="G19" s="7">
        <v>341</v>
      </c>
      <c r="H19" s="7">
        <f t="shared" si="1"/>
        <v>4915</v>
      </c>
      <c r="I19" s="7">
        <v>0</v>
      </c>
      <c r="J19" s="12"/>
      <c r="K19" s="6">
        <v>14</v>
      </c>
      <c r="L19" s="9">
        <v>1</v>
      </c>
      <c r="M19" s="9">
        <v>16</v>
      </c>
      <c r="N19" s="9">
        <v>1</v>
      </c>
      <c r="O19" s="7">
        <f t="shared" si="0"/>
        <v>18</v>
      </c>
      <c r="P19" s="10">
        <f t="shared" si="2"/>
        <v>6135</v>
      </c>
    </row>
    <row r="20" spans="1:26" ht="18" customHeight="1" thickTop="1" thickBot="1" x14ac:dyDescent="0.35">
      <c r="A20" s="6">
        <v>15</v>
      </c>
      <c r="B20" s="7">
        <v>4302</v>
      </c>
      <c r="C20" s="7">
        <v>0</v>
      </c>
      <c r="D20" s="7">
        <v>1282</v>
      </c>
      <c r="E20" s="7">
        <v>156</v>
      </c>
      <c r="F20" s="7">
        <v>204</v>
      </c>
      <c r="G20" s="7">
        <v>296</v>
      </c>
      <c r="H20" s="7">
        <f t="shared" si="1"/>
        <v>6240</v>
      </c>
      <c r="I20" s="7">
        <v>0</v>
      </c>
      <c r="J20" s="12"/>
      <c r="K20" s="6">
        <v>15</v>
      </c>
      <c r="L20" s="9">
        <v>3</v>
      </c>
      <c r="M20" s="9">
        <v>10</v>
      </c>
      <c r="N20" s="9">
        <v>3</v>
      </c>
      <c r="O20" s="7">
        <f t="shared" si="0"/>
        <v>16</v>
      </c>
      <c r="P20" s="10">
        <f t="shared" si="2"/>
        <v>6135</v>
      </c>
    </row>
    <row r="21" spans="1:26" ht="18" customHeight="1" thickTop="1" thickBot="1" x14ac:dyDescent="0.35">
      <c r="A21" s="6">
        <v>16</v>
      </c>
      <c r="B21" s="7">
        <v>4367</v>
      </c>
      <c r="C21" s="7">
        <v>0</v>
      </c>
      <c r="D21" s="7">
        <v>1033</v>
      </c>
      <c r="E21" s="7">
        <v>129</v>
      </c>
      <c r="F21" s="7">
        <v>160</v>
      </c>
      <c r="G21" s="7">
        <v>238</v>
      </c>
      <c r="H21" s="7">
        <f t="shared" si="1"/>
        <v>5927</v>
      </c>
      <c r="I21" s="7">
        <v>0</v>
      </c>
      <c r="J21" s="12"/>
      <c r="K21" s="6">
        <v>16</v>
      </c>
      <c r="L21" s="9">
        <v>4</v>
      </c>
      <c r="M21" s="9">
        <v>16</v>
      </c>
      <c r="N21" s="9">
        <v>2</v>
      </c>
      <c r="O21" s="7">
        <f t="shared" si="0"/>
        <v>22</v>
      </c>
      <c r="P21" s="10">
        <f>+P20</f>
        <v>6135</v>
      </c>
    </row>
    <row r="22" spans="1:26" ht="18" customHeight="1" thickTop="1" thickBot="1" x14ac:dyDescent="0.35">
      <c r="A22" s="6">
        <v>17</v>
      </c>
      <c r="B22" s="7">
        <v>6277</v>
      </c>
      <c r="C22" s="7">
        <v>0</v>
      </c>
      <c r="D22" s="7">
        <v>897</v>
      </c>
      <c r="E22" s="7">
        <v>109</v>
      </c>
      <c r="F22" s="7">
        <v>97</v>
      </c>
      <c r="G22" s="7">
        <v>225</v>
      </c>
      <c r="H22" s="7">
        <f t="shared" si="1"/>
        <v>7605</v>
      </c>
      <c r="I22" s="7">
        <v>0</v>
      </c>
      <c r="J22" s="12"/>
      <c r="K22" s="6">
        <v>17</v>
      </c>
      <c r="L22" s="9">
        <v>5</v>
      </c>
      <c r="M22" s="9">
        <v>6</v>
      </c>
      <c r="N22" s="9">
        <v>2</v>
      </c>
      <c r="O22" s="7">
        <f t="shared" si="0"/>
        <v>13</v>
      </c>
      <c r="P22" s="10">
        <f t="shared" si="2"/>
        <v>6135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 thickTop="1" thickBot="1" x14ac:dyDescent="0.35">
      <c r="A23" s="6">
        <v>18</v>
      </c>
      <c r="B23" s="7">
        <v>2917</v>
      </c>
      <c r="C23" s="7">
        <v>0</v>
      </c>
      <c r="D23" s="7">
        <v>1064</v>
      </c>
      <c r="E23" s="7">
        <v>165</v>
      </c>
      <c r="F23" s="7">
        <v>150</v>
      </c>
      <c r="G23" s="7">
        <v>335</v>
      </c>
      <c r="H23" s="7">
        <f t="shared" si="1"/>
        <v>4631</v>
      </c>
      <c r="I23" s="7">
        <v>0</v>
      </c>
      <c r="J23" s="12"/>
      <c r="K23" s="6">
        <v>18</v>
      </c>
      <c r="L23" s="9">
        <v>4</v>
      </c>
      <c r="M23" s="9">
        <v>18</v>
      </c>
      <c r="N23" s="9">
        <v>2</v>
      </c>
      <c r="O23" s="7">
        <f t="shared" si="0"/>
        <v>24</v>
      </c>
      <c r="P23" s="10">
        <f t="shared" si="2"/>
        <v>6135</v>
      </c>
    </row>
    <row r="24" spans="1:26" ht="18" customHeight="1" thickTop="1" thickBot="1" x14ac:dyDescent="0.35">
      <c r="A24" s="6">
        <v>19</v>
      </c>
      <c r="B24" s="7">
        <v>2590</v>
      </c>
      <c r="C24" s="7">
        <v>0</v>
      </c>
      <c r="D24" s="7">
        <v>1277</v>
      </c>
      <c r="E24" s="7">
        <v>185</v>
      </c>
      <c r="F24" s="7">
        <v>157</v>
      </c>
      <c r="G24" s="7">
        <v>331</v>
      </c>
      <c r="H24" s="7">
        <f t="shared" si="1"/>
        <v>4540</v>
      </c>
      <c r="I24" s="7">
        <v>0</v>
      </c>
      <c r="J24" s="12"/>
      <c r="K24" s="6">
        <v>19</v>
      </c>
      <c r="L24" s="9">
        <v>2</v>
      </c>
      <c r="M24" s="9">
        <v>10</v>
      </c>
      <c r="N24" s="9">
        <v>3</v>
      </c>
      <c r="O24" s="7">
        <f t="shared" si="0"/>
        <v>15</v>
      </c>
      <c r="P24" s="10">
        <f t="shared" si="2"/>
        <v>6135</v>
      </c>
    </row>
    <row r="25" spans="1:26" ht="18" customHeight="1" thickTop="1" thickBot="1" x14ac:dyDescent="0.35">
      <c r="A25" s="6">
        <v>20</v>
      </c>
      <c r="B25" s="7">
        <v>2730</v>
      </c>
      <c r="C25" s="7">
        <v>0</v>
      </c>
      <c r="D25" s="7">
        <v>1286</v>
      </c>
      <c r="E25" s="7">
        <v>167</v>
      </c>
      <c r="F25" s="7">
        <v>197</v>
      </c>
      <c r="G25" s="7">
        <v>295</v>
      </c>
      <c r="H25" s="7">
        <f t="shared" si="1"/>
        <v>4675</v>
      </c>
      <c r="I25" s="7">
        <v>0</v>
      </c>
      <c r="J25" s="12"/>
      <c r="K25" s="6">
        <v>20</v>
      </c>
      <c r="L25" s="9">
        <v>2</v>
      </c>
      <c r="M25" s="9">
        <v>15</v>
      </c>
      <c r="N25" s="9">
        <v>3</v>
      </c>
      <c r="O25" s="7">
        <f t="shared" si="0"/>
        <v>20</v>
      </c>
      <c r="P25" s="10">
        <f t="shared" si="2"/>
        <v>6135</v>
      </c>
    </row>
    <row r="26" spans="1:26" ht="18" customHeight="1" thickTop="1" thickBot="1" x14ac:dyDescent="0.35">
      <c r="A26" s="6">
        <v>21</v>
      </c>
      <c r="B26" s="7">
        <v>3159</v>
      </c>
      <c r="C26" s="7">
        <v>0</v>
      </c>
      <c r="D26" s="7">
        <v>1255</v>
      </c>
      <c r="E26" s="7">
        <v>190</v>
      </c>
      <c r="F26" s="7">
        <v>203</v>
      </c>
      <c r="G26" s="7">
        <v>354</v>
      </c>
      <c r="H26" s="7">
        <f t="shared" si="1"/>
        <v>5161</v>
      </c>
      <c r="I26" s="7">
        <v>0</v>
      </c>
      <c r="J26" s="12"/>
      <c r="K26" s="6">
        <v>21</v>
      </c>
      <c r="L26" s="9">
        <v>5</v>
      </c>
      <c r="M26" s="9">
        <v>16</v>
      </c>
      <c r="N26" s="9">
        <v>2</v>
      </c>
      <c r="O26" s="7">
        <f t="shared" si="0"/>
        <v>23</v>
      </c>
      <c r="P26" s="10">
        <f t="shared" si="2"/>
        <v>6135</v>
      </c>
    </row>
    <row r="27" spans="1:26" ht="18" customHeight="1" thickTop="1" thickBot="1" x14ac:dyDescent="0.35">
      <c r="A27" s="6">
        <v>22</v>
      </c>
      <c r="B27" s="7">
        <v>4458</v>
      </c>
      <c r="C27" s="7">
        <v>0</v>
      </c>
      <c r="D27" s="7">
        <v>1229</v>
      </c>
      <c r="E27" s="7">
        <v>175</v>
      </c>
      <c r="F27" s="7">
        <v>198</v>
      </c>
      <c r="G27" s="7">
        <v>321</v>
      </c>
      <c r="H27" s="7">
        <f t="shared" si="1"/>
        <v>6381</v>
      </c>
      <c r="I27" s="7">
        <v>0</v>
      </c>
      <c r="J27" s="12"/>
      <c r="K27" s="6">
        <v>22</v>
      </c>
      <c r="L27" s="9">
        <v>1</v>
      </c>
      <c r="M27" s="9">
        <v>16</v>
      </c>
      <c r="N27" s="9">
        <v>4</v>
      </c>
      <c r="O27" s="7">
        <f t="shared" si="0"/>
        <v>21</v>
      </c>
      <c r="P27" s="10">
        <f t="shared" si="2"/>
        <v>6135</v>
      </c>
    </row>
    <row r="28" spans="1:26" ht="18" customHeight="1" thickTop="1" thickBot="1" x14ac:dyDescent="0.35">
      <c r="A28" s="6">
        <v>23</v>
      </c>
      <c r="B28" s="7">
        <v>4335</v>
      </c>
      <c r="C28" s="7">
        <v>0</v>
      </c>
      <c r="D28" s="7">
        <v>1088</v>
      </c>
      <c r="E28" s="7">
        <v>146</v>
      </c>
      <c r="F28" s="7">
        <v>174</v>
      </c>
      <c r="G28" s="7">
        <v>263</v>
      </c>
      <c r="H28" s="7">
        <f t="shared" si="1"/>
        <v>6006</v>
      </c>
      <c r="I28" s="7">
        <v>0</v>
      </c>
      <c r="J28" s="12"/>
      <c r="K28" s="6">
        <v>23</v>
      </c>
      <c r="L28" s="9">
        <v>2</v>
      </c>
      <c r="M28" s="9">
        <v>14</v>
      </c>
      <c r="N28" s="9">
        <v>1</v>
      </c>
      <c r="O28" s="7">
        <f t="shared" si="0"/>
        <v>17</v>
      </c>
      <c r="P28" s="10">
        <f t="shared" si="2"/>
        <v>6135</v>
      </c>
    </row>
    <row r="29" spans="1:26" ht="18" customHeight="1" thickTop="1" thickBot="1" x14ac:dyDescent="0.35">
      <c r="A29" s="6">
        <v>24</v>
      </c>
      <c r="B29" s="7">
        <v>6396</v>
      </c>
      <c r="C29" s="7">
        <v>0</v>
      </c>
      <c r="D29" s="7">
        <v>936</v>
      </c>
      <c r="E29" s="7">
        <v>121</v>
      </c>
      <c r="F29" s="7">
        <v>103</v>
      </c>
      <c r="G29" s="7">
        <v>263</v>
      </c>
      <c r="H29" s="7">
        <f t="shared" si="1"/>
        <v>7819</v>
      </c>
      <c r="I29" s="7">
        <v>0</v>
      </c>
      <c r="J29" s="12"/>
      <c r="K29" s="6">
        <v>24</v>
      </c>
      <c r="L29" s="9">
        <v>3</v>
      </c>
      <c r="M29" s="9">
        <v>6</v>
      </c>
      <c r="N29" s="9">
        <v>0</v>
      </c>
      <c r="O29" s="7">
        <f t="shared" si="0"/>
        <v>9</v>
      </c>
      <c r="P29" s="10">
        <f t="shared" si="2"/>
        <v>6135</v>
      </c>
    </row>
    <row r="30" spans="1:26" ht="18" customHeight="1" thickTop="1" thickBot="1" x14ac:dyDescent="0.35">
      <c r="A30" s="6">
        <v>25</v>
      </c>
      <c r="B30" s="7">
        <v>2930</v>
      </c>
      <c r="C30" s="7">
        <v>0</v>
      </c>
      <c r="D30" s="7">
        <v>1166</v>
      </c>
      <c r="E30" s="7">
        <v>155</v>
      </c>
      <c r="F30" s="7">
        <v>208</v>
      </c>
      <c r="G30" s="7">
        <v>309</v>
      </c>
      <c r="H30" s="7">
        <f t="shared" si="1"/>
        <v>4768</v>
      </c>
      <c r="I30" s="7">
        <v>0</v>
      </c>
      <c r="J30" s="12"/>
      <c r="K30" s="6">
        <v>25</v>
      </c>
      <c r="L30" s="9">
        <v>1</v>
      </c>
      <c r="M30" s="9">
        <v>8</v>
      </c>
      <c r="N30" s="9">
        <v>1</v>
      </c>
      <c r="O30" s="7">
        <f t="shared" si="0"/>
        <v>10</v>
      </c>
      <c r="P30" s="10">
        <f t="shared" si="2"/>
        <v>6135</v>
      </c>
    </row>
    <row r="31" spans="1:26" ht="18" customHeight="1" thickTop="1" thickBot="1" x14ac:dyDescent="0.35">
      <c r="A31" s="6">
        <v>26</v>
      </c>
      <c r="B31" s="7">
        <v>2697</v>
      </c>
      <c r="C31" s="7">
        <v>0</v>
      </c>
      <c r="D31" s="7">
        <v>1305</v>
      </c>
      <c r="E31" s="7">
        <v>176</v>
      </c>
      <c r="F31" s="7">
        <v>205</v>
      </c>
      <c r="G31" s="7">
        <v>302</v>
      </c>
      <c r="H31" s="7">
        <f t="shared" si="1"/>
        <v>4685</v>
      </c>
      <c r="I31" s="7">
        <v>0</v>
      </c>
      <c r="J31" s="12"/>
      <c r="K31" s="6">
        <v>26</v>
      </c>
      <c r="L31" s="9">
        <v>1</v>
      </c>
      <c r="M31" s="9">
        <v>10</v>
      </c>
      <c r="N31" s="9">
        <v>5</v>
      </c>
      <c r="O31" s="7">
        <f t="shared" si="0"/>
        <v>16</v>
      </c>
      <c r="P31" s="10">
        <f t="shared" si="2"/>
        <v>6135</v>
      </c>
    </row>
    <row r="32" spans="1:26" ht="18" customHeight="1" thickTop="1" thickBot="1" x14ac:dyDescent="0.35">
      <c r="A32" s="6">
        <v>27</v>
      </c>
      <c r="B32" s="7">
        <v>2760</v>
      </c>
      <c r="C32" s="7">
        <v>0</v>
      </c>
      <c r="D32" s="7">
        <v>1306</v>
      </c>
      <c r="E32" s="7">
        <v>176</v>
      </c>
      <c r="F32" s="7">
        <v>181</v>
      </c>
      <c r="G32" s="7">
        <v>341</v>
      </c>
      <c r="H32" s="7">
        <f t="shared" si="1"/>
        <v>4764</v>
      </c>
      <c r="I32" s="7">
        <v>0</v>
      </c>
      <c r="J32" s="12"/>
      <c r="K32" s="6">
        <v>27</v>
      </c>
      <c r="L32" s="9">
        <v>2</v>
      </c>
      <c r="M32" s="9">
        <v>16</v>
      </c>
      <c r="N32" s="9">
        <v>3</v>
      </c>
      <c r="O32" s="7">
        <f t="shared" si="0"/>
        <v>21</v>
      </c>
      <c r="P32" s="10">
        <f t="shared" si="2"/>
        <v>6135</v>
      </c>
    </row>
    <row r="33" spans="1:16" ht="18" customHeight="1" thickTop="1" thickBot="1" x14ac:dyDescent="0.35">
      <c r="A33" s="6">
        <v>28</v>
      </c>
      <c r="B33" s="7">
        <v>3257</v>
      </c>
      <c r="C33" s="7">
        <v>0</v>
      </c>
      <c r="D33" s="7">
        <v>1405</v>
      </c>
      <c r="E33" s="7">
        <v>171</v>
      </c>
      <c r="F33" s="7">
        <v>245</v>
      </c>
      <c r="G33" s="7">
        <v>347</v>
      </c>
      <c r="H33" s="7">
        <f t="shared" si="1"/>
        <v>5425</v>
      </c>
      <c r="I33" s="7">
        <v>0</v>
      </c>
      <c r="J33" s="12"/>
      <c r="K33" s="6">
        <v>28</v>
      </c>
      <c r="L33" s="9">
        <v>1</v>
      </c>
      <c r="M33" s="9">
        <v>18</v>
      </c>
      <c r="N33" s="9">
        <v>3</v>
      </c>
      <c r="O33" s="7">
        <f>SUM(L33:N33)</f>
        <v>22</v>
      </c>
      <c r="P33" s="10">
        <f t="shared" si="2"/>
        <v>6135</v>
      </c>
    </row>
    <row r="34" spans="1:16" ht="18" customHeight="1" thickTop="1" thickBot="1" x14ac:dyDescent="0.35">
      <c r="A34" s="6">
        <v>29</v>
      </c>
      <c r="B34" s="7">
        <v>4476</v>
      </c>
      <c r="C34" s="7">
        <v>0</v>
      </c>
      <c r="D34" s="7">
        <v>1250</v>
      </c>
      <c r="E34" s="7">
        <v>141</v>
      </c>
      <c r="F34" s="7">
        <v>160</v>
      </c>
      <c r="G34" s="7">
        <v>330</v>
      </c>
      <c r="H34" s="7">
        <f t="shared" si="1"/>
        <v>6357</v>
      </c>
      <c r="I34" s="7">
        <v>0</v>
      </c>
      <c r="J34" s="12"/>
      <c r="K34" s="6">
        <v>29</v>
      </c>
      <c r="L34" s="7">
        <v>1</v>
      </c>
      <c r="M34" s="7">
        <v>15</v>
      </c>
      <c r="N34" s="7">
        <v>0</v>
      </c>
      <c r="O34" s="7">
        <f t="shared" si="0"/>
        <v>16</v>
      </c>
      <c r="P34" s="10">
        <f t="shared" si="2"/>
        <v>6135</v>
      </c>
    </row>
    <row r="35" spans="1:16" ht="18" customHeight="1" thickTop="1" thickBot="1" x14ac:dyDescent="0.35">
      <c r="A35" s="6">
        <v>30</v>
      </c>
      <c r="B35" s="7">
        <v>4472</v>
      </c>
      <c r="C35" s="7">
        <v>0</v>
      </c>
      <c r="D35" s="7">
        <v>1120</v>
      </c>
      <c r="E35" s="7">
        <v>120</v>
      </c>
      <c r="F35" s="7">
        <v>175</v>
      </c>
      <c r="G35" s="7">
        <v>261</v>
      </c>
      <c r="H35" s="7">
        <f t="shared" si="1"/>
        <v>6148</v>
      </c>
      <c r="I35" s="7">
        <v>0</v>
      </c>
      <c r="J35" s="12"/>
      <c r="K35" s="6">
        <v>30</v>
      </c>
      <c r="L35" s="7">
        <v>0</v>
      </c>
      <c r="M35" s="7">
        <v>13</v>
      </c>
      <c r="N35" s="7">
        <v>1</v>
      </c>
      <c r="O35" s="7">
        <f t="shared" si="0"/>
        <v>14</v>
      </c>
      <c r="P35" s="10">
        <f t="shared" si="2"/>
        <v>6135</v>
      </c>
    </row>
    <row r="36" spans="1:16" ht="18" customHeight="1" thickTop="1" thickBot="1" x14ac:dyDescent="0.35">
      <c r="A36" s="6">
        <v>31</v>
      </c>
      <c r="B36" s="7"/>
      <c r="C36" s="7"/>
      <c r="D36" s="7"/>
      <c r="E36" s="7"/>
      <c r="F36" s="7"/>
      <c r="G36" s="7"/>
      <c r="H36" s="7">
        <f t="shared" si="1"/>
        <v>0</v>
      </c>
      <c r="I36" s="7">
        <v>0</v>
      </c>
      <c r="J36" s="12"/>
      <c r="K36" s="6">
        <v>31</v>
      </c>
      <c r="L36" s="7"/>
      <c r="M36" s="7"/>
      <c r="N36" s="7"/>
      <c r="O36" s="7">
        <f t="shared" si="0"/>
        <v>0</v>
      </c>
      <c r="P36" s="10">
        <f t="shared" si="2"/>
        <v>6135</v>
      </c>
    </row>
    <row r="37" spans="1:16" ht="18" customHeight="1" thickTop="1" x14ac:dyDescent="0.3">
      <c r="A37" s="4" t="s">
        <v>19</v>
      </c>
      <c r="B37" s="16">
        <f>SUM(B6:B36)</f>
        <v>111838</v>
      </c>
      <c r="C37" s="16">
        <f t="shared" ref="C37:H37" si="3">SUM(C6:C36)</f>
        <v>0</v>
      </c>
      <c r="D37" s="16">
        <f t="shared" si="3"/>
        <v>34665</v>
      </c>
      <c r="E37" s="16">
        <f t="shared" si="3"/>
        <v>4690</v>
      </c>
      <c r="F37" s="16">
        <f t="shared" si="3"/>
        <v>5090</v>
      </c>
      <c r="G37" s="16">
        <f t="shared" si="3"/>
        <v>8694</v>
      </c>
      <c r="H37" s="16">
        <f t="shared" si="3"/>
        <v>164977</v>
      </c>
      <c r="I37" s="16">
        <f>SUM(I6:I33)</f>
        <v>22</v>
      </c>
      <c r="J37" s="16"/>
      <c r="K37" s="16"/>
      <c r="L37" s="16">
        <f>SUM(L6:L36)</f>
        <v>63</v>
      </c>
      <c r="M37" s="16">
        <f>SUM(M6:M36)</f>
        <v>377</v>
      </c>
      <c r="N37" s="16">
        <f>SUM(N6:N36)</f>
        <v>64</v>
      </c>
      <c r="O37" s="16"/>
    </row>
    <row r="38" spans="1:16" ht="18" customHeight="1" x14ac:dyDescent="0.3">
      <c r="A38" s="4" t="s">
        <v>19</v>
      </c>
      <c r="B38" s="80">
        <f>+B37+C37</f>
        <v>111838</v>
      </c>
      <c r="C38" s="80"/>
      <c r="D38" s="16">
        <f>+D37</f>
        <v>34665</v>
      </c>
      <c r="E38" s="16">
        <f>+E37</f>
        <v>4690</v>
      </c>
      <c r="F38" s="16">
        <f>+F37</f>
        <v>5090</v>
      </c>
      <c r="G38" s="16">
        <f>+G37</f>
        <v>8694</v>
      </c>
      <c r="H38" s="73">
        <f>+H37</f>
        <v>164977</v>
      </c>
      <c r="I38" s="16">
        <v>0</v>
      </c>
      <c r="J38" s="17"/>
      <c r="K38" s="4"/>
      <c r="L38" s="18" t="s">
        <v>20</v>
      </c>
      <c r="M38" s="18" t="s">
        <v>21</v>
      </c>
      <c r="N38" s="77">
        <f>SUM(L37:N37)</f>
        <v>504</v>
      </c>
      <c r="O38" s="18" t="s">
        <v>21</v>
      </c>
    </row>
    <row r="39" spans="1:16" ht="18" customHeight="1" x14ac:dyDescent="0.3">
      <c r="A39" s="19" t="s">
        <v>22</v>
      </c>
      <c r="B39" s="20"/>
      <c r="C39" s="20"/>
      <c r="D39" s="20"/>
      <c r="E39" s="20"/>
      <c r="F39" s="20"/>
      <c r="G39" s="20"/>
      <c r="H39" s="20"/>
      <c r="L39" s="22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2"/>
      <c r="K40" s="54"/>
      <c r="L40" s="53"/>
    </row>
    <row r="41" spans="1:16" x14ac:dyDescent="0.3">
      <c r="A41" s="11"/>
      <c r="H41" s="11"/>
      <c r="K41" s="54"/>
      <c r="L41" s="53"/>
    </row>
    <row r="42" spans="1:16" x14ac:dyDescent="0.3">
      <c r="K42" s="54"/>
      <c r="L42" s="53"/>
    </row>
    <row r="43" spans="1:16" x14ac:dyDescent="0.3">
      <c r="I43" s="11"/>
      <c r="J43" s="11"/>
    </row>
    <row r="45" spans="1:16" x14ac:dyDescent="0.3">
      <c r="A45" s="27"/>
    </row>
    <row r="46" spans="1:16" x14ac:dyDescent="0.3">
      <c r="A46" s="27"/>
      <c r="B46" s="11"/>
      <c r="C46" s="11"/>
      <c r="D46" s="11"/>
      <c r="E46" s="11"/>
      <c r="F46" s="11"/>
      <c r="G46" s="11"/>
      <c r="H46" s="11"/>
      <c r="I46" s="11"/>
      <c r="J46" s="11"/>
      <c r="K46" s="28"/>
      <c r="L46" s="11"/>
      <c r="M46" s="11"/>
      <c r="N46" s="11"/>
      <c r="O46" s="11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  <ignoredErrors>
    <ignoredError sqref="H6:H35 O6:O35 I37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50B2-079A-47F1-A88F-A950F073F571}">
  <dimension ref="A1:Z46"/>
  <sheetViews>
    <sheetView topLeftCell="A18" workbookViewId="0">
      <selection sqref="A1:XFD1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31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6193</v>
      </c>
      <c r="C6" s="32">
        <v>0</v>
      </c>
      <c r="D6" s="32">
        <v>1027</v>
      </c>
      <c r="E6" s="32">
        <v>116</v>
      </c>
      <c r="F6" s="32">
        <v>93</v>
      </c>
      <c r="G6" s="32">
        <v>193</v>
      </c>
      <c r="H6" s="32">
        <v>7622</v>
      </c>
      <c r="I6" s="32">
        <v>0</v>
      </c>
      <c r="J6" s="33"/>
      <c r="K6" s="31">
        <v>1</v>
      </c>
      <c r="L6" s="55">
        <v>5</v>
      </c>
      <c r="M6" s="55">
        <v>6</v>
      </c>
      <c r="N6" s="55">
        <v>0</v>
      </c>
      <c r="O6" s="32">
        <v>11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2995</v>
      </c>
      <c r="C7" s="32">
        <v>0</v>
      </c>
      <c r="D7" s="32">
        <v>1098</v>
      </c>
      <c r="E7" s="32">
        <v>162</v>
      </c>
      <c r="F7" s="32">
        <v>172</v>
      </c>
      <c r="G7" s="32">
        <v>298</v>
      </c>
      <c r="H7" s="32">
        <v>4725</v>
      </c>
      <c r="I7" s="32">
        <v>0</v>
      </c>
      <c r="J7" s="33"/>
      <c r="K7" s="31">
        <v>2</v>
      </c>
      <c r="L7" s="55">
        <v>1</v>
      </c>
      <c r="M7" s="55">
        <v>15</v>
      </c>
      <c r="N7" s="55">
        <v>4</v>
      </c>
      <c r="O7" s="32">
        <v>20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2829</v>
      </c>
      <c r="C8" s="32">
        <v>0</v>
      </c>
      <c r="D8" s="32">
        <v>1221</v>
      </c>
      <c r="E8" s="32">
        <v>184</v>
      </c>
      <c r="F8" s="32">
        <v>170</v>
      </c>
      <c r="G8" s="32">
        <v>326</v>
      </c>
      <c r="H8" s="32">
        <v>4730</v>
      </c>
      <c r="I8" s="32">
        <v>0</v>
      </c>
      <c r="J8" s="33"/>
      <c r="K8" s="31">
        <v>3</v>
      </c>
      <c r="L8" s="55">
        <v>2</v>
      </c>
      <c r="M8" s="55">
        <v>18</v>
      </c>
      <c r="N8" s="55">
        <v>6</v>
      </c>
      <c r="O8" s="32">
        <v>26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3096</v>
      </c>
      <c r="C9" s="32">
        <v>0</v>
      </c>
      <c r="D9" s="32">
        <v>1303</v>
      </c>
      <c r="E9" s="32">
        <v>192</v>
      </c>
      <c r="F9" s="32">
        <v>223</v>
      </c>
      <c r="G9" s="32">
        <v>337</v>
      </c>
      <c r="H9" s="32">
        <v>5151</v>
      </c>
      <c r="I9" s="32">
        <v>0</v>
      </c>
      <c r="J9" s="33"/>
      <c r="K9" s="31">
        <v>4</v>
      </c>
      <c r="L9" s="55">
        <v>4</v>
      </c>
      <c r="M9" s="55">
        <v>11</v>
      </c>
      <c r="N9" s="55">
        <v>2</v>
      </c>
      <c r="O9" s="32">
        <v>17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3062</v>
      </c>
      <c r="C10" s="32">
        <v>0</v>
      </c>
      <c r="D10" s="32">
        <v>1258</v>
      </c>
      <c r="E10" s="32">
        <v>186</v>
      </c>
      <c r="F10" s="32">
        <v>188</v>
      </c>
      <c r="G10" s="32">
        <v>304</v>
      </c>
      <c r="H10" s="32">
        <v>4998</v>
      </c>
      <c r="I10" s="32">
        <v>0</v>
      </c>
      <c r="J10" s="33"/>
      <c r="K10" s="31">
        <v>5</v>
      </c>
      <c r="L10" s="55">
        <v>4</v>
      </c>
      <c r="M10" s="55">
        <v>10</v>
      </c>
      <c r="N10" s="55">
        <v>4</v>
      </c>
      <c r="O10" s="32">
        <v>18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5107</v>
      </c>
      <c r="C11" s="32">
        <v>0</v>
      </c>
      <c r="D11" s="32">
        <v>1223</v>
      </c>
      <c r="E11" s="32">
        <v>167</v>
      </c>
      <c r="F11" s="32">
        <v>197</v>
      </c>
      <c r="G11" s="32">
        <v>258</v>
      </c>
      <c r="H11" s="32">
        <v>6952</v>
      </c>
      <c r="I11" s="32">
        <v>0</v>
      </c>
      <c r="J11" s="33"/>
      <c r="K11" s="31">
        <v>6</v>
      </c>
      <c r="L11" s="55">
        <v>3</v>
      </c>
      <c r="M11" s="55">
        <v>18</v>
      </c>
      <c r="N11" s="55">
        <v>2</v>
      </c>
      <c r="O11" s="32">
        <v>23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5437</v>
      </c>
      <c r="C12" s="32">
        <v>0</v>
      </c>
      <c r="D12" s="32">
        <v>1164</v>
      </c>
      <c r="E12" s="32">
        <v>122</v>
      </c>
      <c r="F12" s="32">
        <v>176</v>
      </c>
      <c r="G12" s="32">
        <v>209</v>
      </c>
      <c r="H12" s="32">
        <v>7108</v>
      </c>
      <c r="I12" s="32">
        <v>0</v>
      </c>
      <c r="J12" s="34"/>
      <c r="K12" s="31">
        <v>7</v>
      </c>
      <c r="L12" s="55">
        <v>0</v>
      </c>
      <c r="M12" s="55">
        <v>13</v>
      </c>
      <c r="N12" s="55">
        <v>5</v>
      </c>
      <c r="O12" s="32">
        <v>18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6826</v>
      </c>
      <c r="C13" s="32">
        <v>0</v>
      </c>
      <c r="D13" s="32">
        <v>948</v>
      </c>
      <c r="E13" s="32">
        <v>106</v>
      </c>
      <c r="F13" s="32">
        <v>125</v>
      </c>
      <c r="G13" s="32">
        <v>244</v>
      </c>
      <c r="H13" s="32">
        <v>8249</v>
      </c>
      <c r="I13" s="32">
        <v>0</v>
      </c>
      <c r="J13" s="34"/>
      <c r="K13" s="31">
        <v>8</v>
      </c>
      <c r="L13" s="55">
        <v>3</v>
      </c>
      <c r="M13" s="55">
        <v>8</v>
      </c>
      <c r="N13" s="55">
        <v>0</v>
      </c>
      <c r="O13" s="32">
        <v>11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3906</v>
      </c>
      <c r="C14" s="32">
        <v>0</v>
      </c>
      <c r="D14" s="32">
        <v>1158</v>
      </c>
      <c r="E14" s="32">
        <v>170</v>
      </c>
      <c r="F14" s="32">
        <v>202</v>
      </c>
      <c r="G14" s="32">
        <v>290</v>
      </c>
      <c r="H14" s="32">
        <v>5726</v>
      </c>
      <c r="I14" s="32">
        <v>0</v>
      </c>
      <c r="J14" s="34"/>
      <c r="K14" s="31">
        <v>9</v>
      </c>
      <c r="L14" s="55">
        <v>0</v>
      </c>
      <c r="M14" s="55">
        <v>16</v>
      </c>
      <c r="N14" s="55">
        <v>2</v>
      </c>
      <c r="O14" s="32">
        <v>18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3439</v>
      </c>
      <c r="C15" s="32">
        <v>0</v>
      </c>
      <c r="D15" s="32">
        <v>1278</v>
      </c>
      <c r="E15" s="32">
        <v>173</v>
      </c>
      <c r="F15" s="32">
        <v>189</v>
      </c>
      <c r="G15" s="32">
        <v>350</v>
      </c>
      <c r="H15" s="32">
        <v>5429</v>
      </c>
      <c r="I15" s="32">
        <v>0</v>
      </c>
      <c r="J15" s="34"/>
      <c r="K15" s="31">
        <v>10</v>
      </c>
      <c r="L15" s="55">
        <v>2</v>
      </c>
      <c r="M15" s="55">
        <v>8</v>
      </c>
      <c r="N15" s="55">
        <v>2</v>
      </c>
      <c r="O15" s="32">
        <v>12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4138</v>
      </c>
      <c r="C16" s="32">
        <v>0</v>
      </c>
      <c r="D16" s="32">
        <v>1359</v>
      </c>
      <c r="E16" s="32">
        <v>201</v>
      </c>
      <c r="F16" s="32">
        <v>233</v>
      </c>
      <c r="G16" s="32">
        <v>365</v>
      </c>
      <c r="H16" s="32">
        <v>6296</v>
      </c>
      <c r="I16" s="32">
        <v>0</v>
      </c>
      <c r="J16" s="34"/>
      <c r="K16" s="31">
        <v>11</v>
      </c>
      <c r="L16" s="55">
        <v>0</v>
      </c>
      <c r="M16" s="55">
        <v>16</v>
      </c>
      <c r="N16" s="55">
        <v>2</v>
      </c>
      <c r="O16" s="32">
        <v>18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5208</v>
      </c>
      <c r="C17" s="32">
        <v>0</v>
      </c>
      <c r="D17" s="32">
        <v>1413</v>
      </c>
      <c r="E17" s="32">
        <v>187</v>
      </c>
      <c r="F17" s="32">
        <v>204</v>
      </c>
      <c r="G17" s="32">
        <v>429</v>
      </c>
      <c r="H17" s="32">
        <v>7441</v>
      </c>
      <c r="I17" s="32">
        <v>0</v>
      </c>
      <c r="J17" s="34"/>
      <c r="K17" s="31">
        <v>12</v>
      </c>
      <c r="L17" s="55">
        <v>2</v>
      </c>
      <c r="M17" s="55">
        <v>32</v>
      </c>
      <c r="N17" s="55">
        <v>9</v>
      </c>
      <c r="O17" s="32">
        <v>43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9644</v>
      </c>
      <c r="C18" s="32">
        <v>0</v>
      </c>
      <c r="D18" s="32">
        <v>1348</v>
      </c>
      <c r="E18" s="32">
        <v>130</v>
      </c>
      <c r="F18" s="32">
        <v>230</v>
      </c>
      <c r="G18" s="32">
        <v>328</v>
      </c>
      <c r="H18" s="32">
        <v>11680</v>
      </c>
      <c r="I18" s="32">
        <v>0</v>
      </c>
      <c r="J18" s="34"/>
      <c r="K18" s="31">
        <v>13</v>
      </c>
      <c r="L18" s="55">
        <v>2</v>
      </c>
      <c r="M18" s="55">
        <v>16</v>
      </c>
      <c r="N18" s="55">
        <v>2</v>
      </c>
      <c r="O18" s="32">
        <v>20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9629</v>
      </c>
      <c r="C19" s="32">
        <v>0</v>
      </c>
      <c r="D19" s="32">
        <v>1164</v>
      </c>
      <c r="E19" s="32">
        <v>71</v>
      </c>
      <c r="F19" s="32">
        <v>163</v>
      </c>
      <c r="G19" s="32">
        <v>253</v>
      </c>
      <c r="H19" s="32">
        <v>11280</v>
      </c>
      <c r="I19" s="32">
        <v>0</v>
      </c>
      <c r="J19" s="34"/>
      <c r="K19" s="31">
        <v>14</v>
      </c>
      <c r="L19" s="55">
        <v>0</v>
      </c>
      <c r="M19" s="55">
        <v>6</v>
      </c>
      <c r="N19" s="55">
        <v>0</v>
      </c>
      <c r="O19" s="32">
        <v>6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9751</v>
      </c>
      <c r="C20" s="32">
        <v>0</v>
      </c>
      <c r="D20" s="32">
        <v>991</v>
      </c>
      <c r="E20" s="32">
        <v>64</v>
      </c>
      <c r="F20" s="32">
        <v>82</v>
      </c>
      <c r="G20" s="32">
        <v>177</v>
      </c>
      <c r="H20" s="32">
        <v>11065</v>
      </c>
      <c r="I20" s="32">
        <v>0</v>
      </c>
      <c r="J20" s="34"/>
      <c r="K20" s="31">
        <v>15</v>
      </c>
      <c r="L20" s="55">
        <v>0</v>
      </c>
      <c r="M20" s="55">
        <v>0</v>
      </c>
      <c r="N20" s="55">
        <v>0</v>
      </c>
      <c r="O20" s="32">
        <v>0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16266</v>
      </c>
      <c r="C21" s="32">
        <v>0</v>
      </c>
      <c r="D21" s="32">
        <v>908</v>
      </c>
      <c r="E21" s="32">
        <v>71</v>
      </c>
      <c r="F21" s="32">
        <v>54</v>
      </c>
      <c r="G21" s="32">
        <v>112</v>
      </c>
      <c r="H21" s="32">
        <v>17411</v>
      </c>
      <c r="I21" s="32">
        <v>0</v>
      </c>
      <c r="J21" s="34"/>
      <c r="K21" s="31">
        <v>16</v>
      </c>
      <c r="L21" s="55">
        <v>0</v>
      </c>
      <c r="M21" s="55">
        <v>10</v>
      </c>
      <c r="N21" s="55">
        <v>1</v>
      </c>
      <c r="O21" s="32">
        <v>11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3723</v>
      </c>
      <c r="C22" s="32">
        <v>0</v>
      </c>
      <c r="D22" s="32">
        <v>1248</v>
      </c>
      <c r="E22" s="32">
        <v>159</v>
      </c>
      <c r="F22" s="32">
        <v>172</v>
      </c>
      <c r="G22" s="32">
        <v>310</v>
      </c>
      <c r="H22" s="32">
        <v>5612</v>
      </c>
      <c r="I22" s="32">
        <v>0</v>
      </c>
      <c r="J22" s="34"/>
      <c r="K22" s="31">
        <v>17</v>
      </c>
      <c r="L22" s="55">
        <v>3</v>
      </c>
      <c r="M22" s="55">
        <v>20</v>
      </c>
      <c r="N22" s="55">
        <v>2</v>
      </c>
      <c r="O22" s="32">
        <v>25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2883</v>
      </c>
      <c r="C23" s="32">
        <v>0</v>
      </c>
      <c r="D23" s="32">
        <v>1353</v>
      </c>
      <c r="E23" s="32">
        <v>214</v>
      </c>
      <c r="F23" s="32">
        <v>216</v>
      </c>
      <c r="G23" s="32">
        <v>346</v>
      </c>
      <c r="H23" s="32">
        <v>5012</v>
      </c>
      <c r="I23" s="32">
        <v>0</v>
      </c>
      <c r="J23" s="34"/>
      <c r="K23" s="31">
        <v>18</v>
      </c>
      <c r="L23" s="55">
        <v>1</v>
      </c>
      <c r="M23" s="55">
        <v>12</v>
      </c>
      <c r="N23" s="55">
        <v>1</v>
      </c>
      <c r="O23" s="32">
        <v>14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3141</v>
      </c>
      <c r="C24" s="32">
        <v>0</v>
      </c>
      <c r="D24" s="32">
        <v>1315</v>
      </c>
      <c r="E24" s="32">
        <v>194</v>
      </c>
      <c r="F24" s="32">
        <v>227</v>
      </c>
      <c r="G24" s="32">
        <v>421</v>
      </c>
      <c r="H24" s="32">
        <v>5298</v>
      </c>
      <c r="I24" s="32">
        <v>0</v>
      </c>
      <c r="J24" s="34"/>
      <c r="K24" s="31">
        <v>19</v>
      </c>
      <c r="L24" s="55">
        <v>1</v>
      </c>
      <c r="M24" s="55">
        <v>10</v>
      </c>
      <c r="N24" s="55">
        <v>1</v>
      </c>
      <c r="O24" s="32">
        <v>12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3948</v>
      </c>
      <c r="C25" s="32">
        <v>0</v>
      </c>
      <c r="D25" s="32">
        <v>1202</v>
      </c>
      <c r="E25" s="32">
        <v>194</v>
      </c>
      <c r="F25" s="32">
        <v>213</v>
      </c>
      <c r="G25" s="32">
        <v>347</v>
      </c>
      <c r="H25" s="32">
        <v>5904</v>
      </c>
      <c r="I25" s="32">
        <v>0</v>
      </c>
      <c r="J25" s="34"/>
      <c r="K25" s="31">
        <v>20</v>
      </c>
      <c r="L25" s="55">
        <v>6</v>
      </c>
      <c r="M25" s="55">
        <v>14</v>
      </c>
      <c r="N25" s="55">
        <v>2</v>
      </c>
      <c r="O25" s="32">
        <v>22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3797</v>
      </c>
      <c r="C26" s="32">
        <v>0</v>
      </c>
      <c r="D26" s="32">
        <v>1099</v>
      </c>
      <c r="E26" s="32">
        <v>122</v>
      </c>
      <c r="F26" s="32">
        <v>198</v>
      </c>
      <c r="G26" s="32">
        <v>254</v>
      </c>
      <c r="H26" s="32">
        <v>5470</v>
      </c>
      <c r="I26" s="32">
        <v>0</v>
      </c>
      <c r="J26" s="34"/>
      <c r="K26" s="31">
        <v>21</v>
      </c>
      <c r="L26" s="55">
        <v>2</v>
      </c>
      <c r="M26" s="55">
        <v>12</v>
      </c>
      <c r="N26" s="55">
        <v>1</v>
      </c>
      <c r="O26" s="32">
        <v>15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5030</v>
      </c>
      <c r="C27" s="32">
        <v>0</v>
      </c>
      <c r="D27" s="32">
        <v>925</v>
      </c>
      <c r="E27" s="32">
        <v>139</v>
      </c>
      <c r="F27" s="32">
        <v>114</v>
      </c>
      <c r="G27" s="32">
        <v>278</v>
      </c>
      <c r="H27" s="32">
        <v>6486</v>
      </c>
      <c r="I27" s="32">
        <v>0</v>
      </c>
      <c r="J27" s="34"/>
      <c r="K27" s="31">
        <v>22</v>
      </c>
      <c r="L27" s="55">
        <v>0</v>
      </c>
      <c r="M27" s="55">
        <v>6</v>
      </c>
      <c r="N27" s="55">
        <v>0</v>
      </c>
      <c r="O27" s="32">
        <v>6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2872</v>
      </c>
      <c r="C28" s="32">
        <v>0</v>
      </c>
      <c r="D28" s="32">
        <v>1121</v>
      </c>
      <c r="E28" s="32">
        <v>192</v>
      </c>
      <c r="F28" s="32">
        <v>219</v>
      </c>
      <c r="G28" s="32">
        <v>359</v>
      </c>
      <c r="H28" s="32">
        <v>4763</v>
      </c>
      <c r="I28" s="32">
        <v>0</v>
      </c>
      <c r="J28" s="34"/>
      <c r="K28" s="31">
        <v>23</v>
      </c>
      <c r="L28" s="55">
        <v>0</v>
      </c>
      <c r="M28" s="55">
        <v>10</v>
      </c>
      <c r="N28" s="55">
        <v>2</v>
      </c>
      <c r="O28" s="32">
        <v>12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2652</v>
      </c>
      <c r="C29" s="32">
        <v>0</v>
      </c>
      <c r="D29" s="32">
        <v>1330</v>
      </c>
      <c r="E29" s="32">
        <v>180</v>
      </c>
      <c r="F29" s="32">
        <v>198</v>
      </c>
      <c r="G29" s="32">
        <v>353</v>
      </c>
      <c r="H29" s="32">
        <v>4713</v>
      </c>
      <c r="I29" s="32">
        <v>0</v>
      </c>
      <c r="J29" s="34"/>
      <c r="K29" s="31">
        <v>24</v>
      </c>
      <c r="L29" s="55">
        <v>3</v>
      </c>
      <c r="M29" s="55">
        <v>14</v>
      </c>
      <c r="N29" s="55">
        <v>2</v>
      </c>
      <c r="O29" s="32">
        <v>19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2680</v>
      </c>
      <c r="C30" s="32">
        <v>0</v>
      </c>
      <c r="D30" s="32">
        <v>1344</v>
      </c>
      <c r="E30" s="32">
        <v>209</v>
      </c>
      <c r="F30" s="32">
        <v>246</v>
      </c>
      <c r="G30" s="32">
        <v>398</v>
      </c>
      <c r="H30" s="32">
        <v>4877</v>
      </c>
      <c r="I30" s="32">
        <v>0</v>
      </c>
      <c r="J30" s="34"/>
      <c r="K30" s="31">
        <v>25</v>
      </c>
      <c r="L30" s="55">
        <v>0</v>
      </c>
      <c r="M30" s="55">
        <v>8</v>
      </c>
      <c r="N30" s="55">
        <v>4</v>
      </c>
      <c r="O30" s="32">
        <v>12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2966</v>
      </c>
      <c r="C31" s="32">
        <v>0</v>
      </c>
      <c r="D31" s="32">
        <v>1354</v>
      </c>
      <c r="E31" s="32">
        <v>197</v>
      </c>
      <c r="F31" s="32">
        <v>266</v>
      </c>
      <c r="G31" s="32">
        <v>391</v>
      </c>
      <c r="H31" s="32">
        <v>5174</v>
      </c>
      <c r="I31" s="32">
        <v>0</v>
      </c>
      <c r="J31" s="34"/>
      <c r="K31" s="31">
        <v>26</v>
      </c>
      <c r="L31" s="55">
        <v>1</v>
      </c>
      <c r="M31" s="55">
        <v>14</v>
      </c>
      <c r="N31" s="55">
        <v>7</v>
      </c>
      <c r="O31" s="32">
        <v>22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4085</v>
      </c>
      <c r="C32" s="32">
        <v>0</v>
      </c>
      <c r="D32" s="32">
        <v>1248</v>
      </c>
      <c r="E32" s="32">
        <v>182</v>
      </c>
      <c r="F32" s="32">
        <v>227</v>
      </c>
      <c r="G32" s="32">
        <v>366</v>
      </c>
      <c r="H32" s="32">
        <v>6108</v>
      </c>
      <c r="I32" s="32">
        <v>0</v>
      </c>
      <c r="J32" s="34"/>
      <c r="K32" s="31">
        <v>27</v>
      </c>
      <c r="L32" s="55">
        <v>1</v>
      </c>
      <c r="M32" s="55">
        <v>12</v>
      </c>
      <c r="N32" s="55">
        <v>1</v>
      </c>
      <c r="O32" s="32">
        <v>14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3813</v>
      </c>
      <c r="C33" s="32">
        <v>0</v>
      </c>
      <c r="D33" s="32">
        <v>1058</v>
      </c>
      <c r="E33" s="32">
        <v>123</v>
      </c>
      <c r="F33" s="32">
        <v>181</v>
      </c>
      <c r="G33" s="32">
        <v>258</v>
      </c>
      <c r="H33" s="32">
        <v>5433</v>
      </c>
      <c r="I33" s="32">
        <v>0</v>
      </c>
      <c r="J33" s="34"/>
      <c r="K33" s="31">
        <v>28</v>
      </c>
      <c r="L33" s="55">
        <v>2</v>
      </c>
      <c r="M33" s="55">
        <v>14</v>
      </c>
      <c r="N33" s="55">
        <v>0</v>
      </c>
      <c r="O33" s="32">
        <v>16</v>
      </c>
      <c r="P33" s="47">
        <v>6135</v>
      </c>
    </row>
    <row r="34" spans="1:16" ht="15.6" thickTop="1" thickBot="1" x14ac:dyDescent="0.35">
      <c r="A34" s="31">
        <v>29</v>
      </c>
      <c r="B34" s="32">
        <v>4924</v>
      </c>
      <c r="C34" s="32">
        <v>0</v>
      </c>
      <c r="D34" s="32">
        <v>922</v>
      </c>
      <c r="E34" s="32">
        <v>124</v>
      </c>
      <c r="F34" s="32">
        <v>123</v>
      </c>
      <c r="G34" s="32">
        <v>261</v>
      </c>
      <c r="H34" s="32">
        <v>6354</v>
      </c>
      <c r="I34" s="32">
        <v>0</v>
      </c>
      <c r="J34" s="34"/>
      <c r="K34" s="31">
        <v>29</v>
      </c>
      <c r="L34" s="32">
        <v>3</v>
      </c>
      <c r="M34" s="32">
        <v>12</v>
      </c>
      <c r="N34" s="32">
        <v>1</v>
      </c>
      <c r="O34" s="32">
        <v>16</v>
      </c>
      <c r="P34" s="47">
        <v>6135</v>
      </c>
    </row>
    <row r="35" spans="1:16" ht="15.6" thickTop="1" thickBot="1" x14ac:dyDescent="0.35">
      <c r="A35" s="31">
        <v>30</v>
      </c>
      <c r="B35" s="32">
        <v>2882</v>
      </c>
      <c r="C35" s="32">
        <v>0</v>
      </c>
      <c r="D35" s="32">
        <v>1122</v>
      </c>
      <c r="E35" s="32">
        <v>161</v>
      </c>
      <c r="F35" s="32">
        <v>184</v>
      </c>
      <c r="G35" s="32">
        <v>349</v>
      </c>
      <c r="H35" s="32">
        <v>4698</v>
      </c>
      <c r="I35" s="32">
        <v>0</v>
      </c>
      <c r="J35" s="34"/>
      <c r="K35" s="31">
        <v>30</v>
      </c>
      <c r="L35" s="32">
        <v>9</v>
      </c>
      <c r="M35" s="32">
        <v>22</v>
      </c>
      <c r="N35" s="32">
        <v>4</v>
      </c>
      <c r="O35" s="32">
        <v>35</v>
      </c>
      <c r="P35" s="47">
        <v>6135</v>
      </c>
    </row>
    <row r="36" spans="1:16" ht="15.6" thickTop="1" thickBot="1" x14ac:dyDescent="0.35">
      <c r="A36" s="31">
        <v>31</v>
      </c>
      <c r="B36" s="32">
        <v>2475</v>
      </c>
      <c r="C36" s="32">
        <v>0</v>
      </c>
      <c r="D36" s="32">
        <v>1219</v>
      </c>
      <c r="E36" s="32">
        <v>160</v>
      </c>
      <c r="F36" s="32">
        <v>198</v>
      </c>
      <c r="G36" s="32">
        <v>332</v>
      </c>
      <c r="H36" s="32">
        <v>4384</v>
      </c>
      <c r="I36" s="32">
        <v>0</v>
      </c>
      <c r="J36" s="34"/>
      <c r="K36" s="31">
        <v>31</v>
      </c>
      <c r="L36" s="32">
        <v>10</v>
      </c>
      <c r="M36" s="32">
        <v>16</v>
      </c>
      <c r="N36" s="32">
        <v>2</v>
      </c>
      <c r="O36" s="32">
        <v>28</v>
      </c>
      <c r="P36" s="47">
        <v>6135</v>
      </c>
    </row>
    <row r="37" spans="1:16" ht="15" thickTop="1" x14ac:dyDescent="0.3">
      <c r="A37" s="56" t="s">
        <v>19</v>
      </c>
      <c r="B37" s="58">
        <v>149397</v>
      </c>
      <c r="C37" s="58">
        <v>0</v>
      </c>
      <c r="D37" s="58">
        <v>36721</v>
      </c>
      <c r="E37" s="58">
        <v>4852</v>
      </c>
      <c r="F37" s="58">
        <v>5683</v>
      </c>
      <c r="G37" s="58">
        <v>9496</v>
      </c>
      <c r="H37" s="58">
        <v>206149</v>
      </c>
      <c r="I37" s="58">
        <v>0</v>
      </c>
      <c r="J37" s="58"/>
      <c r="K37" s="58"/>
      <c r="L37" s="58">
        <v>70</v>
      </c>
      <c r="M37" s="58">
        <v>399</v>
      </c>
      <c r="N37" s="58">
        <v>71</v>
      </c>
      <c r="O37" s="58"/>
      <c r="P37" s="59"/>
    </row>
    <row r="38" spans="1:16" x14ac:dyDescent="0.3">
      <c r="A38" s="56" t="s">
        <v>19</v>
      </c>
      <c r="B38" s="98">
        <v>149397</v>
      </c>
      <c r="C38" s="98"/>
      <c r="D38" s="58">
        <v>36721</v>
      </c>
      <c r="E38" s="58">
        <v>4852</v>
      </c>
      <c r="F38" s="58">
        <v>5683</v>
      </c>
      <c r="G38" s="58">
        <v>9496</v>
      </c>
      <c r="H38" s="78">
        <v>206149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540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A3F0-8704-4DA3-9B7B-71A368406952}">
  <dimension ref="A1:Z46"/>
  <sheetViews>
    <sheetView workbookViewId="0">
      <selection sqref="A1:XFD1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32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2811</v>
      </c>
      <c r="C6" s="32">
        <v>0</v>
      </c>
      <c r="D6" s="32">
        <v>1339</v>
      </c>
      <c r="E6" s="32">
        <v>191</v>
      </c>
      <c r="F6" s="32">
        <v>212</v>
      </c>
      <c r="G6" s="32">
        <v>384</v>
      </c>
      <c r="H6" s="32">
        <v>4937</v>
      </c>
      <c r="I6" s="32">
        <v>0</v>
      </c>
      <c r="J6" s="33"/>
      <c r="K6" s="31">
        <v>1</v>
      </c>
      <c r="L6" s="55">
        <v>3</v>
      </c>
      <c r="M6" s="55">
        <v>18</v>
      </c>
      <c r="N6" s="55">
        <v>4</v>
      </c>
      <c r="O6" s="32">
        <v>25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3363</v>
      </c>
      <c r="C7" s="32">
        <v>0</v>
      </c>
      <c r="D7" s="32">
        <v>1417</v>
      </c>
      <c r="E7" s="32">
        <v>212</v>
      </c>
      <c r="F7" s="32">
        <v>228</v>
      </c>
      <c r="G7" s="32">
        <v>376</v>
      </c>
      <c r="H7" s="32">
        <v>5596</v>
      </c>
      <c r="I7" s="32">
        <v>0</v>
      </c>
      <c r="J7" s="33"/>
      <c r="K7" s="31">
        <v>2</v>
      </c>
      <c r="L7" s="55">
        <v>3</v>
      </c>
      <c r="M7" s="55">
        <v>16</v>
      </c>
      <c r="N7" s="55">
        <v>4</v>
      </c>
      <c r="O7" s="32">
        <v>23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6426</v>
      </c>
      <c r="C8" s="32">
        <v>0</v>
      </c>
      <c r="D8" s="32">
        <v>1290</v>
      </c>
      <c r="E8" s="32">
        <v>124</v>
      </c>
      <c r="F8" s="32">
        <v>200</v>
      </c>
      <c r="G8" s="32">
        <v>298</v>
      </c>
      <c r="H8" s="32">
        <v>8338</v>
      </c>
      <c r="I8" s="32">
        <v>0</v>
      </c>
      <c r="J8" s="33"/>
      <c r="K8" s="31">
        <v>3</v>
      </c>
      <c r="L8" s="55">
        <v>5</v>
      </c>
      <c r="M8" s="55">
        <v>16</v>
      </c>
      <c r="N8" s="55">
        <v>2</v>
      </c>
      <c r="O8" s="32">
        <v>23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6810</v>
      </c>
      <c r="C9" s="32">
        <v>0</v>
      </c>
      <c r="D9" s="32">
        <v>1012</v>
      </c>
      <c r="E9" s="32">
        <v>86</v>
      </c>
      <c r="F9" s="32">
        <v>145</v>
      </c>
      <c r="G9" s="32">
        <v>182</v>
      </c>
      <c r="H9" s="32">
        <v>8235</v>
      </c>
      <c r="I9" s="32">
        <v>0</v>
      </c>
      <c r="J9" s="33"/>
      <c r="K9" s="31">
        <v>4</v>
      </c>
      <c r="L9" s="55">
        <v>3</v>
      </c>
      <c r="M9" s="55">
        <v>9</v>
      </c>
      <c r="N9" s="55">
        <v>1</v>
      </c>
      <c r="O9" s="32">
        <v>13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5473</v>
      </c>
      <c r="C10" s="32">
        <v>0</v>
      </c>
      <c r="D10" s="32">
        <v>962</v>
      </c>
      <c r="E10" s="32">
        <v>102</v>
      </c>
      <c r="F10" s="32">
        <v>124</v>
      </c>
      <c r="G10" s="32">
        <v>242</v>
      </c>
      <c r="H10" s="32">
        <v>6903</v>
      </c>
      <c r="I10" s="32">
        <v>0</v>
      </c>
      <c r="J10" s="33"/>
      <c r="K10" s="31">
        <v>5</v>
      </c>
      <c r="L10" s="55">
        <v>2</v>
      </c>
      <c r="M10" s="55">
        <v>3</v>
      </c>
      <c r="N10" s="55">
        <v>1</v>
      </c>
      <c r="O10" s="32">
        <v>6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9774</v>
      </c>
      <c r="C11" s="32">
        <v>0</v>
      </c>
      <c r="D11" s="32">
        <v>771</v>
      </c>
      <c r="E11" s="32">
        <v>92</v>
      </c>
      <c r="F11" s="32">
        <v>51</v>
      </c>
      <c r="G11" s="32">
        <v>140</v>
      </c>
      <c r="H11" s="32">
        <v>10828</v>
      </c>
      <c r="I11" s="32">
        <v>0</v>
      </c>
      <c r="J11" s="33"/>
      <c r="K11" s="31">
        <v>6</v>
      </c>
      <c r="L11" s="55">
        <v>1</v>
      </c>
      <c r="M11" s="55">
        <v>2</v>
      </c>
      <c r="N11" s="55">
        <v>1</v>
      </c>
      <c r="O11" s="32">
        <v>4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3128</v>
      </c>
      <c r="C12" s="32">
        <v>0</v>
      </c>
      <c r="D12" s="32">
        <v>1293</v>
      </c>
      <c r="E12" s="32">
        <v>200</v>
      </c>
      <c r="F12" s="32">
        <v>200</v>
      </c>
      <c r="G12" s="32">
        <v>295</v>
      </c>
      <c r="H12" s="32">
        <v>5116</v>
      </c>
      <c r="I12" s="32">
        <v>0</v>
      </c>
      <c r="J12" s="34"/>
      <c r="K12" s="31">
        <v>7</v>
      </c>
      <c r="L12" s="55">
        <v>2</v>
      </c>
      <c r="M12" s="55">
        <v>24</v>
      </c>
      <c r="N12" s="55">
        <v>1</v>
      </c>
      <c r="O12" s="32">
        <v>27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2968</v>
      </c>
      <c r="C13" s="32">
        <v>0</v>
      </c>
      <c r="D13" s="32">
        <v>1352</v>
      </c>
      <c r="E13" s="32">
        <v>185</v>
      </c>
      <c r="F13" s="32">
        <v>211</v>
      </c>
      <c r="G13" s="32">
        <v>365</v>
      </c>
      <c r="H13" s="32">
        <v>5081</v>
      </c>
      <c r="I13" s="32">
        <v>0</v>
      </c>
      <c r="J13" s="34"/>
      <c r="K13" s="31">
        <v>8</v>
      </c>
      <c r="L13" s="55">
        <v>2</v>
      </c>
      <c r="M13" s="55">
        <v>15</v>
      </c>
      <c r="N13" s="55">
        <v>3</v>
      </c>
      <c r="O13" s="32">
        <v>20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3338</v>
      </c>
      <c r="C14" s="32">
        <v>0</v>
      </c>
      <c r="D14" s="32">
        <v>1447</v>
      </c>
      <c r="E14" s="32">
        <v>220</v>
      </c>
      <c r="F14" s="32">
        <v>243</v>
      </c>
      <c r="G14" s="32">
        <v>404</v>
      </c>
      <c r="H14" s="32">
        <v>5652</v>
      </c>
      <c r="I14" s="32">
        <v>0</v>
      </c>
      <c r="J14" s="34"/>
      <c r="K14" s="31">
        <v>9</v>
      </c>
      <c r="L14" s="55">
        <v>5</v>
      </c>
      <c r="M14" s="55">
        <v>16</v>
      </c>
      <c r="N14" s="55">
        <v>8</v>
      </c>
      <c r="O14" s="32">
        <v>29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6783</v>
      </c>
      <c r="C15" s="32">
        <v>0</v>
      </c>
      <c r="D15" s="32">
        <v>1582</v>
      </c>
      <c r="E15" s="32">
        <v>240</v>
      </c>
      <c r="F15" s="32">
        <v>274</v>
      </c>
      <c r="G15" s="32">
        <v>377</v>
      </c>
      <c r="H15" s="32">
        <v>9256</v>
      </c>
      <c r="I15" s="32">
        <v>0</v>
      </c>
      <c r="J15" s="34"/>
      <c r="K15" s="31">
        <v>10</v>
      </c>
      <c r="L15" s="55">
        <v>8</v>
      </c>
      <c r="M15" s="55">
        <v>21</v>
      </c>
      <c r="N15" s="55">
        <v>2</v>
      </c>
      <c r="O15" s="32">
        <v>31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8175</v>
      </c>
      <c r="C16" s="32">
        <v>0</v>
      </c>
      <c r="D16" s="32">
        <v>1120</v>
      </c>
      <c r="E16" s="32">
        <v>102</v>
      </c>
      <c r="F16" s="32">
        <v>190</v>
      </c>
      <c r="G16" s="32">
        <v>230</v>
      </c>
      <c r="H16" s="32">
        <v>9817</v>
      </c>
      <c r="I16" s="32">
        <v>0</v>
      </c>
      <c r="J16" s="34"/>
      <c r="K16" s="31">
        <v>11</v>
      </c>
      <c r="L16" s="55">
        <v>6</v>
      </c>
      <c r="M16" s="55">
        <v>6</v>
      </c>
      <c r="N16" s="55">
        <v>0</v>
      </c>
      <c r="O16" s="32">
        <v>12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6325</v>
      </c>
      <c r="C17" s="32">
        <v>0</v>
      </c>
      <c r="D17" s="32">
        <v>1034</v>
      </c>
      <c r="E17" s="32">
        <v>121</v>
      </c>
      <c r="F17" s="32">
        <v>138</v>
      </c>
      <c r="G17" s="32">
        <v>262</v>
      </c>
      <c r="H17" s="32">
        <v>7880</v>
      </c>
      <c r="I17" s="32">
        <v>0</v>
      </c>
      <c r="J17" s="34"/>
      <c r="K17" s="31">
        <v>12</v>
      </c>
      <c r="L17" s="55">
        <v>3</v>
      </c>
      <c r="M17" s="55">
        <v>4</v>
      </c>
      <c r="N17" s="55">
        <v>0</v>
      </c>
      <c r="O17" s="32">
        <v>7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11563</v>
      </c>
      <c r="C18" s="32">
        <v>0</v>
      </c>
      <c r="D18" s="32">
        <v>835</v>
      </c>
      <c r="E18" s="32">
        <v>73</v>
      </c>
      <c r="F18" s="32">
        <v>65</v>
      </c>
      <c r="G18" s="32">
        <v>137</v>
      </c>
      <c r="H18" s="32">
        <v>12673</v>
      </c>
      <c r="I18" s="32">
        <v>0</v>
      </c>
      <c r="J18" s="34"/>
      <c r="K18" s="31">
        <v>13</v>
      </c>
      <c r="L18" s="55">
        <v>0</v>
      </c>
      <c r="M18" s="55">
        <v>6</v>
      </c>
      <c r="N18" s="55">
        <v>2</v>
      </c>
      <c r="O18" s="32">
        <v>8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3417</v>
      </c>
      <c r="C19" s="32">
        <v>0</v>
      </c>
      <c r="D19" s="32">
        <v>1215</v>
      </c>
      <c r="E19" s="32">
        <v>159</v>
      </c>
      <c r="F19" s="32">
        <v>213</v>
      </c>
      <c r="G19" s="32">
        <v>302</v>
      </c>
      <c r="H19" s="32">
        <v>5306</v>
      </c>
      <c r="I19" s="32">
        <v>0</v>
      </c>
      <c r="J19" s="34"/>
      <c r="K19" s="31">
        <v>14</v>
      </c>
      <c r="L19" s="55">
        <v>2</v>
      </c>
      <c r="M19" s="55">
        <v>10</v>
      </c>
      <c r="N19" s="55">
        <v>1</v>
      </c>
      <c r="O19" s="32">
        <v>13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2863</v>
      </c>
      <c r="C20" s="32">
        <v>0</v>
      </c>
      <c r="D20" s="32">
        <v>1391</v>
      </c>
      <c r="E20" s="32">
        <v>186</v>
      </c>
      <c r="F20" s="32">
        <v>210</v>
      </c>
      <c r="G20" s="32">
        <v>360</v>
      </c>
      <c r="H20" s="32">
        <v>5010</v>
      </c>
      <c r="I20" s="32">
        <v>0</v>
      </c>
      <c r="J20" s="34"/>
      <c r="K20" s="31">
        <v>15</v>
      </c>
      <c r="L20" s="55">
        <v>0</v>
      </c>
      <c r="M20" s="55">
        <v>16</v>
      </c>
      <c r="N20" s="55">
        <v>0</v>
      </c>
      <c r="O20" s="32">
        <v>16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2920</v>
      </c>
      <c r="C21" s="32">
        <v>0</v>
      </c>
      <c r="D21" s="32">
        <v>1367</v>
      </c>
      <c r="E21" s="32">
        <v>193</v>
      </c>
      <c r="F21" s="32">
        <v>224</v>
      </c>
      <c r="G21" s="32">
        <v>376</v>
      </c>
      <c r="H21" s="32">
        <v>5080</v>
      </c>
      <c r="I21" s="32">
        <v>0</v>
      </c>
      <c r="J21" s="34"/>
      <c r="K21" s="31">
        <v>16</v>
      </c>
      <c r="L21" s="55">
        <v>3</v>
      </c>
      <c r="M21" s="55">
        <v>18</v>
      </c>
      <c r="N21" s="55">
        <v>3</v>
      </c>
      <c r="O21" s="32">
        <v>24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3925</v>
      </c>
      <c r="C22" s="32">
        <v>0</v>
      </c>
      <c r="D22" s="32">
        <v>1344</v>
      </c>
      <c r="E22" s="32">
        <v>166</v>
      </c>
      <c r="F22" s="32">
        <v>218</v>
      </c>
      <c r="G22" s="32">
        <v>361</v>
      </c>
      <c r="H22" s="32">
        <v>6014</v>
      </c>
      <c r="I22" s="32">
        <v>0</v>
      </c>
      <c r="J22" s="34"/>
      <c r="K22" s="31">
        <v>17</v>
      </c>
      <c r="L22" s="55">
        <v>5</v>
      </c>
      <c r="M22" s="55">
        <v>25</v>
      </c>
      <c r="N22" s="55">
        <v>2</v>
      </c>
      <c r="O22" s="32">
        <v>32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3977</v>
      </c>
      <c r="C23" s="32">
        <v>0</v>
      </c>
      <c r="D23" s="32">
        <v>1192</v>
      </c>
      <c r="E23" s="32">
        <v>134</v>
      </c>
      <c r="F23" s="32">
        <v>230</v>
      </c>
      <c r="G23" s="32">
        <v>284</v>
      </c>
      <c r="H23" s="32">
        <v>5817</v>
      </c>
      <c r="I23" s="32">
        <v>0</v>
      </c>
      <c r="J23" s="34"/>
      <c r="K23" s="31">
        <v>18</v>
      </c>
      <c r="L23" s="55">
        <v>5</v>
      </c>
      <c r="M23" s="55">
        <v>11</v>
      </c>
      <c r="N23" s="55">
        <v>2</v>
      </c>
      <c r="O23" s="32">
        <v>18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5091</v>
      </c>
      <c r="C24" s="32">
        <v>0</v>
      </c>
      <c r="D24" s="32">
        <v>1016</v>
      </c>
      <c r="E24" s="32">
        <v>135</v>
      </c>
      <c r="F24" s="32">
        <v>156</v>
      </c>
      <c r="G24" s="32">
        <v>292</v>
      </c>
      <c r="H24" s="32">
        <v>6690</v>
      </c>
      <c r="I24" s="32">
        <v>0</v>
      </c>
      <c r="J24" s="34"/>
      <c r="K24" s="31">
        <v>19</v>
      </c>
      <c r="L24" s="55">
        <v>1</v>
      </c>
      <c r="M24" s="55">
        <v>4</v>
      </c>
      <c r="N24" s="55">
        <v>0</v>
      </c>
      <c r="O24" s="32">
        <v>5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3140</v>
      </c>
      <c r="C25" s="32">
        <v>0</v>
      </c>
      <c r="D25" s="32">
        <v>1190</v>
      </c>
      <c r="E25" s="32">
        <v>219</v>
      </c>
      <c r="F25" s="32">
        <v>205</v>
      </c>
      <c r="G25" s="32">
        <v>356</v>
      </c>
      <c r="H25" s="32">
        <v>5110</v>
      </c>
      <c r="I25" s="32">
        <v>0</v>
      </c>
      <c r="J25" s="34"/>
      <c r="K25" s="31">
        <v>20</v>
      </c>
      <c r="L25" s="55">
        <v>2</v>
      </c>
      <c r="M25" s="55">
        <v>18</v>
      </c>
      <c r="N25" s="55">
        <v>3</v>
      </c>
      <c r="O25" s="32">
        <v>23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2781</v>
      </c>
      <c r="C26" s="32">
        <v>0</v>
      </c>
      <c r="D26" s="32">
        <v>1287</v>
      </c>
      <c r="E26" s="32">
        <v>202</v>
      </c>
      <c r="F26" s="32">
        <v>217</v>
      </c>
      <c r="G26" s="32">
        <v>371</v>
      </c>
      <c r="H26" s="32">
        <v>4858</v>
      </c>
      <c r="I26" s="32">
        <v>0</v>
      </c>
      <c r="J26" s="34"/>
      <c r="K26" s="31">
        <v>21</v>
      </c>
      <c r="L26" s="55">
        <v>1</v>
      </c>
      <c r="M26" s="55">
        <v>12</v>
      </c>
      <c r="N26" s="55">
        <v>6</v>
      </c>
      <c r="O26" s="32">
        <v>19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2908</v>
      </c>
      <c r="C27" s="32">
        <v>0</v>
      </c>
      <c r="D27" s="32">
        <v>1371</v>
      </c>
      <c r="E27" s="32">
        <v>219</v>
      </c>
      <c r="F27" s="32">
        <v>252</v>
      </c>
      <c r="G27" s="32">
        <v>405</v>
      </c>
      <c r="H27" s="32">
        <v>5155</v>
      </c>
      <c r="I27" s="32">
        <v>0</v>
      </c>
      <c r="J27" s="34"/>
      <c r="K27" s="31">
        <v>22</v>
      </c>
      <c r="L27" s="55">
        <v>1</v>
      </c>
      <c r="M27" s="55">
        <v>14</v>
      </c>
      <c r="N27" s="55">
        <v>2</v>
      </c>
      <c r="O27" s="32">
        <v>17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3124</v>
      </c>
      <c r="C28" s="32">
        <v>0</v>
      </c>
      <c r="D28" s="32">
        <v>1425</v>
      </c>
      <c r="E28" s="32">
        <v>199</v>
      </c>
      <c r="F28" s="32">
        <v>254</v>
      </c>
      <c r="G28" s="32">
        <v>396</v>
      </c>
      <c r="H28" s="32">
        <v>5398</v>
      </c>
      <c r="I28" s="32">
        <v>0</v>
      </c>
      <c r="J28" s="34"/>
      <c r="K28" s="31">
        <v>23</v>
      </c>
      <c r="L28" s="55">
        <v>3</v>
      </c>
      <c r="M28" s="55">
        <v>7</v>
      </c>
      <c r="N28" s="55">
        <v>6</v>
      </c>
      <c r="O28" s="32">
        <v>16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4263</v>
      </c>
      <c r="C29" s="32">
        <v>0</v>
      </c>
      <c r="D29" s="32">
        <v>1296</v>
      </c>
      <c r="E29" s="32">
        <v>149</v>
      </c>
      <c r="F29" s="32">
        <v>225</v>
      </c>
      <c r="G29" s="32">
        <v>366</v>
      </c>
      <c r="H29" s="32">
        <v>6299</v>
      </c>
      <c r="I29" s="32">
        <v>0</v>
      </c>
      <c r="J29" s="34"/>
      <c r="K29" s="31">
        <v>24</v>
      </c>
      <c r="L29" s="55">
        <v>0</v>
      </c>
      <c r="M29" s="55">
        <v>15</v>
      </c>
      <c r="N29" s="55">
        <v>1</v>
      </c>
      <c r="O29" s="32">
        <v>16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4227</v>
      </c>
      <c r="C30" s="32">
        <v>0</v>
      </c>
      <c r="D30" s="32">
        <v>1158</v>
      </c>
      <c r="E30" s="32">
        <v>139</v>
      </c>
      <c r="F30" s="32">
        <v>202</v>
      </c>
      <c r="G30" s="32">
        <v>289</v>
      </c>
      <c r="H30" s="32">
        <v>6015</v>
      </c>
      <c r="I30" s="32">
        <v>0</v>
      </c>
      <c r="J30" s="34"/>
      <c r="K30" s="31">
        <v>25</v>
      </c>
      <c r="L30" s="55">
        <v>3</v>
      </c>
      <c r="M30" s="55">
        <v>10</v>
      </c>
      <c r="N30" s="55">
        <v>7</v>
      </c>
      <c r="O30" s="32">
        <v>20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5802</v>
      </c>
      <c r="C31" s="32">
        <v>0</v>
      </c>
      <c r="D31" s="32">
        <v>1013</v>
      </c>
      <c r="E31" s="32">
        <v>146</v>
      </c>
      <c r="F31" s="32">
        <v>115</v>
      </c>
      <c r="G31" s="32">
        <v>261</v>
      </c>
      <c r="H31" s="32">
        <v>7337</v>
      </c>
      <c r="I31" s="32">
        <v>0</v>
      </c>
      <c r="J31" s="34"/>
      <c r="K31" s="31">
        <v>26</v>
      </c>
      <c r="L31" s="55">
        <v>1</v>
      </c>
      <c r="M31" s="55">
        <v>12</v>
      </c>
      <c r="N31" s="55">
        <v>0</v>
      </c>
      <c r="O31" s="32">
        <v>13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3112</v>
      </c>
      <c r="C32" s="32">
        <v>0</v>
      </c>
      <c r="D32" s="32">
        <v>1146</v>
      </c>
      <c r="E32" s="32">
        <v>176</v>
      </c>
      <c r="F32" s="32">
        <v>194</v>
      </c>
      <c r="G32" s="32">
        <v>355</v>
      </c>
      <c r="H32" s="32">
        <v>4983</v>
      </c>
      <c r="I32" s="32">
        <v>0</v>
      </c>
      <c r="J32" s="34"/>
      <c r="K32" s="31">
        <v>27</v>
      </c>
      <c r="L32" s="55">
        <v>5</v>
      </c>
      <c r="M32" s="55">
        <v>11</v>
      </c>
      <c r="N32" s="55">
        <v>0</v>
      </c>
      <c r="O32" s="32">
        <v>16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3095</v>
      </c>
      <c r="C33" s="32">
        <v>0</v>
      </c>
      <c r="D33" s="32">
        <v>1345</v>
      </c>
      <c r="E33" s="32">
        <v>196</v>
      </c>
      <c r="F33" s="32">
        <v>212</v>
      </c>
      <c r="G33" s="32">
        <v>337</v>
      </c>
      <c r="H33" s="32">
        <v>5185</v>
      </c>
      <c r="I33" s="32">
        <v>0</v>
      </c>
      <c r="J33" s="34"/>
      <c r="K33" s="31">
        <v>28</v>
      </c>
      <c r="L33" s="55">
        <v>2</v>
      </c>
      <c r="M33" s="55">
        <v>9</v>
      </c>
      <c r="N33" s="55">
        <v>3</v>
      </c>
      <c r="O33" s="32">
        <v>14</v>
      </c>
      <c r="P33" s="47">
        <v>6135</v>
      </c>
    </row>
    <row r="34" spans="1:16" ht="15.6" thickTop="1" thickBot="1" x14ac:dyDescent="0.35">
      <c r="A34" s="31">
        <v>29</v>
      </c>
      <c r="B34" s="32">
        <v>3131</v>
      </c>
      <c r="C34" s="32">
        <v>0</v>
      </c>
      <c r="D34" s="32">
        <v>1418</v>
      </c>
      <c r="E34" s="32">
        <v>188</v>
      </c>
      <c r="F34" s="32">
        <v>222</v>
      </c>
      <c r="G34" s="32">
        <v>348</v>
      </c>
      <c r="H34" s="32">
        <v>5307</v>
      </c>
      <c r="I34" s="32">
        <v>0</v>
      </c>
      <c r="J34" s="34"/>
      <c r="K34" s="31">
        <v>29</v>
      </c>
      <c r="L34" s="32">
        <v>2</v>
      </c>
      <c r="M34" s="32">
        <v>12</v>
      </c>
      <c r="N34" s="32">
        <v>4</v>
      </c>
      <c r="O34" s="32">
        <v>18</v>
      </c>
      <c r="P34" s="47">
        <v>6135</v>
      </c>
    </row>
    <row r="35" spans="1:16" ht="15.6" thickTop="1" thickBot="1" x14ac:dyDescent="0.35">
      <c r="A35" s="31">
        <v>30</v>
      </c>
      <c r="B35" s="32">
        <v>3418</v>
      </c>
      <c r="C35" s="32">
        <v>0</v>
      </c>
      <c r="D35" s="32">
        <v>1438</v>
      </c>
      <c r="E35" s="32">
        <v>177</v>
      </c>
      <c r="F35" s="32">
        <v>242</v>
      </c>
      <c r="G35" s="32">
        <v>334</v>
      </c>
      <c r="H35" s="32">
        <v>5609</v>
      </c>
      <c r="I35" s="32">
        <v>0</v>
      </c>
      <c r="J35" s="34"/>
      <c r="K35" s="31">
        <v>30</v>
      </c>
      <c r="L35" s="32">
        <v>3</v>
      </c>
      <c r="M35" s="32">
        <v>16</v>
      </c>
      <c r="N35" s="32">
        <v>3</v>
      </c>
      <c r="O35" s="32">
        <v>22</v>
      </c>
      <c r="P35" s="47">
        <v>6135</v>
      </c>
    </row>
    <row r="36" spans="1:16" ht="15.6" thickTop="1" thickBot="1" x14ac:dyDescent="0.35">
      <c r="A36" s="31">
        <v>31</v>
      </c>
      <c r="B36" s="32"/>
      <c r="C36" s="32"/>
      <c r="D36" s="32"/>
      <c r="E36" s="32"/>
      <c r="F36" s="32"/>
      <c r="G36" s="32"/>
      <c r="H36" s="32">
        <v>0</v>
      </c>
      <c r="I36" s="32">
        <v>0</v>
      </c>
      <c r="J36" s="34"/>
      <c r="K36" s="31">
        <v>31</v>
      </c>
      <c r="L36" s="32"/>
      <c r="M36" s="32"/>
      <c r="N36" s="32"/>
      <c r="O36" s="32">
        <v>0</v>
      </c>
      <c r="P36" s="47">
        <v>6135</v>
      </c>
    </row>
    <row r="37" spans="1:16" ht="15" thickTop="1" x14ac:dyDescent="0.3">
      <c r="A37" s="56" t="s">
        <v>19</v>
      </c>
      <c r="B37" s="58">
        <v>138131</v>
      </c>
      <c r="C37" s="58">
        <v>0</v>
      </c>
      <c r="D37" s="58">
        <v>37066</v>
      </c>
      <c r="E37" s="58">
        <v>4931</v>
      </c>
      <c r="F37" s="58">
        <v>5872</v>
      </c>
      <c r="G37" s="58">
        <v>9485</v>
      </c>
      <c r="H37" s="58">
        <v>195485</v>
      </c>
      <c r="I37" s="58">
        <v>0</v>
      </c>
      <c r="J37" s="58"/>
      <c r="K37" s="58"/>
      <c r="L37" s="58">
        <v>82</v>
      </c>
      <c r="M37" s="58">
        <v>376</v>
      </c>
      <c r="N37" s="58">
        <v>72</v>
      </c>
      <c r="O37" s="58"/>
      <c r="P37" s="59"/>
    </row>
    <row r="38" spans="1:16" x14ac:dyDescent="0.3">
      <c r="A38" s="56" t="s">
        <v>19</v>
      </c>
      <c r="B38" s="98">
        <v>138131</v>
      </c>
      <c r="C38" s="98"/>
      <c r="D38" s="58">
        <v>37066</v>
      </c>
      <c r="E38" s="58">
        <v>4931</v>
      </c>
      <c r="F38" s="58">
        <v>5872</v>
      </c>
      <c r="G38" s="58">
        <v>9485</v>
      </c>
      <c r="H38" s="78">
        <v>195485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530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5C40-952A-46C2-88E2-BD5E057D3925}">
  <dimension ref="A1:Z46"/>
  <sheetViews>
    <sheetView tabSelected="1" workbookViewId="0">
      <selection activeCell="J14" sqref="J14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ht="15.6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66"/>
      <c r="Q2" s="66"/>
      <c r="R2" s="66"/>
      <c r="S2" s="66"/>
    </row>
    <row r="3" spans="1:19" ht="15.6" x14ac:dyDescent="0.3">
      <c r="A3" s="96" t="s">
        <v>33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66"/>
      <c r="Q3" s="66"/>
      <c r="R3" s="66"/>
      <c r="S3" s="66"/>
    </row>
    <row r="4" spans="1:19" ht="82.8" x14ac:dyDescent="0.3">
      <c r="A4" s="93" t="s">
        <v>1</v>
      </c>
      <c r="B4" s="97" t="s">
        <v>2</v>
      </c>
      <c r="C4" s="97"/>
      <c r="D4" s="57" t="s">
        <v>3</v>
      </c>
      <c r="E4" s="57" t="s">
        <v>4</v>
      </c>
      <c r="F4" s="57" t="s">
        <v>5</v>
      </c>
      <c r="G4" s="57" t="s">
        <v>6</v>
      </c>
      <c r="H4" s="97" t="s">
        <v>7</v>
      </c>
      <c r="I4" s="97" t="s">
        <v>8</v>
      </c>
      <c r="J4" s="60"/>
      <c r="K4" s="99" t="s">
        <v>1</v>
      </c>
      <c r="L4" s="97" t="s">
        <v>9</v>
      </c>
      <c r="M4" s="97" t="s">
        <v>10</v>
      </c>
      <c r="N4" s="97" t="s">
        <v>11</v>
      </c>
      <c r="O4" s="97" t="s">
        <v>12</v>
      </c>
      <c r="P4" s="59"/>
      <c r="Q4" s="59"/>
      <c r="R4" s="59"/>
      <c r="S4" s="59"/>
    </row>
    <row r="5" spans="1:19" x14ac:dyDescent="0.3">
      <c r="A5" s="9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97"/>
      <c r="I5" s="97"/>
      <c r="J5" s="60"/>
      <c r="K5" s="99"/>
      <c r="L5" s="97"/>
      <c r="M5" s="97"/>
      <c r="N5" s="97"/>
      <c r="O5" s="97"/>
      <c r="P5" s="59"/>
      <c r="Q5" s="59"/>
      <c r="R5" s="59"/>
      <c r="S5" s="59"/>
    </row>
    <row r="6" spans="1:19" ht="15" thickBot="1" x14ac:dyDescent="0.35">
      <c r="A6" s="31">
        <v>1</v>
      </c>
      <c r="B6" s="32">
        <v>4419</v>
      </c>
      <c r="C6" s="32">
        <v>0</v>
      </c>
      <c r="D6" s="32">
        <v>1343</v>
      </c>
      <c r="E6" s="32">
        <v>143</v>
      </c>
      <c r="F6" s="32">
        <v>201</v>
      </c>
      <c r="G6" s="32">
        <v>352</v>
      </c>
      <c r="H6" s="32">
        <v>6458</v>
      </c>
      <c r="I6" s="32">
        <v>0</v>
      </c>
      <c r="J6" s="33"/>
      <c r="K6" s="31">
        <v>1</v>
      </c>
      <c r="L6" s="55">
        <v>3</v>
      </c>
      <c r="M6" s="55">
        <v>16</v>
      </c>
      <c r="N6" s="55">
        <v>0</v>
      </c>
      <c r="O6" s="32">
        <v>19</v>
      </c>
      <c r="P6" s="47">
        <v>6135</v>
      </c>
      <c r="Q6" s="59"/>
      <c r="R6" s="59"/>
      <c r="S6" s="59"/>
    </row>
    <row r="7" spans="1:19" ht="15.6" thickTop="1" thickBot="1" x14ac:dyDescent="0.35">
      <c r="A7" s="31">
        <v>2</v>
      </c>
      <c r="B7" s="32">
        <v>4504</v>
      </c>
      <c r="C7" s="32">
        <v>0</v>
      </c>
      <c r="D7" s="32">
        <v>1185</v>
      </c>
      <c r="E7" s="32">
        <v>134</v>
      </c>
      <c r="F7" s="32">
        <v>164</v>
      </c>
      <c r="G7" s="32">
        <v>306</v>
      </c>
      <c r="H7" s="32">
        <v>6293</v>
      </c>
      <c r="I7" s="32">
        <v>0</v>
      </c>
      <c r="J7" s="33"/>
      <c r="K7" s="31">
        <v>2</v>
      </c>
      <c r="L7" s="55">
        <v>1</v>
      </c>
      <c r="M7" s="55">
        <v>8</v>
      </c>
      <c r="N7" s="55">
        <v>1</v>
      </c>
      <c r="O7" s="32">
        <v>10</v>
      </c>
      <c r="P7" s="47">
        <v>6135</v>
      </c>
      <c r="Q7" s="59"/>
      <c r="R7" s="59"/>
      <c r="S7" s="59"/>
    </row>
    <row r="8" spans="1:19" ht="15.6" thickTop="1" thickBot="1" x14ac:dyDescent="0.35">
      <c r="A8" s="31">
        <v>3</v>
      </c>
      <c r="B8" s="32">
        <v>5970</v>
      </c>
      <c r="C8" s="32">
        <v>0</v>
      </c>
      <c r="D8" s="32">
        <v>1007</v>
      </c>
      <c r="E8" s="32">
        <v>121</v>
      </c>
      <c r="F8" s="32">
        <v>131</v>
      </c>
      <c r="G8" s="32">
        <v>232</v>
      </c>
      <c r="H8" s="32">
        <v>7461</v>
      </c>
      <c r="I8" s="32">
        <v>0</v>
      </c>
      <c r="J8" s="33"/>
      <c r="K8" s="31">
        <v>3</v>
      </c>
      <c r="L8" s="55">
        <v>4</v>
      </c>
      <c r="M8" s="55">
        <v>5</v>
      </c>
      <c r="N8" s="55">
        <v>1</v>
      </c>
      <c r="O8" s="32">
        <v>10</v>
      </c>
      <c r="P8" s="47">
        <v>6135</v>
      </c>
      <c r="Q8" s="59"/>
      <c r="R8" s="59"/>
      <c r="S8" s="64"/>
    </row>
    <row r="9" spans="1:19" ht="15.6" thickTop="1" thickBot="1" x14ac:dyDescent="0.35">
      <c r="A9" s="31">
        <v>4</v>
      </c>
      <c r="B9" s="32">
        <v>3335</v>
      </c>
      <c r="C9" s="32">
        <v>0</v>
      </c>
      <c r="D9" s="32">
        <v>1287</v>
      </c>
      <c r="E9" s="32">
        <v>189</v>
      </c>
      <c r="F9" s="32">
        <v>206</v>
      </c>
      <c r="G9" s="32">
        <v>298</v>
      </c>
      <c r="H9" s="32">
        <v>5315</v>
      </c>
      <c r="I9" s="32">
        <v>0</v>
      </c>
      <c r="J9" s="33"/>
      <c r="K9" s="31">
        <v>4</v>
      </c>
      <c r="L9" s="55">
        <v>1</v>
      </c>
      <c r="M9" s="55">
        <v>18</v>
      </c>
      <c r="N9" s="55">
        <v>3</v>
      </c>
      <c r="O9" s="32">
        <v>22</v>
      </c>
      <c r="P9" s="47">
        <v>6135</v>
      </c>
      <c r="Q9" s="59"/>
      <c r="R9" s="59"/>
      <c r="S9" s="59"/>
    </row>
    <row r="10" spans="1:19" ht="15.6" thickTop="1" thickBot="1" x14ac:dyDescent="0.35">
      <c r="A10" s="31">
        <v>5</v>
      </c>
      <c r="B10" s="32">
        <v>3469</v>
      </c>
      <c r="C10" s="32">
        <v>0</v>
      </c>
      <c r="D10" s="32">
        <v>1481</v>
      </c>
      <c r="E10" s="32">
        <v>195</v>
      </c>
      <c r="F10" s="32">
        <v>206</v>
      </c>
      <c r="G10" s="32">
        <v>383</v>
      </c>
      <c r="H10" s="32">
        <v>5734</v>
      </c>
      <c r="I10" s="32">
        <v>0</v>
      </c>
      <c r="J10" s="33"/>
      <c r="K10" s="31">
        <v>5</v>
      </c>
      <c r="L10" s="55">
        <v>2</v>
      </c>
      <c r="M10" s="55">
        <v>14</v>
      </c>
      <c r="N10" s="55">
        <v>3</v>
      </c>
      <c r="O10" s="32">
        <v>19</v>
      </c>
      <c r="P10" s="47">
        <v>6135</v>
      </c>
      <c r="Q10" s="59"/>
      <c r="R10" s="59"/>
      <c r="S10" s="59"/>
    </row>
    <row r="11" spans="1:19" ht="15.6" thickTop="1" thickBot="1" x14ac:dyDescent="0.35">
      <c r="A11" s="31">
        <v>6</v>
      </c>
      <c r="B11" s="32">
        <v>4198</v>
      </c>
      <c r="C11" s="32">
        <v>0</v>
      </c>
      <c r="D11" s="32">
        <v>1572</v>
      </c>
      <c r="E11" s="32">
        <v>200</v>
      </c>
      <c r="F11" s="32">
        <v>238</v>
      </c>
      <c r="G11" s="32">
        <v>376</v>
      </c>
      <c r="H11" s="32">
        <v>6584</v>
      </c>
      <c r="I11" s="32">
        <v>0</v>
      </c>
      <c r="J11" s="33"/>
      <c r="K11" s="31">
        <v>6</v>
      </c>
      <c r="L11" s="55">
        <v>1</v>
      </c>
      <c r="M11" s="55">
        <v>14</v>
      </c>
      <c r="N11" s="55">
        <v>7</v>
      </c>
      <c r="O11" s="32">
        <v>22</v>
      </c>
      <c r="P11" s="47">
        <v>6135</v>
      </c>
      <c r="Q11" s="59"/>
      <c r="R11" s="59"/>
      <c r="S11" s="59"/>
    </row>
    <row r="12" spans="1:19" ht="15.6" thickTop="1" thickBot="1" x14ac:dyDescent="0.35">
      <c r="A12" s="31">
        <v>7</v>
      </c>
      <c r="B12" s="32">
        <v>7748</v>
      </c>
      <c r="C12" s="32">
        <v>0</v>
      </c>
      <c r="D12" s="32">
        <v>1287</v>
      </c>
      <c r="E12" s="32">
        <v>160</v>
      </c>
      <c r="F12" s="32">
        <v>200</v>
      </c>
      <c r="G12" s="32">
        <v>287</v>
      </c>
      <c r="H12" s="32">
        <v>9682</v>
      </c>
      <c r="I12" s="32">
        <v>0</v>
      </c>
      <c r="J12" s="34"/>
      <c r="K12" s="31">
        <v>7</v>
      </c>
      <c r="L12" s="55">
        <v>1</v>
      </c>
      <c r="M12" s="55">
        <v>3</v>
      </c>
      <c r="N12" s="55">
        <v>3</v>
      </c>
      <c r="O12" s="32">
        <v>7</v>
      </c>
      <c r="P12" s="47">
        <v>6135</v>
      </c>
      <c r="Q12" s="59"/>
      <c r="R12" s="59"/>
      <c r="S12" s="59"/>
    </row>
    <row r="13" spans="1:19" ht="15.6" thickTop="1" thickBot="1" x14ac:dyDescent="0.35">
      <c r="A13" s="31">
        <v>8</v>
      </c>
      <c r="B13" s="32">
        <v>7196</v>
      </c>
      <c r="C13" s="32">
        <v>0</v>
      </c>
      <c r="D13" s="32">
        <v>945</v>
      </c>
      <c r="E13" s="32">
        <v>75</v>
      </c>
      <c r="F13" s="32">
        <v>142</v>
      </c>
      <c r="G13" s="32">
        <v>228</v>
      </c>
      <c r="H13" s="32">
        <v>8586</v>
      </c>
      <c r="I13" s="32">
        <v>0</v>
      </c>
      <c r="J13" s="34"/>
      <c r="K13" s="31">
        <v>8</v>
      </c>
      <c r="L13" s="55">
        <v>0</v>
      </c>
      <c r="M13" s="55">
        <v>9</v>
      </c>
      <c r="N13" s="55">
        <v>2</v>
      </c>
      <c r="O13" s="32">
        <v>11</v>
      </c>
      <c r="P13" s="47">
        <v>6135</v>
      </c>
      <c r="Q13" s="59"/>
      <c r="R13" s="59"/>
      <c r="S13" s="59"/>
    </row>
    <row r="14" spans="1:19" ht="15.6" thickTop="1" thickBot="1" x14ac:dyDescent="0.35">
      <c r="A14" s="31">
        <v>9</v>
      </c>
      <c r="B14" s="32">
        <v>4997</v>
      </c>
      <c r="C14" s="32">
        <v>0</v>
      </c>
      <c r="D14" s="32">
        <v>1105</v>
      </c>
      <c r="E14" s="32">
        <v>149</v>
      </c>
      <c r="F14" s="32">
        <v>198</v>
      </c>
      <c r="G14" s="32">
        <v>292</v>
      </c>
      <c r="H14" s="32">
        <v>6741</v>
      </c>
      <c r="I14" s="32">
        <v>0</v>
      </c>
      <c r="J14" s="34"/>
      <c r="K14" s="31">
        <v>9</v>
      </c>
      <c r="L14" s="55">
        <v>4</v>
      </c>
      <c r="M14" s="55">
        <v>14</v>
      </c>
      <c r="N14" s="55">
        <v>2</v>
      </c>
      <c r="O14" s="32">
        <v>20</v>
      </c>
      <c r="P14" s="48">
        <v>6135</v>
      </c>
      <c r="Q14" s="67"/>
      <c r="R14" s="67"/>
      <c r="S14" s="67"/>
    </row>
    <row r="15" spans="1:19" ht="15.6" thickTop="1" thickBot="1" x14ac:dyDescent="0.35">
      <c r="A15" s="31">
        <v>10</v>
      </c>
      <c r="B15" s="32">
        <v>11275</v>
      </c>
      <c r="C15" s="32">
        <v>0</v>
      </c>
      <c r="D15" s="32">
        <v>876</v>
      </c>
      <c r="E15" s="32">
        <v>65</v>
      </c>
      <c r="F15" s="32">
        <v>71</v>
      </c>
      <c r="G15" s="32">
        <v>131</v>
      </c>
      <c r="H15" s="32">
        <v>12418</v>
      </c>
      <c r="I15" s="32">
        <v>0</v>
      </c>
      <c r="J15" s="34"/>
      <c r="K15" s="31">
        <v>10</v>
      </c>
      <c r="L15" s="55">
        <v>0</v>
      </c>
      <c r="M15" s="55">
        <v>4</v>
      </c>
      <c r="N15" s="55">
        <v>0</v>
      </c>
      <c r="O15" s="32">
        <v>4</v>
      </c>
      <c r="P15" s="47">
        <v>6135</v>
      </c>
      <c r="Q15" s="59"/>
      <c r="R15" s="59"/>
      <c r="S15" s="59"/>
    </row>
    <row r="16" spans="1:19" ht="15.6" thickTop="1" thickBot="1" x14ac:dyDescent="0.35">
      <c r="A16" s="31">
        <v>11</v>
      </c>
      <c r="B16" s="32">
        <v>4172</v>
      </c>
      <c r="C16" s="32">
        <v>0</v>
      </c>
      <c r="D16" s="32">
        <v>1224</v>
      </c>
      <c r="E16" s="32">
        <v>220</v>
      </c>
      <c r="F16" s="32">
        <v>188</v>
      </c>
      <c r="G16" s="32">
        <v>323</v>
      </c>
      <c r="H16" s="32">
        <v>6127</v>
      </c>
      <c r="I16" s="32">
        <v>0</v>
      </c>
      <c r="J16" s="34"/>
      <c r="K16" s="31">
        <v>11</v>
      </c>
      <c r="L16" s="55">
        <v>1</v>
      </c>
      <c r="M16" s="55">
        <v>13</v>
      </c>
      <c r="N16" s="55">
        <v>8</v>
      </c>
      <c r="O16" s="32">
        <v>22</v>
      </c>
      <c r="P16" s="47">
        <v>6135</v>
      </c>
      <c r="Q16" s="59"/>
      <c r="R16" s="59"/>
      <c r="S16" s="59"/>
    </row>
    <row r="17" spans="1:26" ht="15.6" thickTop="1" thickBot="1" x14ac:dyDescent="0.35">
      <c r="A17" s="31">
        <v>12</v>
      </c>
      <c r="B17" s="32">
        <v>3609</v>
      </c>
      <c r="C17" s="32">
        <v>0</v>
      </c>
      <c r="D17" s="32">
        <v>1465</v>
      </c>
      <c r="E17" s="32">
        <v>195</v>
      </c>
      <c r="F17" s="32">
        <v>236</v>
      </c>
      <c r="G17" s="32">
        <v>364</v>
      </c>
      <c r="H17" s="32">
        <v>5869</v>
      </c>
      <c r="I17" s="32">
        <v>0</v>
      </c>
      <c r="J17" s="34"/>
      <c r="K17" s="31">
        <v>12</v>
      </c>
      <c r="L17" s="55">
        <v>8</v>
      </c>
      <c r="M17" s="55">
        <v>10</v>
      </c>
      <c r="N17" s="55">
        <v>5</v>
      </c>
      <c r="O17" s="32">
        <v>23</v>
      </c>
      <c r="P17" s="47">
        <v>6135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6" thickTop="1" thickBot="1" x14ac:dyDescent="0.35">
      <c r="A18" s="31">
        <v>13</v>
      </c>
      <c r="B18" s="32">
        <v>3715</v>
      </c>
      <c r="C18" s="32">
        <v>0</v>
      </c>
      <c r="D18" s="32">
        <v>1485</v>
      </c>
      <c r="E18" s="32">
        <v>205</v>
      </c>
      <c r="F18" s="32">
        <v>238</v>
      </c>
      <c r="G18" s="32">
        <v>409</v>
      </c>
      <c r="H18" s="32">
        <v>6052</v>
      </c>
      <c r="I18" s="32">
        <v>0</v>
      </c>
      <c r="J18" s="34"/>
      <c r="K18" s="31">
        <v>13</v>
      </c>
      <c r="L18" s="55">
        <v>5</v>
      </c>
      <c r="M18" s="55">
        <v>14</v>
      </c>
      <c r="N18" s="55">
        <v>6</v>
      </c>
      <c r="O18" s="32">
        <v>25</v>
      </c>
      <c r="P18" s="47">
        <v>6135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6" thickTop="1" thickBot="1" x14ac:dyDescent="0.35">
      <c r="A19" s="31">
        <v>14</v>
      </c>
      <c r="B19" s="32">
        <v>4107</v>
      </c>
      <c r="C19" s="32">
        <v>0</v>
      </c>
      <c r="D19" s="32">
        <v>1465</v>
      </c>
      <c r="E19" s="32">
        <v>183</v>
      </c>
      <c r="F19" s="32">
        <v>253</v>
      </c>
      <c r="G19" s="32">
        <v>383</v>
      </c>
      <c r="H19" s="32">
        <v>6391</v>
      </c>
      <c r="I19" s="32">
        <v>0</v>
      </c>
      <c r="J19" s="34"/>
      <c r="K19" s="31">
        <v>14</v>
      </c>
      <c r="L19" s="55">
        <v>1</v>
      </c>
      <c r="M19" s="55">
        <v>18</v>
      </c>
      <c r="N19" s="55">
        <v>3</v>
      </c>
      <c r="O19" s="32">
        <v>22</v>
      </c>
      <c r="P19" s="47">
        <v>6135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6" thickTop="1" thickBot="1" x14ac:dyDescent="0.35">
      <c r="A20" s="31">
        <v>15</v>
      </c>
      <c r="B20" s="32">
        <v>5450</v>
      </c>
      <c r="C20" s="32">
        <v>0</v>
      </c>
      <c r="D20" s="32">
        <v>1469</v>
      </c>
      <c r="E20" s="32">
        <v>173</v>
      </c>
      <c r="F20" s="32">
        <v>247</v>
      </c>
      <c r="G20" s="32">
        <v>330</v>
      </c>
      <c r="H20" s="32">
        <v>7669</v>
      </c>
      <c r="I20" s="32">
        <v>0</v>
      </c>
      <c r="J20" s="34"/>
      <c r="K20" s="31">
        <v>15</v>
      </c>
      <c r="L20" s="55">
        <v>2</v>
      </c>
      <c r="M20" s="55">
        <v>15</v>
      </c>
      <c r="N20" s="55">
        <v>6</v>
      </c>
      <c r="O20" s="32">
        <v>23</v>
      </c>
      <c r="P20" s="47">
        <v>6135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6" thickTop="1" thickBot="1" x14ac:dyDescent="0.35">
      <c r="A21" s="31">
        <v>16</v>
      </c>
      <c r="B21" s="32">
        <v>6028</v>
      </c>
      <c r="C21" s="32">
        <v>0</v>
      </c>
      <c r="D21" s="32">
        <v>1294</v>
      </c>
      <c r="E21" s="32">
        <v>173</v>
      </c>
      <c r="F21" s="32">
        <v>221</v>
      </c>
      <c r="G21" s="32">
        <v>307</v>
      </c>
      <c r="H21" s="32">
        <v>8023</v>
      </c>
      <c r="I21" s="32">
        <v>0</v>
      </c>
      <c r="J21" s="34"/>
      <c r="K21" s="31">
        <v>16</v>
      </c>
      <c r="L21" s="55">
        <v>0</v>
      </c>
      <c r="M21" s="55">
        <v>8</v>
      </c>
      <c r="N21" s="55">
        <v>0</v>
      </c>
      <c r="O21" s="32">
        <v>8</v>
      </c>
      <c r="P21" s="47">
        <v>6135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6" thickTop="1" thickBot="1" x14ac:dyDescent="0.35">
      <c r="A22" s="31">
        <v>17</v>
      </c>
      <c r="B22" s="32">
        <v>6329</v>
      </c>
      <c r="C22" s="32">
        <v>0</v>
      </c>
      <c r="D22" s="32">
        <v>1093</v>
      </c>
      <c r="E22" s="32">
        <v>109</v>
      </c>
      <c r="F22" s="32">
        <v>127</v>
      </c>
      <c r="G22" s="32">
        <v>293</v>
      </c>
      <c r="H22" s="32">
        <v>7951</v>
      </c>
      <c r="I22" s="32">
        <v>0</v>
      </c>
      <c r="J22" s="34"/>
      <c r="K22" s="31">
        <v>17</v>
      </c>
      <c r="L22" s="55">
        <v>0</v>
      </c>
      <c r="M22" s="55">
        <v>4</v>
      </c>
      <c r="N22" s="55">
        <v>1</v>
      </c>
      <c r="O22" s="32">
        <v>5</v>
      </c>
      <c r="P22" s="47">
        <v>6135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6" thickTop="1" thickBot="1" x14ac:dyDescent="0.35">
      <c r="A23" s="31">
        <v>18</v>
      </c>
      <c r="B23" s="32">
        <v>4327</v>
      </c>
      <c r="C23" s="32">
        <v>0</v>
      </c>
      <c r="D23" s="32">
        <v>1251</v>
      </c>
      <c r="E23" s="32">
        <v>158</v>
      </c>
      <c r="F23" s="32">
        <v>241</v>
      </c>
      <c r="G23" s="32">
        <v>321</v>
      </c>
      <c r="H23" s="32">
        <v>6298</v>
      </c>
      <c r="I23" s="32">
        <v>0</v>
      </c>
      <c r="J23" s="34"/>
      <c r="K23" s="31">
        <v>18</v>
      </c>
      <c r="L23" s="55">
        <v>1</v>
      </c>
      <c r="M23" s="55">
        <v>14</v>
      </c>
      <c r="N23" s="55">
        <v>1</v>
      </c>
      <c r="O23" s="32">
        <v>16</v>
      </c>
      <c r="P23" s="47">
        <v>6135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6" thickTop="1" thickBot="1" x14ac:dyDescent="0.35">
      <c r="A24" s="31">
        <v>19</v>
      </c>
      <c r="B24" s="32">
        <v>4585</v>
      </c>
      <c r="C24" s="32">
        <v>0</v>
      </c>
      <c r="D24" s="32">
        <v>1513</v>
      </c>
      <c r="E24" s="32">
        <v>180</v>
      </c>
      <c r="F24" s="32">
        <v>254</v>
      </c>
      <c r="G24" s="32">
        <v>419</v>
      </c>
      <c r="H24" s="32">
        <v>6951</v>
      </c>
      <c r="I24" s="32">
        <v>0</v>
      </c>
      <c r="J24" s="34"/>
      <c r="K24" s="31">
        <v>19</v>
      </c>
      <c r="L24" s="55">
        <v>1</v>
      </c>
      <c r="M24" s="55">
        <v>18</v>
      </c>
      <c r="N24" s="55">
        <v>3</v>
      </c>
      <c r="O24" s="32">
        <v>22</v>
      </c>
      <c r="P24" s="47">
        <v>6135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6" thickTop="1" thickBot="1" x14ac:dyDescent="0.35">
      <c r="A25" s="31">
        <v>20</v>
      </c>
      <c r="B25" s="32">
        <v>5332</v>
      </c>
      <c r="C25" s="32">
        <v>0</v>
      </c>
      <c r="D25" s="32">
        <v>1625</v>
      </c>
      <c r="E25" s="32">
        <v>218</v>
      </c>
      <c r="F25" s="32">
        <v>261</v>
      </c>
      <c r="G25" s="32">
        <v>429</v>
      </c>
      <c r="H25" s="32">
        <v>7865</v>
      </c>
      <c r="I25" s="32">
        <v>0</v>
      </c>
      <c r="J25" s="34"/>
      <c r="K25" s="31">
        <v>20</v>
      </c>
      <c r="L25" s="55">
        <v>4</v>
      </c>
      <c r="M25" s="55">
        <v>22</v>
      </c>
      <c r="N25" s="55">
        <v>2</v>
      </c>
      <c r="O25" s="32">
        <v>28</v>
      </c>
      <c r="P25" s="47">
        <v>6135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6" thickTop="1" thickBot="1" x14ac:dyDescent="0.35">
      <c r="A26" s="31">
        <v>21</v>
      </c>
      <c r="B26" s="32">
        <v>7030</v>
      </c>
      <c r="C26" s="32">
        <v>0</v>
      </c>
      <c r="D26" s="32">
        <v>1637</v>
      </c>
      <c r="E26" s="32">
        <v>206</v>
      </c>
      <c r="F26" s="32">
        <v>255</v>
      </c>
      <c r="G26" s="32">
        <v>390</v>
      </c>
      <c r="H26" s="32">
        <v>9518</v>
      </c>
      <c r="I26" s="32">
        <v>0</v>
      </c>
      <c r="J26" s="34"/>
      <c r="K26" s="31">
        <v>21</v>
      </c>
      <c r="L26" s="55">
        <v>7</v>
      </c>
      <c r="M26" s="55">
        <v>9</v>
      </c>
      <c r="N26" s="55">
        <v>3</v>
      </c>
      <c r="O26" s="32">
        <v>19</v>
      </c>
      <c r="P26" s="47">
        <v>6135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6" thickTop="1" thickBot="1" x14ac:dyDescent="0.35">
      <c r="A27" s="31">
        <v>22</v>
      </c>
      <c r="B27" s="32">
        <v>11878</v>
      </c>
      <c r="C27" s="32">
        <v>0</v>
      </c>
      <c r="D27" s="32">
        <v>1841</v>
      </c>
      <c r="E27" s="32">
        <v>102</v>
      </c>
      <c r="F27" s="32">
        <v>205</v>
      </c>
      <c r="G27" s="32">
        <v>311</v>
      </c>
      <c r="H27" s="32">
        <v>14337</v>
      </c>
      <c r="I27" s="32">
        <v>0</v>
      </c>
      <c r="J27" s="34"/>
      <c r="K27" s="31">
        <v>22</v>
      </c>
      <c r="L27" s="55">
        <v>4</v>
      </c>
      <c r="M27" s="55">
        <v>12</v>
      </c>
      <c r="N27" s="55">
        <v>1</v>
      </c>
      <c r="O27" s="32">
        <v>17</v>
      </c>
      <c r="P27" s="47">
        <v>6135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6" thickTop="1" thickBot="1" x14ac:dyDescent="0.35">
      <c r="A28" s="31">
        <v>23</v>
      </c>
      <c r="B28" s="32">
        <v>9831</v>
      </c>
      <c r="C28" s="32">
        <v>0</v>
      </c>
      <c r="D28" s="32">
        <v>1204</v>
      </c>
      <c r="E28" s="32">
        <v>56</v>
      </c>
      <c r="F28" s="32">
        <v>99</v>
      </c>
      <c r="G28" s="32">
        <v>125</v>
      </c>
      <c r="H28" s="32">
        <v>11315</v>
      </c>
      <c r="I28" s="32">
        <v>0</v>
      </c>
      <c r="J28" s="34"/>
      <c r="K28" s="31">
        <v>23</v>
      </c>
      <c r="L28" s="55">
        <v>0</v>
      </c>
      <c r="M28" s="55">
        <v>5</v>
      </c>
      <c r="N28" s="55">
        <v>1</v>
      </c>
      <c r="O28" s="32">
        <v>6</v>
      </c>
      <c r="P28" s="47">
        <v>6135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6" thickTop="1" thickBot="1" x14ac:dyDescent="0.35">
      <c r="A29" s="31">
        <v>24</v>
      </c>
      <c r="B29" s="32">
        <v>3915</v>
      </c>
      <c r="C29" s="32">
        <v>0</v>
      </c>
      <c r="D29" s="32">
        <v>789</v>
      </c>
      <c r="E29" s="32">
        <v>51</v>
      </c>
      <c r="F29" s="32">
        <v>106</v>
      </c>
      <c r="G29" s="32">
        <v>116</v>
      </c>
      <c r="H29" s="32">
        <v>4977</v>
      </c>
      <c r="I29" s="32">
        <v>0</v>
      </c>
      <c r="J29" s="34"/>
      <c r="K29" s="31">
        <v>24</v>
      </c>
      <c r="L29" s="55">
        <v>1</v>
      </c>
      <c r="M29" s="55">
        <v>4</v>
      </c>
      <c r="N29" s="55">
        <v>2</v>
      </c>
      <c r="O29" s="32">
        <v>7</v>
      </c>
      <c r="P29" s="47">
        <v>6135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6" thickTop="1" thickBot="1" x14ac:dyDescent="0.35">
      <c r="A30" s="31">
        <v>25</v>
      </c>
      <c r="B30" s="32">
        <v>10918</v>
      </c>
      <c r="C30" s="32">
        <v>0</v>
      </c>
      <c r="D30" s="32">
        <v>628</v>
      </c>
      <c r="E30" s="32">
        <v>50</v>
      </c>
      <c r="F30" s="32">
        <v>46</v>
      </c>
      <c r="G30" s="32">
        <v>95</v>
      </c>
      <c r="H30" s="32">
        <v>11737</v>
      </c>
      <c r="I30" s="32">
        <v>0</v>
      </c>
      <c r="J30" s="34"/>
      <c r="K30" s="31">
        <v>25</v>
      </c>
      <c r="L30" s="55">
        <v>0</v>
      </c>
      <c r="M30" s="55">
        <v>6</v>
      </c>
      <c r="N30" s="55">
        <v>1</v>
      </c>
      <c r="O30" s="32">
        <v>7</v>
      </c>
      <c r="P30" s="47">
        <v>6135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6" thickTop="1" thickBot="1" x14ac:dyDescent="0.35">
      <c r="A31" s="31">
        <v>26</v>
      </c>
      <c r="B31" s="32">
        <v>9171</v>
      </c>
      <c r="C31" s="32">
        <v>0</v>
      </c>
      <c r="D31" s="32">
        <v>1372</v>
      </c>
      <c r="E31" s="32">
        <v>163</v>
      </c>
      <c r="F31" s="32">
        <v>217</v>
      </c>
      <c r="G31" s="32">
        <v>352</v>
      </c>
      <c r="H31" s="32">
        <v>11275</v>
      </c>
      <c r="I31" s="32">
        <v>0</v>
      </c>
      <c r="J31" s="34"/>
      <c r="K31" s="31">
        <v>26</v>
      </c>
      <c r="L31" s="55">
        <v>3</v>
      </c>
      <c r="M31" s="55">
        <v>10</v>
      </c>
      <c r="N31" s="55">
        <v>1</v>
      </c>
      <c r="O31" s="32">
        <v>14</v>
      </c>
      <c r="P31" s="47">
        <v>6135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6" thickTop="1" thickBot="1" x14ac:dyDescent="0.35">
      <c r="A32" s="31">
        <v>27</v>
      </c>
      <c r="B32" s="32">
        <v>9634</v>
      </c>
      <c r="C32" s="32">
        <v>0</v>
      </c>
      <c r="D32" s="32">
        <v>1512</v>
      </c>
      <c r="E32" s="32">
        <v>144</v>
      </c>
      <c r="F32" s="32">
        <v>226</v>
      </c>
      <c r="G32" s="32">
        <v>323</v>
      </c>
      <c r="H32" s="32">
        <v>11839</v>
      </c>
      <c r="I32" s="32">
        <v>0</v>
      </c>
      <c r="J32" s="34"/>
      <c r="K32" s="31">
        <v>27</v>
      </c>
      <c r="L32" s="55">
        <v>6</v>
      </c>
      <c r="M32" s="55">
        <v>10</v>
      </c>
      <c r="N32" s="55">
        <v>2</v>
      </c>
      <c r="O32" s="32">
        <v>18</v>
      </c>
      <c r="P32" s="47">
        <v>6135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16" ht="15.6" thickTop="1" thickBot="1" x14ac:dyDescent="0.35">
      <c r="A33" s="31">
        <v>28</v>
      </c>
      <c r="B33" s="32">
        <v>12304</v>
      </c>
      <c r="C33" s="32">
        <v>0</v>
      </c>
      <c r="D33" s="32">
        <v>1713</v>
      </c>
      <c r="E33" s="32">
        <v>154</v>
      </c>
      <c r="F33" s="32">
        <v>230</v>
      </c>
      <c r="G33" s="32">
        <v>304</v>
      </c>
      <c r="H33" s="32">
        <v>14705</v>
      </c>
      <c r="I33" s="32">
        <v>0</v>
      </c>
      <c r="J33" s="34"/>
      <c r="K33" s="31">
        <v>28</v>
      </c>
      <c r="L33" s="55">
        <v>6</v>
      </c>
      <c r="M33" s="55">
        <v>8</v>
      </c>
      <c r="N33" s="55">
        <v>12</v>
      </c>
      <c r="O33" s="32">
        <v>26</v>
      </c>
      <c r="P33" s="47">
        <v>6135</v>
      </c>
    </row>
    <row r="34" spans="1:16" ht="15.6" thickTop="1" thickBot="1" x14ac:dyDescent="0.35">
      <c r="A34" s="31">
        <v>29</v>
      </c>
      <c r="B34" s="32">
        <v>20062</v>
      </c>
      <c r="C34" s="32">
        <v>0</v>
      </c>
      <c r="D34" s="32">
        <v>1638</v>
      </c>
      <c r="E34" s="32">
        <v>96</v>
      </c>
      <c r="F34" s="32">
        <v>185</v>
      </c>
      <c r="G34" s="32">
        <v>174</v>
      </c>
      <c r="H34" s="32">
        <v>22155</v>
      </c>
      <c r="I34" s="32">
        <v>0</v>
      </c>
      <c r="J34" s="34"/>
      <c r="K34" s="31">
        <v>29</v>
      </c>
      <c r="L34" s="32">
        <v>3</v>
      </c>
      <c r="M34" s="32">
        <v>8</v>
      </c>
      <c r="N34" s="32">
        <v>4</v>
      </c>
      <c r="O34" s="32">
        <v>15</v>
      </c>
      <c r="P34" s="47">
        <v>6135</v>
      </c>
    </row>
    <row r="35" spans="1:16" ht="15.6" thickTop="1" thickBot="1" x14ac:dyDescent="0.35">
      <c r="A35" s="31">
        <v>30</v>
      </c>
      <c r="B35" s="32">
        <v>16428</v>
      </c>
      <c r="C35" s="32">
        <v>0</v>
      </c>
      <c r="D35" s="32">
        <v>1114</v>
      </c>
      <c r="E35" s="32">
        <v>30</v>
      </c>
      <c r="F35" s="32">
        <v>102</v>
      </c>
      <c r="G35" s="32">
        <v>104</v>
      </c>
      <c r="H35" s="32">
        <v>17778</v>
      </c>
      <c r="I35" s="32">
        <v>0</v>
      </c>
      <c r="J35" s="34"/>
      <c r="K35" s="31">
        <v>30</v>
      </c>
      <c r="L35" s="32">
        <v>0</v>
      </c>
      <c r="M35" s="32">
        <v>2</v>
      </c>
      <c r="N35" s="32">
        <v>1</v>
      </c>
      <c r="O35" s="32">
        <v>3</v>
      </c>
      <c r="P35" s="47">
        <v>6135</v>
      </c>
    </row>
    <row r="36" spans="1:16" ht="15.6" thickTop="1" thickBot="1" x14ac:dyDescent="0.35">
      <c r="A36" s="31">
        <v>31</v>
      </c>
      <c r="B36" s="32">
        <v>6105</v>
      </c>
      <c r="C36" s="32">
        <v>0</v>
      </c>
      <c r="D36" s="32">
        <v>562</v>
      </c>
      <c r="E36" s="32">
        <v>34</v>
      </c>
      <c r="F36" s="32">
        <v>49</v>
      </c>
      <c r="G36" s="32">
        <v>64</v>
      </c>
      <c r="H36" s="32">
        <v>6814</v>
      </c>
      <c r="I36" s="32">
        <v>0</v>
      </c>
      <c r="J36" s="34"/>
      <c r="K36" s="31">
        <v>31</v>
      </c>
      <c r="L36" s="32">
        <v>2</v>
      </c>
      <c r="M36" s="32">
        <v>2</v>
      </c>
      <c r="N36" s="32">
        <v>0</v>
      </c>
      <c r="O36" s="32">
        <v>4</v>
      </c>
      <c r="P36" s="47">
        <v>6135</v>
      </c>
    </row>
    <row r="37" spans="1:16" ht="15" thickTop="1" x14ac:dyDescent="0.3">
      <c r="A37" s="56" t="s">
        <v>19</v>
      </c>
      <c r="B37" s="58">
        <v>222041</v>
      </c>
      <c r="C37" s="58">
        <v>0</v>
      </c>
      <c r="D37" s="58">
        <v>39982</v>
      </c>
      <c r="E37" s="58">
        <v>4331</v>
      </c>
      <c r="F37" s="58">
        <v>5743</v>
      </c>
      <c r="G37" s="58">
        <v>8821</v>
      </c>
      <c r="H37" s="58">
        <v>280918</v>
      </c>
      <c r="I37" s="58">
        <v>0</v>
      </c>
      <c r="J37" s="58"/>
      <c r="K37" s="58"/>
      <c r="L37" s="58">
        <v>72</v>
      </c>
      <c r="M37" s="58">
        <v>317</v>
      </c>
      <c r="N37" s="58">
        <v>85</v>
      </c>
      <c r="O37" s="58"/>
      <c r="P37" s="59"/>
    </row>
    <row r="38" spans="1:16" x14ac:dyDescent="0.3">
      <c r="A38" s="56" t="s">
        <v>19</v>
      </c>
      <c r="B38" s="98">
        <v>222041</v>
      </c>
      <c r="C38" s="98"/>
      <c r="D38" s="58">
        <v>39982</v>
      </c>
      <c r="E38" s="58">
        <v>4331</v>
      </c>
      <c r="F38" s="58">
        <v>5743</v>
      </c>
      <c r="G38" s="58">
        <v>8821</v>
      </c>
      <c r="H38" s="78">
        <v>280918</v>
      </c>
      <c r="I38" s="58">
        <v>0</v>
      </c>
      <c r="J38" s="61"/>
      <c r="K38" s="56"/>
      <c r="L38" s="62" t="s">
        <v>20</v>
      </c>
      <c r="M38" s="62" t="s">
        <v>21</v>
      </c>
      <c r="N38" s="77">
        <f>SUM(L37:N37)</f>
        <v>474</v>
      </c>
      <c r="O38" s="62" t="s">
        <v>21</v>
      </c>
      <c r="P38" s="59"/>
    </row>
    <row r="39" spans="1:16" x14ac:dyDescent="0.3">
      <c r="A39" s="63" t="s">
        <v>22</v>
      </c>
      <c r="B39" s="65"/>
      <c r="C39" s="65"/>
      <c r="D39" s="65"/>
      <c r="E39" s="65"/>
      <c r="F39" s="65"/>
      <c r="G39" s="65"/>
      <c r="H39" s="65"/>
      <c r="I39" s="59"/>
      <c r="J39" s="59"/>
      <c r="K39" s="59"/>
      <c r="L39" s="68"/>
      <c r="M39" s="59"/>
      <c r="N39" s="59"/>
      <c r="O39" s="59"/>
      <c r="P39" s="59"/>
    </row>
    <row r="40" spans="1:16" x14ac:dyDescent="0.3">
      <c r="A40" s="71"/>
      <c r="B40" s="72"/>
      <c r="C40" s="72"/>
      <c r="D40" s="72"/>
      <c r="E40" s="72"/>
      <c r="F40" s="72"/>
      <c r="G40" s="72"/>
      <c r="H40" s="72"/>
      <c r="I40" s="72"/>
      <c r="J40" s="68"/>
      <c r="K40" s="54"/>
      <c r="L40" s="53"/>
      <c r="M40" s="59"/>
      <c r="N40" s="59"/>
      <c r="O40" s="59"/>
      <c r="P40" s="59"/>
    </row>
    <row r="41" spans="1:16" x14ac:dyDescent="0.3">
      <c r="A41" s="64"/>
      <c r="B41" s="59"/>
      <c r="C41" s="59"/>
      <c r="D41" s="59"/>
      <c r="E41" s="59"/>
      <c r="F41" s="59"/>
      <c r="G41" s="59"/>
      <c r="H41" s="64"/>
      <c r="I41" s="59"/>
      <c r="J41" s="59"/>
      <c r="K41" s="54"/>
      <c r="L41" s="53"/>
      <c r="M41" s="59"/>
      <c r="N41" s="59"/>
      <c r="O41" s="59"/>
      <c r="P41" s="59"/>
    </row>
    <row r="42" spans="1:16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4"/>
      <c r="L42" s="53"/>
      <c r="M42" s="59"/>
      <c r="N42" s="59"/>
      <c r="O42" s="59"/>
      <c r="P42" s="59"/>
    </row>
    <row r="43" spans="1:16" x14ac:dyDescent="0.3">
      <c r="A43" s="59"/>
      <c r="B43" s="59"/>
      <c r="C43" s="59"/>
      <c r="D43" s="59"/>
      <c r="E43" s="59"/>
      <c r="F43" s="59"/>
      <c r="G43" s="59"/>
      <c r="H43" s="59"/>
      <c r="I43" s="64"/>
      <c r="J43" s="64"/>
      <c r="K43" s="59"/>
      <c r="L43" s="59"/>
      <c r="M43" s="59"/>
      <c r="N43" s="59"/>
      <c r="O43" s="59"/>
      <c r="P43" s="59"/>
    </row>
    <row r="45" spans="1:16" x14ac:dyDescent="0.3">
      <c r="A45" s="70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x14ac:dyDescent="0.3">
      <c r="A46" s="70"/>
      <c r="B46" s="64"/>
      <c r="C46" s="64"/>
      <c r="D46" s="64"/>
      <c r="E46" s="64"/>
      <c r="F46" s="64"/>
      <c r="G46" s="64"/>
      <c r="H46" s="64"/>
      <c r="I46" s="64"/>
      <c r="J46" s="64"/>
      <c r="K46" s="69"/>
      <c r="L46" s="64"/>
      <c r="M46" s="64"/>
      <c r="N46" s="64"/>
      <c r="O46" s="64"/>
      <c r="P46" s="59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2017</vt:lpstr>
      <vt:lpstr>FEBRERO 2017</vt:lpstr>
      <vt:lpstr>MARZO 2017</vt:lpstr>
      <vt:lpstr>ABRIL 2017</vt:lpstr>
      <vt:lpstr>MAYO 2017</vt:lpstr>
      <vt:lpstr>JUNIO 2017</vt:lpstr>
      <vt:lpstr>JULIO 2017</vt:lpstr>
      <vt:lpstr>AGOSTO 2017</vt:lpstr>
      <vt:lpstr>SEPTIEMBRE 2017</vt:lpstr>
      <vt:lpstr>OCTUBRE  2017</vt:lpstr>
      <vt:lpstr>NOVIEMBRE 2017</vt:lpstr>
      <vt:lpstr>DICIEMBRE 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2024-09-02T13:09:58Z</dcterms:created>
  <dcterms:modified xsi:type="dcterms:W3CDTF">2026-01-27T23:19:34Z</dcterms:modified>
</cp:coreProperties>
</file>