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F7F4D652-1471-4BFA-9758-4C8CF8AF3F18}" xr6:coauthVersionLast="47" xr6:coauthVersionMax="47" xr10:uidLastSave="{00000000-0000-0000-0000-000000000000}"/>
  <bookViews>
    <workbookView xWindow="-108" yWindow="-108" windowWidth="23256" windowHeight="12456" firstSheet="6" activeTab="11" xr2:uid="{14F0D620-AD7C-40F0-9901-402BF9043730}"/>
  </bookViews>
  <sheets>
    <sheet name="ENERO 2021" sheetId="1" r:id="rId1"/>
    <sheet name="FEBRERO 2021" sheetId="2" r:id="rId2"/>
    <sheet name="MARZO 2021" sheetId="3" r:id="rId3"/>
    <sheet name="ABRIL 2021" sheetId="4" r:id="rId4"/>
    <sheet name="MAYO 2021" sheetId="5" r:id="rId5"/>
    <sheet name="JUNIO 2021" sheetId="6" r:id="rId6"/>
    <sheet name="JULIO 2021" sheetId="7" r:id="rId7"/>
    <sheet name="AGOSTO 2021" sheetId="8" r:id="rId8"/>
    <sheet name="SEPTIEMBRE 2021" sheetId="9" r:id="rId9"/>
    <sheet name="OCTUBRE 2021" sheetId="10" r:id="rId10"/>
    <sheet name="NOVIEMBRE 2021" sheetId="11" r:id="rId11"/>
    <sheet name="DICIEMBRE 202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" l="1"/>
  <c r="M37" i="2"/>
  <c r="L37" i="2"/>
  <c r="I37" i="2"/>
  <c r="G37" i="2"/>
  <c r="G38" i="2" s="1"/>
  <c r="F37" i="2"/>
  <c r="F38" i="2" s="1"/>
  <c r="E37" i="2"/>
  <c r="E38" i="2" s="1"/>
  <c r="D37" i="2"/>
  <c r="D38" i="2" s="1"/>
  <c r="C37" i="2"/>
  <c r="B37" i="2"/>
  <c r="B38" i="2" s="1"/>
  <c r="H36" i="2"/>
  <c r="H35" i="2"/>
  <c r="H34" i="2"/>
  <c r="O33" i="2"/>
  <c r="H33" i="2"/>
  <c r="O32" i="2"/>
  <c r="H32" i="2"/>
  <c r="O31" i="2"/>
  <c r="H31" i="2"/>
  <c r="O30" i="2"/>
  <c r="H30" i="2"/>
  <c r="O29" i="2"/>
  <c r="H29" i="2"/>
  <c r="O28" i="2"/>
  <c r="H28" i="2"/>
  <c r="O27" i="2"/>
  <c r="H27" i="2"/>
  <c r="O26" i="2"/>
  <c r="H26" i="2"/>
  <c r="O25" i="2"/>
  <c r="H25" i="2"/>
  <c r="O24" i="2"/>
  <c r="H24" i="2"/>
  <c r="O23" i="2"/>
  <c r="H23" i="2"/>
  <c r="O22" i="2"/>
  <c r="H22" i="2"/>
  <c r="O21" i="2"/>
  <c r="H21" i="2"/>
  <c r="O20" i="2"/>
  <c r="H20" i="2"/>
  <c r="O19" i="2"/>
  <c r="H19" i="2"/>
  <c r="O18" i="2"/>
  <c r="H18" i="2"/>
  <c r="O17" i="2"/>
  <c r="H17" i="2"/>
  <c r="O16" i="2"/>
  <c r="H16" i="2"/>
  <c r="O15" i="2"/>
  <c r="H15" i="2"/>
  <c r="O14" i="2"/>
  <c r="H14" i="2"/>
  <c r="O13" i="2"/>
  <c r="H13" i="2"/>
  <c r="O12" i="2"/>
  <c r="H12" i="2"/>
  <c r="O11" i="2"/>
  <c r="H11" i="2"/>
  <c r="O10" i="2"/>
  <c r="H10" i="2"/>
  <c r="O9" i="2"/>
  <c r="H9" i="2"/>
  <c r="O8" i="2"/>
  <c r="H8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7" i="2"/>
  <c r="H7" i="2"/>
  <c r="O6" i="2"/>
  <c r="H6" i="2"/>
  <c r="H37" i="2"/>
  <c r="H38" i="2" s="1"/>
  <c r="O37" i="2" l="1"/>
  <c r="P37" i="2"/>
</calcChain>
</file>

<file path=xl/sharedStrings.xml><?xml version="1.0" encoding="utf-8"?>
<sst xmlns="http://schemas.openxmlformats.org/spreadsheetml/2006/main" count="313" uniqueCount="36">
  <si>
    <t>ENERO 2021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</si>
  <si>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</si>
  <si>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</si>
  <si>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</si>
  <si>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</si>
  <si>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</si>
  <si>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</si>
  <si>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</si>
  <si>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</si>
  <si>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</si>
  <si>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</si>
  <si>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</si>
  <si>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</si>
  <si>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</si>
  <si>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</si>
  <si>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</si>
  <si>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</si>
  <si>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</si>
  <si>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</si>
  <si>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</si>
  <si>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</si>
  <si>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</si>
  <si>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</si>
  <si>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</si>
  <si>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</si>
  <si>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</si>
  <si>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</si>
  <si>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</si>
  <si>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</si>
  <si>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</si>
  <si>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</si>
  <si>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</si>
  <si>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</si>
  <si>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</si>
  <si>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CONCESIÓN SABANA DE OCCIDENTE S.A.S.</t>
  </si>
  <si>
    <t>TRÁFICO POR CATEGORÍAS, ESTACIÓN DE PEAJE CAIQUERO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</si>
</sst>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(&quot;N$&quot;* #,##0.00_);_(&quot;N$&quot;* \(#,##0.00\);_(&quot;N$&quot;* &quot;-&quot;??_);_(@_)"/>
    <numFmt numFmtId="166" formatCode="_(* #,##0_);_(* \(#,##0\);_(* &quot;-&quot;??_);_(@_)"/>
    <numFmt numFmtId="167" formatCode="#,##0_ ;\-#,##0\ "/>
    <numFmt numFmtId="168" formatCode="_([$$-240A]\ * #,##0_);_([$$-240A]\ * \(#,##0\);_([$$-240A]\ * &quot;-&quot;??_);_(@_)"/>
    <numFmt numFmtId="169" formatCode="_ [$$-240A]\ * #,##0_ ;_ [$$-240A]\ * \-#,##0_ ;_ [$$-240A]\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7">
    <xf numFmtId="0" fontId="0" fillId="0" borderId="0"/>
    <xf numFmtId="43" fontId="1" fillId="0" borderId="0" applyFont="0" applyFill="0" applyBorder="0" applyAlignment="0" applyProtection="0"/>
    <xf numFmtId="168" fontId="2" fillId="0" borderId="0">
      <alignment vertical="top"/>
    </xf>
    <xf numFmtId="168" fontId="2" fillId="0" borderId="0"/>
    <xf numFmtId="168" fontId="2" fillId="0" borderId="0"/>
    <xf numFmtId="168" fontId="3" fillId="0" borderId="0">
      <alignment vertical="top"/>
    </xf>
    <xf numFmtId="168" fontId="4" fillId="0" borderId="0"/>
    <xf numFmtId="168" fontId="4" fillId="0" borderId="0"/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2" fillId="0" borderId="0"/>
    <xf numFmtId="168" fontId="4" fillId="2" borderId="0" applyNumberFormat="0" applyBorder="0" applyAlignment="0" applyProtection="0"/>
    <xf numFmtId="168" fontId="4" fillId="3" borderId="0" applyNumberFormat="0" applyBorder="0" applyAlignment="0" applyProtection="0"/>
    <xf numFmtId="168" fontId="4" fillId="4" borderId="0" applyNumberFormat="0" applyBorder="0" applyAlignment="0" applyProtection="0"/>
    <xf numFmtId="168" fontId="4" fillId="5" borderId="0" applyNumberFormat="0" applyBorder="0" applyAlignment="0" applyProtection="0"/>
    <xf numFmtId="168" fontId="4" fillId="6" borderId="0" applyNumberFormat="0" applyBorder="0" applyAlignment="0" applyProtection="0"/>
    <xf numFmtId="168" fontId="4" fillId="7" borderId="0" applyNumberFormat="0" applyBorder="0" applyAlignment="0" applyProtection="0"/>
    <xf numFmtId="168" fontId="4" fillId="8" borderId="0" applyNumberFormat="0" applyBorder="0" applyAlignment="0" applyProtection="0"/>
    <xf numFmtId="168" fontId="4" fillId="9" borderId="0" applyNumberFormat="0" applyBorder="0" applyAlignment="0" applyProtection="0"/>
    <xf numFmtId="168" fontId="4" fillId="10" borderId="0" applyNumberFormat="0" applyBorder="0" applyAlignment="0" applyProtection="0"/>
    <xf numFmtId="168" fontId="4" fillId="5" borderId="0" applyNumberFormat="0" applyBorder="0" applyAlignment="0" applyProtection="0"/>
    <xf numFmtId="168" fontId="4" fillId="8" borderId="0" applyNumberFormat="0" applyBorder="0" applyAlignment="0" applyProtection="0"/>
    <xf numFmtId="168" fontId="4" fillId="11" borderId="0" applyNumberFormat="0" applyBorder="0" applyAlignment="0" applyProtection="0"/>
    <xf numFmtId="168" fontId="5" fillId="12" borderId="0" applyNumberFormat="0" applyBorder="0" applyAlignment="0" applyProtection="0"/>
    <xf numFmtId="168" fontId="5" fillId="9" borderId="0" applyNumberFormat="0" applyBorder="0" applyAlignment="0" applyProtection="0"/>
    <xf numFmtId="168" fontId="5" fillId="10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15" borderId="0" applyNumberFormat="0" applyBorder="0" applyAlignment="0" applyProtection="0"/>
    <xf numFmtId="168" fontId="6" fillId="4" borderId="0" applyNumberFormat="0" applyBorder="0" applyAlignment="0" applyProtection="0"/>
    <xf numFmtId="168" fontId="7" fillId="7" borderId="1" applyNumberFormat="0" applyAlignment="0" applyProtection="0"/>
    <xf numFmtId="168" fontId="8" fillId="16" borderId="2" applyNumberFormat="0" applyAlignment="0" applyProtection="0"/>
    <xf numFmtId="168" fontId="9" fillId="0" borderId="3" applyNumberFormat="0" applyFill="0" applyAlignment="0" applyProtection="0"/>
    <xf numFmtId="168" fontId="10" fillId="0" borderId="0" applyNumberFormat="0" applyFill="0" applyBorder="0" applyAlignment="0" applyProtection="0"/>
    <xf numFmtId="168" fontId="5" fillId="17" borderId="0" applyNumberFormat="0" applyBorder="0" applyAlignment="0" applyProtection="0"/>
    <xf numFmtId="168" fontId="5" fillId="18" borderId="0" applyNumberFormat="0" applyBorder="0" applyAlignment="0" applyProtection="0"/>
    <xf numFmtId="168" fontId="5" fillId="19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20" borderId="0" applyNumberFormat="0" applyBorder="0" applyAlignment="0" applyProtection="0"/>
    <xf numFmtId="168" fontId="11" fillId="7" borderId="1" applyNumberFormat="0" applyAlignment="0" applyProtection="0"/>
    <xf numFmtId="168" fontId="2" fillId="0" borderId="0" applyFont="0" applyFill="0" applyBorder="0" applyAlignment="0" applyProtection="0"/>
    <xf numFmtId="168" fontId="12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3" fillId="21" borderId="0" applyNumberFormat="0" applyBorder="0" applyAlignment="0" applyProtection="0"/>
    <xf numFmtId="168" fontId="4" fillId="22" borderId="4" applyNumberFormat="0" applyFont="0" applyAlignment="0" applyProtection="0"/>
    <xf numFmtId="9" fontId="2" fillId="0" borderId="0" applyFont="0" applyFill="0" applyBorder="0" applyAlignment="0" applyProtection="0"/>
    <xf numFmtId="168" fontId="14" fillId="7" borderId="5" applyNumberFormat="0" applyAlignment="0" applyProtection="0"/>
    <xf numFmtId="168" fontId="15" fillId="0" borderId="0" applyNumberFormat="0" applyFill="0" applyBorder="0" applyAlignment="0" applyProtection="0"/>
    <xf numFmtId="168" fontId="16" fillId="0" borderId="0" applyNumberFormat="0" applyFill="0" applyBorder="0" applyAlignment="0" applyProtection="0"/>
    <xf numFmtId="168" fontId="17" fillId="0" borderId="0" applyNumberFormat="0" applyFill="0" applyBorder="0" applyAlignment="0" applyProtection="0"/>
    <xf numFmtId="168" fontId="18" fillId="0" borderId="6" applyNumberFormat="0" applyFill="0" applyAlignment="0" applyProtection="0"/>
    <xf numFmtId="168" fontId="19" fillId="0" borderId="7" applyNumberFormat="0" applyFill="0" applyAlignment="0" applyProtection="0"/>
    <xf numFmtId="168" fontId="10" fillId="0" borderId="8" applyNumberFormat="0" applyFill="0" applyAlignment="0" applyProtection="0"/>
    <xf numFmtId="168" fontId="20" fillId="0" borderId="9" applyNumberFormat="0" applyFill="0" applyAlignment="0" applyProtection="0"/>
    <xf numFmtId="169" fontId="2" fillId="0" borderId="0">
      <alignment vertical="top"/>
    </xf>
    <xf numFmtId="169" fontId="2" fillId="0" borderId="0"/>
    <xf numFmtId="169" fontId="2" fillId="0" borderId="0"/>
    <xf numFmtId="169" fontId="3" fillId="0" borderId="0">
      <alignment vertical="top"/>
    </xf>
    <xf numFmtId="169" fontId="4" fillId="0" borderId="0"/>
    <xf numFmtId="169" fontId="4" fillId="0" borderId="0"/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2" fillId="0" borderId="0"/>
    <xf numFmtId="169" fontId="4" fillId="2" borderId="0" applyNumberFormat="0" applyBorder="0" applyAlignment="0" applyProtection="0"/>
    <xf numFmtId="169" fontId="4" fillId="3" borderId="0" applyNumberFormat="0" applyBorder="0" applyAlignment="0" applyProtection="0"/>
    <xf numFmtId="169" fontId="4" fillId="4" borderId="0" applyNumberFormat="0" applyBorder="0" applyAlignment="0" applyProtection="0"/>
    <xf numFmtId="169" fontId="4" fillId="5" borderId="0" applyNumberFormat="0" applyBorder="0" applyAlignment="0" applyProtection="0"/>
    <xf numFmtId="169" fontId="4" fillId="6" borderId="0" applyNumberFormat="0" applyBorder="0" applyAlignment="0" applyProtection="0"/>
    <xf numFmtId="169" fontId="4" fillId="7" borderId="0" applyNumberFormat="0" applyBorder="0" applyAlignment="0" applyProtection="0"/>
    <xf numFmtId="169" fontId="4" fillId="8" borderId="0" applyNumberFormat="0" applyBorder="0" applyAlignment="0" applyProtection="0"/>
    <xf numFmtId="169" fontId="4" fillId="9" borderId="0" applyNumberFormat="0" applyBorder="0" applyAlignment="0" applyProtection="0"/>
    <xf numFmtId="169" fontId="4" fillId="10" borderId="0" applyNumberFormat="0" applyBorder="0" applyAlignment="0" applyProtection="0"/>
    <xf numFmtId="169" fontId="4" fillId="5" borderId="0" applyNumberFormat="0" applyBorder="0" applyAlignment="0" applyProtection="0"/>
    <xf numFmtId="169" fontId="4" fillId="8" borderId="0" applyNumberFormat="0" applyBorder="0" applyAlignment="0" applyProtection="0"/>
    <xf numFmtId="169" fontId="4" fillId="11" borderId="0" applyNumberFormat="0" applyBorder="0" applyAlignment="0" applyProtection="0"/>
    <xf numFmtId="169" fontId="5" fillId="12" borderId="0" applyNumberFormat="0" applyBorder="0" applyAlignment="0" applyProtection="0"/>
    <xf numFmtId="169" fontId="5" fillId="9" borderId="0" applyNumberFormat="0" applyBorder="0" applyAlignment="0" applyProtection="0"/>
    <xf numFmtId="169" fontId="5" fillId="10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15" borderId="0" applyNumberFormat="0" applyBorder="0" applyAlignment="0" applyProtection="0"/>
    <xf numFmtId="169" fontId="6" fillId="4" borderId="0" applyNumberFormat="0" applyBorder="0" applyAlignment="0" applyProtection="0"/>
    <xf numFmtId="169" fontId="7" fillId="7" borderId="1" applyNumberFormat="0" applyAlignment="0" applyProtection="0"/>
    <xf numFmtId="169" fontId="8" fillId="16" borderId="2" applyNumberFormat="0" applyAlignment="0" applyProtection="0"/>
    <xf numFmtId="169" fontId="9" fillId="0" borderId="3" applyNumberFormat="0" applyFill="0" applyAlignment="0" applyProtection="0"/>
    <xf numFmtId="169" fontId="10" fillId="0" borderId="0" applyNumberFormat="0" applyFill="0" applyBorder="0" applyAlignment="0" applyProtection="0"/>
    <xf numFmtId="169" fontId="5" fillId="17" borderId="0" applyNumberFormat="0" applyBorder="0" applyAlignment="0" applyProtection="0"/>
    <xf numFmtId="169" fontId="5" fillId="18" borderId="0" applyNumberFormat="0" applyBorder="0" applyAlignment="0" applyProtection="0"/>
    <xf numFmtId="169" fontId="5" fillId="19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20" borderId="0" applyNumberFormat="0" applyBorder="0" applyAlignment="0" applyProtection="0"/>
    <xf numFmtId="169" fontId="11" fillId="7" borderId="1" applyNumberFormat="0" applyAlignment="0" applyProtection="0"/>
    <xf numFmtId="169" fontId="2" fillId="0" borderId="0" applyFont="0" applyFill="0" applyBorder="0" applyAlignment="0" applyProtection="0"/>
    <xf numFmtId="169" fontId="12" fillId="3" borderId="0" applyNumberFormat="0" applyBorder="0" applyAlignment="0" applyProtection="0"/>
    <xf numFmtId="43" fontId="2" fillId="0" borderId="0" applyFont="0" applyFill="0" applyBorder="0" applyAlignment="0" applyProtection="0"/>
    <xf numFmtId="169" fontId="13" fillId="21" borderId="0" applyNumberFormat="0" applyBorder="0" applyAlignment="0" applyProtection="0"/>
    <xf numFmtId="169" fontId="4" fillId="22" borderId="4" applyNumberFormat="0" applyFont="0" applyAlignment="0" applyProtection="0"/>
    <xf numFmtId="169" fontId="14" fillId="7" borderId="5" applyNumberFormat="0" applyAlignment="0" applyProtection="0"/>
    <xf numFmtId="169" fontId="15" fillId="0" borderId="0" applyNumberFormat="0" applyFill="0" applyBorder="0" applyAlignment="0" applyProtection="0"/>
    <xf numFmtId="169" fontId="16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69" fontId="18" fillId="0" borderId="6" applyNumberFormat="0" applyFill="0" applyAlignment="0" applyProtection="0"/>
    <xf numFmtId="169" fontId="19" fillId="0" borderId="7" applyNumberFormat="0" applyFill="0" applyAlignment="0" applyProtection="0"/>
    <xf numFmtId="169" fontId="10" fillId="0" borderId="8" applyNumberFormat="0" applyFill="0" applyAlignment="0" applyProtection="0"/>
    <xf numFmtId="169" fontId="20" fillId="0" borderId="9" applyNumberFormat="0" applyFill="0" applyAlignment="0" applyProtection="0"/>
    <xf numFmtId="0" fontId="1" fillId="0" borderId="0"/>
    <xf numFmtId="168" fontId="2" fillId="0" borderId="0">
      <alignment vertical="top"/>
    </xf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5">
    <xf numFmtId="0" fontId="0" fillId="0" borderId="0" xfId="0"/>
    <xf numFmtId="168" fontId="2" fillId="0" borderId="0" xfId="2" applyAlignment="1"/>
    <xf numFmtId="168" fontId="22" fillId="0" borderId="0" xfId="2" applyFont="1" applyAlignment="1">
      <alignment horizontal="center" vertical="center" wrapText="1"/>
    </xf>
    <xf numFmtId="37" fontId="22" fillId="0" borderId="10" xfId="45" applyNumberFormat="1" applyFont="1" applyFill="1" applyBorder="1" applyAlignment="1" applyProtection="1">
      <alignment horizontal="center" vertical="center"/>
    </xf>
    <xf numFmtId="37" fontId="23" fillId="0" borderId="10" xfId="45" applyNumberFormat="1" applyFont="1" applyFill="1" applyBorder="1" applyAlignment="1" applyProtection="1">
      <alignment horizontal="center" vertical="center"/>
    </xf>
    <xf numFmtId="37" fontId="23" fillId="0" borderId="0" xfId="45" applyNumberFormat="1" applyFont="1" applyFill="1" applyBorder="1" applyAlignment="1" applyProtection="1">
      <alignment horizontal="center" vertical="center" wrapText="1"/>
    </xf>
    <xf numFmtId="37" fontId="23" fillId="0" borderId="0" xfId="45" applyNumberFormat="1" applyFont="1" applyFill="1" applyBorder="1" applyAlignment="1" applyProtection="1">
      <alignment horizontal="center" vertical="center"/>
    </xf>
    <xf numFmtId="168" fontId="23" fillId="0" borderId="0" xfId="2" applyFont="1" applyAlignment="1">
      <alignment horizontal="center" vertical="center"/>
    </xf>
    <xf numFmtId="168" fontId="22" fillId="0" borderId="0" xfId="2" applyFont="1" applyAlignment="1">
      <alignment horizontal="center" vertical="center"/>
    </xf>
    <xf numFmtId="168" fontId="22" fillId="0" borderId="0" xfId="2" applyFont="1" applyAlignment="1">
      <alignment horizontal="left" vertical="center"/>
    </xf>
    <xf numFmtId="168" fontId="22" fillId="0" borderId="10" xfId="2" applyFont="1" applyBorder="1" applyAlignment="1">
      <alignment horizontal="center" vertical="center" wrapText="1"/>
    </xf>
    <xf numFmtId="168" fontId="22" fillId="0" borderId="10" xfId="2" applyFont="1" applyBorder="1" applyAlignment="1">
      <alignment horizontal="center" vertical="center"/>
    </xf>
    <xf numFmtId="3" fontId="22" fillId="0" borderId="10" xfId="2" applyNumberFormat="1" applyFont="1" applyBorder="1" applyAlignment="1">
      <alignment horizontal="center" vertical="center"/>
    </xf>
    <xf numFmtId="3" fontId="23" fillId="0" borderId="0" xfId="2" applyNumberFormat="1" applyFont="1" applyAlignment="1"/>
    <xf numFmtId="168" fontId="22" fillId="0" borderId="0" xfId="2" applyFont="1" applyAlignment="1">
      <alignment horizontal="center"/>
    </xf>
    <xf numFmtId="168" fontId="24" fillId="0" borderId="0" xfId="2" applyFont="1" applyAlignment="1"/>
    <xf numFmtId="168" fontId="23" fillId="23" borderId="0" xfId="2" applyFont="1" applyFill="1" applyAlignment="1"/>
    <xf numFmtId="3" fontId="23" fillId="0" borderId="0" xfId="2" applyNumberFormat="1" applyFont="1" applyAlignment="1">
      <alignment horizontal="right"/>
    </xf>
    <xf numFmtId="3" fontId="22" fillId="0" borderId="0" xfId="2" applyNumberFormat="1" applyFont="1" applyAlignment="1"/>
    <xf numFmtId="166" fontId="23" fillId="0" borderId="12" xfId="45" applyNumberFormat="1" applyFont="1" applyFill="1" applyBorder="1" applyAlignment="1" applyProtection="1"/>
    <xf numFmtId="166" fontId="23" fillId="23" borderId="12" xfId="45" applyNumberFormat="1" applyFont="1" applyFill="1" applyBorder="1" applyAlignment="1" applyProtection="1"/>
    <xf numFmtId="168" fontId="23" fillId="0" borderId="0" xfId="46" applyNumberFormat="1" applyFont="1" applyFill="1" applyProtection="1"/>
    <xf numFmtId="17" fontId="23" fillId="0" borderId="0" xfId="2" applyNumberFormat="1" applyFont="1" applyAlignment="1"/>
    <xf numFmtId="168" fontId="22" fillId="0" borderId="0" xfId="2" applyFont="1" applyAlignment="1">
      <alignment horizontal="left"/>
    </xf>
    <xf numFmtId="168" fontId="23" fillId="0" borderId="0" xfId="2" applyFont="1" applyAlignment="1">
      <alignment horizontal="right"/>
    </xf>
    <xf numFmtId="10" fontId="23" fillId="0" borderId="0" xfId="50" applyNumberFormat="1" applyFont="1" applyAlignment="1" applyProtection="1">
      <alignment horizontal="right"/>
    </xf>
    <xf numFmtId="10" fontId="22" fillId="0" borderId="0" xfId="50" applyNumberFormat="1" applyFont="1" applyAlignment="1" applyProtection="1">
      <alignment horizontal="right"/>
    </xf>
    <xf numFmtId="167" fontId="23" fillId="0" borderId="10" xfId="45" applyNumberFormat="1" applyFont="1" applyFill="1" applyBorder="1" applyAlignment="1" applyProtection="1">
      <alignment horizontal="center" vertical="center"/>
    </xf>
    <xf numFmtId="37" fontId="23" fillId="23" borderId="10" xfId="45" applyNumberFormat="1" applyFont="1" applyFill="1" applyBorder="1" applyAlignment="1" applyProtection="1">
      <alignment horizontal="center" vertical="center"/>
    </xf>
    <xf numFmtId="0" fontId="24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3" fillId="0" borderId="0" xfId="0" applyFont="1"/>
    <xf numFmtId="37" fontId="22" fillId="0" borderId="10" xfId="1" applyNumberFormat="1" applyFont="1" applyFill="1" applyBorder="1" applyAlignment="1" applyProtection="1">
      <alignment horizontal="center" vertical="center"/>
    </xf>
    <xf numFmtId="37" fontId="23" fillId="0" borderId="10" xfId="1" applyNumberFormat="1" applyFont="1" applyFill="1" applyBorder="1" applyAlignment="1" applyProtection="1">
      <alignment horizontal="center" vertical="center"/>
    </xf>
    <xf numFmtId="37" fontId="23" fillId="0" borderId="0" xfId="1" applyNumberFormat="1" applyFont="1" applyFill="1" applyBorder="1" applyAlignment="1" applyProtection="1">
      <alignment horizontal="center" vertical="center" wrapText="1"/>
    </xf>
    <xf numFmtId="166" fontId="23" fillId="0" borderId="12" xfId="1" applyNumberFormat="1" applyFont="1" applyFill="1" applyBorder="1" applyAlignment="1" applyProtection="1"/>
    <xf numFmtId="3" fontId="23" fillId="0" borderId="0" xfId="0" applyNumberFormat="1" applyFont="1"/>
    <xf numFmtId="37" fontId="23" fillId="0" borderId="0" xfId="1" applyNumberFormat="1" applyFont="1" applyFill="1" applyBorder="1" applyAlignment="1" applyProtection="1">
      <alignment horizontal="center" vertical="center"/>
    </xf>
    <xf numFmtId="166" fontId="23" fillId="23" borderId="12" xfId="1" applyNumberFormat="1" applyFont="1" applyFill="1" applyBorder="1" applyAlignment="1" applyProtection="1"/>
    <xf numFmtId="0" fontId="23" fillId="23" borderId="0" xfId="0" applyFont="1" applyFill="1"/>
    <xf numFmtId="37" fontId="23" fillId="23" borderId="10" xfId="1" applyNumberFormat="1" applyFont="1" applyFill="1" applyBorder="1" applyAlignment="1" applyProtection="1">
      <alignment horizontal="center" vertical="center"/>
    </xf>
    <xf numFmtId="167" fontId="23" fillId="0" borderId="10" xfId="1" applyNumberFormat="1" applyFont="1" applyFill="1" applyBorder="1" applyAlignment="1" applyProtection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/>
    <xf numFmtId="3" fontId="23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7" fontId="23" fillId="0" borderId="0" xfId="0" applyNumberFormat="1" applyFont="1"/>
    <xf numFmtId="3" fontId="22" fillId="0" borderId="0" xfId="0" applyNumberFormat="1" applyFont="1"/>
    <xf numFmtId="168" fontId="22" fillId="0" borderId="10" xfId="114" applyFont="1" applyBorder="1" applyAlignment="1">
      <alignment horizontal="center" vertical="center"/>
    </xf>
    <xf numFmtId="168" fontId="22" fillId="0" borderId="10" xfId="114" applyFont="1" applyBorder="1" applyAlignment="1">
      <alignment horizontal="center" vertical="center" wrapText="1"/>
    </xf>
    <xf numFmtId="3" fontId="22" fillId="0" borderId="10" xfId="114" applyNumberFormat="1" applyFont="1" applyBorder="1" applyAlignment="1">
      <alignment horizontal="center" vertical="center"/>
    </xf>
    <xf numFmtId="168" fontId="2" fillId="0" borderId="0" xfId="114" applyAlignment="1"/>
    <xf numFmtId="168" fontId="22" fillId="0" borderId="0" xfId="114" applyFont="1" applyAlignment="1">
      <alignment horizontal="center" vertical="center" wrapText="1"/>
    </xf>
    <xf numFmtId="37" fontId="22" fillId="0" borderId="10" xfId="136" applyNumberFormat="1" applyFont="1" applyFill="1" applyBorder="1" applyAlignment="1" applyProtection="1">
      <alignment horizontal="center" vertical="center"/>
    </xf>
    <xf numFmtId="37" fontId="23" fillId="0" borderId="10" xfId="136" applyNumberFormat="1" applyFont="1" applyFill="1" applyBorder="1" applyAlignment="1" applyProtection="1">
      <alignment horizontal="center" vertical="center"/>
    </xf>
    <xf numFmtId="37" fontId="23" fillId="0" borderId="0" xfId="136" applyNumberFormat="1" applyFont="1" applyFill="1" applyBorder="1" applyAlignment="1" applyProtection="1">
      <alignment horizontal="center" vertical="center" wrapText="1"/>
    </xf>
    <xf numFmtId="37" fontId="23" fillId="0" borderId="0" xfId="136" applyNumberFormat="1" applyFont="1" applyFill="1" applyBorder="1" applyAlignment="1" applyProtection="1">
      <alignment horizontal="center" vertical="center"/>
    </xf>
    <xf numFmtId="168" fontId="23" fillId="0" borderId="0" xfId="114" applyFont="1" applyAlignment="1">
      <alignment horizontal="center" vertical="center"/>
    </xf>
    <xf numFmtId="168" fontId="22" fillId="0" borderId="0" xfId="114" applyFont="1" applyAlignment="1">
      <alignment horizontal="center" vertical="center"/>
    </xf>
    <xf numFmtId="168" fontId="22" fillId="0" borderId="0" xfId="114" applyFont="1" applyAlignment="1">
      <alignment horizontal="left" vertical="center"/>
    </xf>
    <xf numFmtId="3" fontId="23" fillId="0" borderId="0" xfId="114" applyNumberFormat="1" applyFont="1" applyAlignment="1"/>
    <xf numFmtId="168" fontId="22" fillId="0" borderId="0" xfId="114" applyFont="1" applyAlignment="1">
      <alignment horizontal="center"/>
    </xf>
    <xf numFmtId="168" fontId="24" fillId="0" borderId="0" xfId="114" applyFont="1" applyAlignment="1"/>
    <xf numFmtId="168" fontId="23" fillId="23" borderId="0" xfId="114" applyFont="1" applyFill="1" applyAlignment="1"/>
    <xf numFmtId="3" fontId="23" fillId="0" borderId="0" xfId="114" applyNumberFormat="1" applyFont="1" applyAlignment="1">
      <alignment horizontal="right"/>
    </xf>
    <xf numFmtId="3" fontId="22" fillId="0" borderId="0" xfId="114" applyNumberFormat="1" applyFont="1" applyAlignment="1"/>
    <xf numFmtId="166" fontId="23" fillId="0" borderId="12" xfId="136" applyNumberFormat="1" applyFont="1" applyFill="1" applyBorder="1" applyAlignment="1" applyProtection="1"/>
    <xf numFmtId="166" fontId="23" fillId="23" borderId="12" xfId="136" applyNumberFormat="1" applyFont="1" applyFill="1" applyBorder="1" applyAlignment="1" applyProtection="1"/>
    <xf numFmtId="17" fontId="23" fillId="0" borderId="0" xfId="114" applyNumberFormat="1" applyFont="1" applyAlignment="1"/>
    <xf numFmtId="168" fontId="22" fillId="0" borderId="0" xfId="114" applyFont="1" applyAlignment="1">
      <alignment horizontal="left"/>
    </xf>
    <xf numFmtId="168" fontId="23" fillId="0" borderId="0" xfId="114" applyFont="1" applyAlignment="1">
      <alignment horizontal="right"/>
    </xf>
    <xf numFmtId="167" fontId="23" fillId="0" borderId="10" xfId="136" applyNumberFormat="1" applyFont="1" applyFill="1" applyBorder="1" applyAlignment="1" applyProtection="1">
      <alignment horizontal="center" vertical="center"/>
    </xf>
    <xf numFmtId="37" fontId="23" fillId="23" borderId="10" xfId="136" applyNumberFormat="1" applyFont="1" applyFill="1" applyBorder="1" applyAlignment="1" applyProtection="1">
      <alignment horizontal="center" vertical="center"/>
    </xf>
    <xf numFmtId="37" fontId="22" fillId="0" borderId="10" xfId="143" applyNumberFormat="1" applyFont="1" applyFill="1" applyBorder="1" applyAlignment="1" applyProtection="1">
      <alignment horizontal="center" vertical="center"/>
    </xf>
    <xf numFmtId="37" fontId="23" fillId="0" borderId="10" xfId="143" applyNumberFormat="1" applyFont="1" applyFill="1" applyBorder="1" applyAlignment="1" applyProtection="1">
      <alignment horizontal="center" vertical="center"/>
    </xf>
    <xf numFmtId="37" fontId="23" fillId="0" borderId="0" xfId="143" applyNumberFormat="1" applyFont="1" applyFill="1" applyBorder="1" applyAlignment="1" applyProtection="1">
      <alignment horizontal="center" vertical="center" wrapText="1"/>
    </xf>
    <xf numFmtId="37" fontId="23" fillId="0" borderId="0" xfId="143" applyNumberFormat="1" applyFont="1" applyFill="1" applyBorder="1" applyAlignment="1" applyProtection="1">
      <alignment horizontal="center" vertical="center"/>
    </xf>
    <xf numFmtId="166" fontId="23" fillId="0" borderId="12" xfId="143" applyNumberFormat="1" applyFont="1" applyFill="1" applyBorder="1" applyAlignment="1" applyProtection="1"/>
    <xf numFmtId="166" fontId="23" fillId="23" borderId="12" xfId="143" applyNumberFormat="1" applyFont="1" applyFill="1" applyBorder="1" applyAlignment="1" applyProtection="1"/>
    <xf numFmtId="167" fontId="23" fillId="0" borderId="10" xfId="143" applyNumberFormat="1" applyFont="1" applyFill="1" applyBorder="1" applyAlignment="1" applyProtection="1">
      <alignment horizontal="center" vertical="center"/>
    </xf>
    <xf numFmtId="37" fontId="23" fillId="23" borderId="10" xfId="143" applyNumberFormat="1" applyFont="1" applyFill="1" applyBorder="1" applyAlignment="1" applyProtection="1">
      <alignment horizontal="center" vertical="center"/>
    </xf>
    <xf numFmtId="37" fontId="22" fillId="0" borderId="10" xfId="139" applyNumberFormat="1" applyFont="1" applyFill="1" applyBorder="1" applyAlignment="1" applyProtection="1">
      <alignment horizontal="center" vertical="center"/>
    </xf>
    <xf numFmtId="37" fontId="23" fillId="0" borderId="10" xfId="139" applyNumberFormat="1" applyFont="1" applyFill="1" applyBorder="1" applyAlignment="1" applyProtection="1">
      <alignment horizontal="center" vertical="center"/>
    </xf>
    <xf numFmtId="37" fontId="23" fillId="0" borderId="0" xfId="139" applyNumberFormat="1" applyFont="1" applyFill="1" applyBorder="1" applyAlignment="1" applyProtection="1">
      <alignment horizontal="center" vertical="center" wrapText="1"/>
    </xf>
    <xf numFmtId="37" fontId="23" fillId="0" borderId="0" xfId="139" applyNumberFormat="1" applyFont="1" applyFill="1" applyBorder="1" applyAlignment="1" applyProtection="1">
      <alignment horizontal="center" vertical="center"/>
    </xf>
    <xf numFmtId="166" fontId="23" fillId="0" borderId="12" xfId="139" applyNumberFormat="1" applyFont="1" applyFill="1" applyBorder="1" applyAlignment="1" applyProtection="1"/>
    <xf numFmtId="166" fontId="23" fillId="23" borderId="12" xfId="139" applyNumberFormat="1" applyFont="1" applyFill="1" applyBorder="1" applyAlignment="1" applyProtection="1"/>
    <xf numFmtId="167" fontId="23" fillId="0" borderId="10" xfId="139" applyNumberFormat="1" applyFont="1" applyFill="1" applyBorder="1" applyAlignment="1" applyProtection="1">
      <alignment horizontal="center" vertical="center"/>
    </xf>
    <xf numFmtId="37" fontId="23" fillId="23" borderId="10" xfId="139" applyNumberFormat="1" applyFont="1" applyFill="1" applyBorder="1" applyAlignment="1" applyProtection="1">
      <alignment horizontal="center" vertical="center"/>
    </xf>
    <xf numFmtId="37" fontId="22" fillId="0" borderId="10" xfId="137" applyNumberFormat="1" applyFont="1" applyFill="1" applyBorder="1" applyAlignment="1" applyProtection="1">
      <alignment horizontal="center" vertical="center"/>
    </xf>
    <xf numFmtId="37" fontId="23" fillId="0" borderId="10" xfId="137" applyNumberFormat="1" applyFont="1" applyFill="1" applyBorder="1" applyAlignment="1" applyProtection="1">
      <alignment horizontal="center" vertical="center"/>
    </xf>
    <xf numFmtId="37" fontId="23" fillId="0" borderId="0" xfId="137" applyNumberFormat="1" applyFont="1" applyFill="1" applyBorder="1" applyAlignment="1" applyProtection="1">
      <alignment horizontal="center" vertical="center" wrapText="1"/>
    </xf>
    <xf numFmtId="37" fontId="23" fillId="0" borderId="0" xfId="137" applyNumberFormat="1" applyFont="1" applyFill="1" applyBorder="1" applyAlignment="1" applyProtection="1">
      <alignment horizontal="center" vertical="center"/>
    </xf>
    <xf numFmtId="166" fontId="23" fillId="0" borderId="12" xfId="137" applyNumberFormat="1" applyFont="1" applyFill="1" applyBorder="1" applyAlignment="1" applyProtection="1"/>
    <xf numFmtId="166" fontId="23" fillId="23" borderId="12" xfId="137" applyNumberFormat="1" applyFont="1" applyFill="1" applyBorder="1" applyAlignment="1" applyProtection="1"/>
    <xf numFmtId="167" fontId="23" fillId="0" borderId="10" xfId="137" applyNumberFormat="1" applyFont="1" applyFill="1" applyBorder="1" applyAlignment="1" applyProtection="1">
      <alignment horizontal="center" vertical="center"/>
    </xf>
    <xf numFmtId="37" fontId="23" fillId="23" borderId="10" xfId="137" applyNumberFormat="1" applyFont="1" applyFill="1" applyBorder="1" applyAlignment="1" applyProtection="1">
      <alignment horizontal="center" vertical="center"/>
    </xf>
    <xf numFmtId="37" fontId="22" fillId="0" borderId="10" xfId="142" applyNumberFormat="1" applyFont="1" applyFill="1" applyBorder="1" applyAlignment="1" applyProtection="1">
      <alignment horizontal="center" vertical="center"/>
    </xf>
    <xf numFmtId="37" fontId="23" fillId="0" borderId="10" xfId="142" applyNumberFormat="1" applyFont="1" applyFill="1" applyBorder="1" applyAlignment="1" applyProtection="1">
      <alignment horizontal="center" vertical="center"/>
    </xf>
    <xf numFmtId="37" fontId="23" fillId="0" borderId="0" xfId="142" applyNumberFormat="1" applyFont="1" applyFill="1" applyBorder="1" applyAlignment="1" applyProtection="1">
      <alignment horizontal="center" vertical="center" wrapText="1"/>
    </xf>
    <xf numFmtId="37" fontId="23" fillId="0" borderId="0" xfId="142" applyNumberFormat="1" applyFont="1" applyFill="1" applyBorder="1" applyAlignment="1" applyProtection="1">
      <alignment horizontal="center" vertical="center"/>
    </xf>
    <xf numFmtId="166" fontId="23" fillId="0" borderId="12" xfId="142" applyNumberFormat="1" applyFont="1" applyFill="1" applyBorder="1" applyAlignment="1" applyProtection="1"/>
    <xf numFmtId="166" fontId="23" fillId="23" borderId="12" xfId="142" applyNumberFormat="1" applyFont="1" applyFill="1" applyBorder="1" applyAlignment="1" applyProtection="1"/>
    <xf numFmtId="167" fontId="23" fillId="0" borderId="10" xfId="142" applyNumberFormat="1" applyFont="1" applyFill="1" applyBorder="1" applyAlignment="1" applyProtection="1">
      <alignment horizontal="center" vertical="center"/>
    </xf>
    <xf numFmtId="37" fontId="23" fillId="23" borderId="10" xfId="142" applyNumberFormat="1" applyFont="1" applyFill="1" applyBorder="1" applyAlignment="1" applyProtection="1">
      <alignment horizontal="center" vertical="center"/>
    </xf>
    <xf numFmtId="37" fontId="22" fillId="0" borderId="10" xfId="144" applyNumberFormat="1" applyFont="1" applyFill="1" applyBorder="1" applyAlignment="1" applyProtection="1">
      <alignment horizontal="center" vertical="center"/>
    </xf>
    <xf numFmtId="37" fontId="23" fillId="0" borderId="10" xfId="144" applyNumberFormat="1" applyFont="1" applyFill="1" applyBorder="1" applyAlignment="1" applyProtection="1">
      <alignment horizontal="center" vertical="center"/>
    </xf>
    <xf numFmtId="37" fontId="23" fillId="0" borderId="0" xfId="144" applyNumberFormat="1" applyFont="1" applyFill="1" applyBorder="1" applyAlignment="1" applyProtection="1">
      <alignment horizontal="center" vertical="center" wrapText="1"/>
    </xf>
    <xf numFmtId="37" fontId="23" fillId="0" borderId="0" xfId="144" applyNumberFormat="1" applyFont="1" applyFill="1" applyBorder="1" applyAlignment="1" applyProtection="1">
      <alignment horizontal="center" vertical="center"/>
    </xf>
    <xf numFmtId="166" fontId="23" fillId="0" borderId="12" xfId="144" applyNumberFormat="1" applyFont="1" applyFill="1" applyBorder="1" applyAlignment="1" applyProtection="1"/>
    <xf numFmtId="166" fontId="23" fillId="23" borderId="12" xfId="144" applyNumberFormat="1" applyFont="1" applyFill="1" applyBorder="1" applyAlignment="1" applyProtection="1"/>
    <xf numFmtId="167" fontId="23" fillId="0" borderId="10" xfId="144" applyNumberFormat="1" applyFont="1" applyFill="1" applyBorder="1" applyAlignment="1" applyProtection="1">
      <alignment horizontal="center" vertical="center"/>
    </xf>
    <xf numFmtId="37" fontId="23" fillId="23" borderId="10" xfId="144" applyNumberFormat="1" applyFont="1" applyFill="1" applyBorder="1" applyAlignment="1" applyProtection="1">
      <alignment horizontal="center" vertical="center"/>
    </xf>
    <xf numFmtId="37" fontId="22" fillId="0" borderId="10" xfId="135" applyNumberFormat="1" applyFont="1" applyFill="1" applyBorder="1" applyAlignment="1" applyProtection="1">
      <alignment horizontal="center" vertical="center"/>
    </xf>
    <xf numFmtId="37" fontId="23" fillId="0" borderId="10" xfId="135" applyNumberFormat="1" applyFont="1" applyFill="1" applyBorder="1" applyAlignment="1" applyProtection="1">
      <alignment horizontal="center" vertical="center"/>
    </xf>
    <xf numFmtId="37" fontId="23" fillId="0" borderId="0" xfId="135" applyNumberFormat="1" applyFont="1" applyFill="1" applyBorder="1" applyAlignment="1" applyProtection="1">
      <alignment horizontal="center" vertical="center" wrapText="1"/>
    </xf>
    <xf numFmtId="37" fontId="23" fillId="0" borderId="0" xfId="135" applyNumberFormat="1" applyFont="1" applyFill="1" applyBorder="1" applyAlignment="1" applyProtection="1">
      <alignment horizontal="center" vertical="center"/>
    </xf>
    <xf numFmtId="166" fontId="23" fillId="0" borderId="12" xfId="135" applyNumberFormat="1" applyFont="1" applyFill="1" applyBorder="1" applyAlignment="1" applyProtection="1"/>
    <xf numFmtId="166" fontId="23" fillId="23" borderId="12" xfId="135" applyNumberFormat="1" applyFont="1" applyFill="1" applyBorder="1" applyAlignment="1" applyProtection="1"/>
    <xf numFmtId="167" fontId="23" fillId="0" borderId="10" xfId="135" applyNumberFormat="1" applyFont="1" applyFill="1" applyBorder="1" applyAlignment="1" applyProtection="1">
      <alignment horizontal="center" vertical="center"/>
    </xf>
    <xf numFmtId="37" fontId="23" fillId="23" borderId="10" xfId="135" applyNumberFormat="1" applyFont="1" applyFill="1" applyBorder="1" applyAlignment="1" applyProtection="1">
      <alignment horizontal="center" vertical="center"/>
    </xf>
    <xf numFmtId="37" fontId="22" fillId="0" borderId="10" xfId="145" applyNumberFormat="1" applyFont="1" applyFill="1" applyBorder="1" applyAlignment="1" applyProtection="1">
      <alignment horizontal="center" vertical="center"/>
    </xf>
    <xf numFmtId="37" fontId="23" fillId="0" borderId="10" xfId="145" applyNumberFormat="1" applyFont="1" applyFill="1" applyBorder="1" applyAlignment="1" applyProtection="1">
      <alignment horizontal="center" vertical="center"/>
    </xf>
    <xf numFmtId="37" fontId="23" fillId="0" borderId="0" xfId="145" applyNumberFormat="1" applyFont="1" applyFill="1" applyBorder="1" applyAlignment="1" applyProtection="1">
      <alignment horizontal="center" vertical="center" wrapText="1"/>
    </xf>
    <xf numFmtId="37" fontId="23" fillId="0" borderId="0" xfId="145" applyNumberFormat="1" applyFont="1" applyFill="1" applyBorder="1" applyAlignment="1" applyProtection="1">
      <alignment horizontal="center" vertical="center"/>
    </xf>
    <xf numFmtId="166" fontId="23" fillId="0" borderId="12" xfId="145" applyNumberFormat="1" applyFont="1" applyFill="1" applyBorder="1" applyAlignment="1" applyProtection="1"/>
    <xf numFmtId="166" fontId="23" fillId="23" borderId="12" xfId="145" applyNumberFormat="1" applyFont="1" applyFill="1" applyBorder="1" applyAlignment="1" applyProtection="1"/>
    <xf numFmtId="167" fontId="23" fillId="0" borderId="10" xfId="145" applyNumberFormat="1" applyFont="1" applyFill="1" applyBorder="1" applyAlignment="1" applyProtection="1">
      <alignment horizontal="center" vertical="center"/>
    </xf>
    <xf numFmtId="37" fontId="23" fillId="23" borderId="10" xfId="145" applyNumberFormat="1" applyFont="1" applyFill="1" applyBorder="1" applyAlignment="1" applyProtection="1">
      <alignment horizontal="center" vertical="center"/>
    </xf>
    <xf numFmtId="37" fontId="22" fillId="0" borderId="10" xfId="138" applyNumberFormat="1" applyFont="1" applyFill="1" applyBorder="1" applyAlignment="1" applyProtection="1">
      <alignment horizontal="center" vertical="center"/>
    </xf>
    <xf numFmtId="37" fontId="23" fillId="0" borderId="10" xfId="138" applyNumberFormat="1" applyFont="1" applyFill="1" applyBorder="1" applyAlignment="1" applyProtection="1">
      <alignment horizontal="center" vertical="center"/>
    </xf>
    <xf numFmtId="37" fontId="23" fillId="0" borderId="0" xfId="138" applyNumberFormat="1" applyFont="1" applyFill="1" applyBorder="1" applyAlignment="1" applyProtection="1">
      <alignment horizontal="center" vertical="center" wrapText="1"/>
    </xf>
    <xf numFmtId="37" fontId="23" fillId="0" borderId="0" xfId="138" applyNumberFormat="1" applyFont="1" applyFill="1" applyBorder="1" applyAlignment="1" applyProtection="1">
      <alignment horizontal="center" vertical="center"/>
    </xf>
    <xf numFmtId="166" fontId="23" fillId="0" borderId="12" xfId="138" applyNumberFormat="1" applyFont="1" applyFill="1" applyBorder="1" applyAlignment="1" applyProtection="1"/>
    <xf numFmtId="166" fontId="23" fillId="23" borderId="12" xfId="138" applyNumberFormat="1" applyFont="1" applyFill="1" applyBorder="1" applyAlignment="1" applyProtection="1"/>
    <xf numFmtId="167" fontId="23" fillId="0" borderId="10" xfId="138" applyNumberFormat="1" applyFont="1" applyFill="1" applyBorder="1" applyAlignment="1" applyProtection="1">
      <alignment horizontal="center" vertical="center"/>
    </xf>
    <xf numFmtId="37" fontId="23" fillId="23" borderId="10" xfId="138" applyNumberFormat="1" applyFont="1" applyFill="1" applyBorder="1" applyAlignment="1" applyProtection="1">
      <alignment horizontal="center" vertical="center"/>
    </xf>
    <xf numFmtId="168" fontId="23" fillId="0" borderId="0" xfId="114" applyFont="1" applyAlignment="1"/>
    <xf numFmtId="37" fontId="22" fillId="0" borderId="10" xfId="141" applyNumberFormat="1" applyFont="1" applyFill="1" applyBorder="1" applyAlignment="1" applyProtection="1">
      <alignment horizontal="center" vertical="center"/>
    </xf>
    <xf numFmtId="37" fontId="23" fillId="0" borderId="10" xfId="141" applyNumberFormat="1" applyFont="1" applyFill="1" applyBorder="1" applyAlignment="1" applyProtection="1">
      <alignment horizontal="center" vertical="center"/>
    </xf>
    <xf numFmtId="37" fontId="23" fillId="0" borderId="0" xfId="141" applyNumberFormat="1" applyFont="1" applyFill="1" applyBorder="1" applyAlignment="1" applyProtection="1">
      <alignment horizontal="center" vertical="center" wrapText="1"/>
    </xf>
    <xf numFmtId="37" fontId="23" fillId="0" borderId="0" xfId="141" applyNumberFormat="1" applyFont="1" applyFill="1" applyBorder="1" applyAlignment="1" applyProtection="1">
      <alignment horizontal="center" vertical="center"/>
    </xf>
    <xf numFmtId="166" fontId="23" fillId="0" borderId="12" xfId="141" applyNumberFormat="1" applyFont="1" applyFill="1" applyBorder="1" applyAlignment="1" applyProtection="1"/>
    <xf numFmtId="166" fontId="23" fillId="23" borderId="12" xfId="141" applyNumberFormat="1" applyFont="1" applyFill="1" applyBorder="1" applyAlignment="1" applyProtection="1"/>
    <xf numFmtId="167" fontId="23" fillId="0" borderId="10" xfId="141" applyNumberFormat="1" applyFont="1" applyFill="1" applyBorder="1" applyAlignment="1" applyProtection="1">
      <alignment horizontal="center" vertical="center"/>
    </xf>
    <xf numFmtId="37" fontId="23" fillId="23" borderId="10" xfId="141" applyNumberFormat="1" applyFont="1" applyFill="1" applyBorder="1" applyAlignment="1" applyProtection="1">
      <alignment horizontal="center" vertical="center"/>
    </xf>
    <xf numFmtId="3" fontId="22" fillId="24" borderId="10" xfId="2" applyNumberFormat="1" applyFont="1" applyFill="1" applyBorder="1" applyAlignment="1">
      <alignment horizontal="center" vertical="center"/>
    </xf>
    <xf numFmtId="3" fontId="22" fillId="24" borderId="10" xfId="0" applyNumberFormat="1" applyFont="1" applyFill="1" applyBorder="1" applyAlignment="1">
      <alignment horizontal="center" vertical="center"/>
    </xf>
    <xf numFmtId="3" fontId="22" fillId="24" borderId="10" xfId="114" applyNumberFormat="1" applyFont="1" applyFill="1" applyBorder="1" applyAlignment="1">
      <alignment horizontal="center" vertical="center"/>
    </xf>
    <xf numFmtId="168" fontId="22" fillId="0" borderId="10" xfId="2" applyFont="1" applyBorder="1" applyAlignment="1">
      <alignment horizontal="center" vertical="center" wrapText="1"/>
    </xf>
    <xf numFmtId="3" fontId="22" fillId="0" borderId="10" xfId="2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2" applyNumberFormat="1" applyFont="1" applyAlignment="1">
      <alignment horizontal="center" vertical="center"/>
    </xf>
    <xf numFmtId="168" fontId="22" fillId="0" borderId="13" xfId="2" applyFont="1" applyBorder="1" applyAlignment="1">
      <alignment horizontal="center" vertical="center"/>
    </xf>
    <xf numFmtId="168" fontId="22" fillId="0" borderId="11" xfId="2" applyFont="1" applyBorder="1" applyAlignment="1">
      <alignment horizontal="center" vertical="center"/>
    </xf>
    <xf numFmtId="168" fontId="22" fillId="0" borderId="10" xfId="2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68" fontId="22" fillId="0" borderId="13" xfId="114" applyFont="1" applyBorder="1" applyAlignment="1">
      <alignment horizontal="center" vertical="center"/>
    </xf>
    <xf numFmtId="168" fontId="22" fillId="0" borderId="11" xfId="114" applyFont="1" applyBorder="1" applyAlignment="1">
      <alignment horizontal="center" vertical="center"/>
    </xf>
    <xf numFmtId="49" fontId="21" fillId="0" borderId="0" xfId="114" applyNumberFormat="1" applyFont="1" applyAlignment="1">
      <alignment horizontal="center" vertical="center"/>
    </xf>
    <xf numFmtId="168" fontId="22" fillId="0" borderId="10" xfId="114" applyFont="1" applyBorder="1" applyAlignment="1">
      <alignment horizontal="center" vertical="center" wrapText="1"/>
    </xf>
    <xf numFmtId="3" fontId="22" fillId="0" borderId="10" xfId="114" applyNumberFormat="1" applyFont="1" applyBorder="1" applyAlignment="1">
      <alignment horizontal="center" vertical="center"/>
    </xf>
    <xf numFmtId="168" fontId="22" fillId="0" borderId="10" xfId="114" applyFont="1" applyBorder="1" applyAlignment="1">
      <alignment horizontal="center" vertical="center"/>
    </xf>
  </cellXfs>
  <cellStyles count="147">
    <cellStyle name="_ALCATRAZ RESUMEN  CEBRA MAYO DE 2008" xfId="3" xr:uid="{28464D1A-8233-4D9D-AE0A-AC6D55370495}"/>
    <cellStyle name="_ALCATRAZ RESUMEN  CEBRA MAYO DE 2008 2" xfId="60" xr:uid="{BFE4EAB7-E722-4875-914F-A5BCB1A5161E}"/>
    <cellStyle name="_CEBRA_CAIQUERO_MAYO(1)" xfId="4" xr:uid="{3C0C1351-67AF-4BCD-B8D9-0AC808670FE5}"/>
    <cellStyle name="_CEBRA_CAIQUERO_MAYO(1) 2" xfId="61" xr:uid="{E3898CBF-0252-47C2-8AC6-1DA159C3A01A}"/>
    <cellStyle name="_informe servicios mes de mayo" xfId="5" xr:uid="{B9D4EE5B-D68B-4237-8B6C-917AAA3C9EFC}"/>
    <cellStyle name="_informe servicios mes de mayo 2" xfId="62" xr:uid="{27148C25-BC57-4AD2-AE09-CFFED3B0E1DD}"/>
    <cellStyle name="_INV" xfId="6" xr:uid="{F882A5A2-A2F2-4FEB-B620-3CF48CF01925}"/>
    <cellStyle name="_INV 2" xfId="63" xr:uid="{3703A3DC-16CE-4DC8-BD1E-C7EDD7CD7BD3}"/>
    <cellStyle name="_INV MAYO" xfId="7" xr:uid="{9F7CF30D-4460-4131-9957-1CB3459601D4}"/>
    <cellStyle name="_INV MAYO 2" xfId="64" xr:uid="{AF0F304B-A811-478F-A09F-4A0D18176A8B}"/>
    <cellStyle name="_INVIAS SERVICIOS UNIDADES" xfId="8" xr:uid="{DF1A5BDA-B9AE-405D-97B8-91CC4FF35B66}"/>
    <cellStyle name="_INVIAS SERVICIOS UNIDADES 2" xfId="65" xr:uid="{9CFF4166-B5BC-4F94-96BD-6BCA97BC35EE}"/>
    <cellStyle name="_SER CT INV" xfId="9" xr:uid="{E0E7B36A-D033-45D8-97E0-4CCC3E133075}"/>
    <cellStyle name="_SER CT INV 2" xfId="66" xr:uid="{333E6CEE-4E62-4F25-8581-B433BB78F309}"/>
    <cellStyle name="_SER GRUA INV" xfId="10" xr:uid="{CEAF6A5D-3A97-4D9B-8F9A-27718203DB21}"/>
    <cellStyle name="_SER GRUA INV 2" xfId="67" xr:uid="{DD2B535A-840C-457A-808A-8AE107D380A8}"/>
    <cellStyle name="_SER. POS" xfId="11" xr:uid="{004AFA89-A7FE-4A40-BEA9-EEE52140F633}"/>
    <cellStyle name="_SER. POS 2" xfId="68" xr:uid="{6461E3AA-340F-4D25-9500-6261518D7332}"/>
    <cellStyle name="_servicios de 2007 a 2008" xfId="12" xr:uid="{990A1EA5-0B45-439E-8558-5FC0EFD95663}"/>
    <cellStyle name="_servicios de 2007 a 2008 2" xfId="69" xr:uid="{E80FD30E-D01A-46DD-9CC3-A1458A872E27}"/>
    <cellStyle name="20% - Énfasis1 2" xfId="70" xr:uid="{5EAE56CF-E6B6-46A9-A8D6-C5176DE0DCDF}"/>
    <cellStyle name="20% - Énfasis1 3" xfId="13" xr:uid="{AD0D76EE-4053-4FE6-ABC0-F37D5BD40A4C}"/>
    <cellStyle name="20% - Énfasis2 2" xfId="71" xr:uid="{CB752E4B-DA48-46C9-944E-B40735B9EAA5}"/>
    <cellStyle name="20% - Énfasis2 3" xfId="14" xr:uid="{F22F6BF1-F266-42DE-BBE0-B1B71D34D8E9}"/>
    <cellStyle name="20% - Énfasis3 2" xfId="72" xr:uid="{8A34688A-035F-41E1-8363-74382C8176E8}"/>
    <cellStyle name="20% - Énfasis3 3" xfId="15" xr:uid="{ED748C51-2048-4861-B4BD-8960F4AF45D5}"/>
    <cellStyle name="20% - Énfasis4 2" xfId="73" xr:uid="{BF4C07F1-43C2-4DED-A880-0E9FE885E5E1}"/>
    <cellStyle name="20% - Énfasis4 3" xfId="16" xr:uid="{B4005725-6E3E-424D-9440-ABEC45B4AFF2}"/>
    <cellStyle name="20% - Énfasis5 2" xfId="74" xr:uid="{F8B2BA81-E2D0-4397-828A-A0A32550EDB8}"/>
    <cellStyle name="20% - Énfasis5 3" xfId="17" xr:uid="{61A79D9F-1980-4E83-806C-A204874DF098}"/>
    <cellStyle name="20% - Énfasis6 2" xfId="75" xr:uid="{D497DEF5-F5EB-4F4D-848E-DDD5C25B560E}"/>
    <cellStyle name="20% - Énfasis6 3" xfId="18" xr:uid="{411BDEC4-44F8-44D8-9DAA-9D3FA6A91AEC}"/>
    <cellStyle name="40% - Énfasis1 2" xfId="76" xr:uid="{BFBDD7BD-507F-4D3B-8357-7EAB3CE57A35}"/>
    <cellStyle name="40% - Énfasis1 3" xfId="19" xr:uid="{264A8727-BCC8-4640-B468-980CB5224886}"/>
    <cellStyle name="40% - Énfasis2 2" xfId="77" xr:uid="{531392FB-CE09-48DB-9BB1-DDE3B326879D}"/>
    <cellStyle name="40% - Énfasis2 3" xfId="20" xr:uid="{E51CCA6E-218D-46E5-ADDE-C976660B8982}"/>
    <cellStyle name="40% - Énfasis3 2" xfId="78" xr:uid="{0F151690-72D7-43A2-B2C6-43DD102F3E00}"/>
    <cellStyle name="40% - Énfasis3 3" xfId="21" xr:uid="{E7554430-A900-4B60-962A-B15C4EE84D61}"/>
    <cellStyle name="40% - Énfasis4 2" xfId="79" xr:uid="{BF6F52B9-2353-4A4F-8D40-547C48ED4037}"/>
    <cellStyle name="40% - Énfasis4 3" xfId="22" xr:uid="{8DBFA5C8-2B02-47C4-853D-37C11E587137}"/>
    <cellStyle name="40% - Énfasis5 2" xfId="80" xr:uid="{4C1212A0-93F4-49B6-AE87-CB51F975A07C}"/>
    <cellStyle name="40% - Énfasis5 3" xfId="23" xr:uid="{907680F1-DF1D-4FB2-9CF5-27FB18926A57}"/>
    <cellStyle name="40% - Énfasis6 2" xfId="81" xr:uid="{8EE563CB-70EB-4B4F-9A49-412DF2AE9148}"/>
    <cellStyle name="40% - Énfasis6 3" xfId="24" xr:uid="{C6CAA8E1-D731-4785-A284-3F8EB8A04117}"/>
    <cellStyle name="60% - Énfasis1 2" xfId="82" xr:uid="{7B1CF9F8-B33B-4F04-9A0B-3676F6C54FDA}"/>
    <cellStyle name="60% - Énfasis1 3" xfId="25" xr:uid="{E42A60DE-DA8A-4A6A-8FA1-249935CC9CF7}"/>
    <cellStyle name="60% - Énfasis2 2" xfId="83" xr:uid="{738E6B67-778C-4D89-8A49-2C80FF78EEAE}"/>
    <cellStyle name="60% - Énfasis2 3" xfId="26" xr:uid="{4DC2BDB2-3249-4186-9FDF-FB1903418802}"/>
    <cellStyle name="60% - Énfasis3 2" xfId="84" xr:uid="{E499C857-FE45-4D67-8A85-35239364A7B7}"/>
    <cellStyle name="60% - Énfasis3 3" xfId="27" xr:uid="{3D3C9806-6576-4DEA-B8AB-F674D3CA361A}"/>
    <cellStyle name="60% - Énfasis4 2" xfId="85" xr:uid="{518B81EA-016E-43B6-8486-DD92A013AFB6}"/>
    <cellStyle name="60% - Énfasis4 3" xfId="28" xr:uid="{F2E40F6E-FD76-442F-BB12-AD3314A4A4EB}"/>
    <cellStyle name="60% - Énfasis5 2" xfId="86" xr:uid="{BC939ED3-0EF7-4BA4-9043-CD1DC36E3F3B}"/>
    <cellStyle name="60% - Énfasis5 3" xfId="29" xr:uid="{8D0D869C-5CA0-4044-AC4F-BEE6CC8D518D}"/>
    <cellStyle name="60% - Énfasis6 2" xfId="87" xr:uid="{B7DF5EEA-8726-4CE7-B808-E04E5C31B711}"/>
    <cellStyle name="60% - Énfasis6 3" xfId="30" xr:uid="{E3D1A714-3773-4ADE-81AE-11E5F2AD1AB4}"/>
    <cellStyle name="Buena 2" xfId="88" xr:uid="{87B58728-CC8E-4D2D-AE31-DD9F04066F70}"/>
    <cellStyle name="Bueno 2" xfId="31" xr:uid="{780ACBE8-F741-4F4D-B957-1FE7D9E038D9}"/>
    <cellStyle name="Cálculo 2" xfId="89" xr:uid="{DDE397AF-DA3C-4028-86AA-FAD60F6C2442}"/>
    <cellStyle name="Cálculo 3" xfId="32" xr:uid="{CD0826A3-E645-4E98-85D6-C1865B1E9C5E}"/>
    <cellStyle name="Celda de comprobación 2" xfId="90" xr:uid="{EABB6875-9867-4C5F-A883-0F215E88386F}"/>
    <cellStyle name="Celda de comprobación 3" xfId="33" xr:uid="{8EF3608F-9437-4CEB-A0CE-E947B4D1D700}"/>
    <cellStyle name="Celda vinculada 2" xfId="91" xr:uid="{34F6F9C0-1643-4CA3-B858-EB88E6CBB516}"/>
    <cellStyle name="Celda vinculada 3" xfId="34" xr:uid="{A9653880-225E-4236-85E2-2007E3779E8B}"/>
    <cellStyle name="Encabezado 1 2" xfId="109" xr:uid="{332D446E-AE20-446D-85CC-25359DE963F7}"/>
    <cellStyle name="Encabezado 1 3" xfId="55" xr:uid="{5DE2BCAD-09FA-48E7-BECC-486792A9EDB1}"/>
    <cellStyle name="Encabezado 4 2" xfId="92" xr:uid="{3199011C-5C0A-487C-9B39-E755EBC2833D}"/>
    <cellStyle name="Encabezado 4 3" xfId="35" xr:uid="{D56AE061-21D4-4E96-B8FE-5819B9ED4D91}"/>
    <cellStyle name="Énfasis1 2" xfId="93" xr:uid="{E0BC936D-80AE-43DF-9247-51DEDBE11EC5}"/>
    <cellStyle name="Énfasis1 3" xfId="36" xr:uid="{15BA836A-E5EE-46DD-8BDA-B6572498A455}"/>
    <cellStyle name="Énfasis2 2" xfId="94" xr:uid="{5936FA69-9A6C-407E-BFF6-4E6F5201B9F1}"/>
    <cellStyle name="Énfasis2 3" xfId="37" xr:uid="{40D1D4F9-2126-4F61-990B-1738E363F993}"/>
    <cellStyle name="Énfasis3 2" xfId="95" xr:uid="{A5044878-1F9B-4129-9E74-E030337A771E}"/>
    <cellStyle name="Énfasis3 3" xfId="38" xr:uid="{F1BC6B64-2F8A-4B79-A84B-8CCB7CF3DBA7}"/>
    <cellStyle name="Énfasis4 2" xfId="96" xr:uid="{D79624A1-BFD9-4C85-AF04-0BEE273C4D56}"/>
    <cellStyle name="Énfasis4 3" xfId="39" xr:uid="{FF6202C7-B4FC-4962-85D4-DE3BF9BDCF23}"/>
    <cellStyle name="Énfasis5 2" xfId="97" xr:uid="{42BE9706-102D-4CF3-B69F-3F8AC44D2A3D}"/>
    <cellStyle name="Énfasis5 3" xfId="40" xr:uid="{7E62D98E-3A16-4830-801D-006B83F128E7}"/>
    <cellStyle name="Énfasis6 2" xfId="98" xr:uid="{1D7FCEC9-8246-41F9-9D4E-FD62F0AEE2F1}"/>
    <cellStyle name="Énfasis6 3" xfId="41" xr:uid="{766D2976-7EB4-4C8D-B142-08C8CD5EB171}"/>
    <cellStyle name="Entrada 2" xfId="99" xr:uid="{6E10C739-4A72-4F46-9747-AAB964032CCA}"/>
    <cellStyle name="Entrada 3" xfId="42" xr:uid="{5CB3732D-59B2-48CB-B02D-E65501229337}"/>
    <cellStyle name="Euro" xfId="43" xr:uid="{1AA731AC-A6AF-436E-AD80-03D1B9E2F6B7}"/>
    <cellStyle name="Euro 2" xfId="100" xr:uid="{A694560B-D3D0-48B4-80CF-ABFA430EAB1F}"/>
    <cellStyle name="Incorrecto 2" xfId="101" xr:uid="{6A387AC2-296C-4785-ADC0-9922C8C181E6}"/>
    <cellStyle name="Incorrecto 3" xfId="44" xr:uid="{06B57D92-E1DA-4033-A340-5F08A4028D6D}"/>
    <cellStyle name="Millares" xfId="1" builtinId="3"/>
    <cellStyle name="Millares [0] 2" xfId="132" xr:uid="{F49ADC64-C04E-4EE3-A8F4-8A9D547C58E2}"/>
    <cellStyle name="Millares 10" xfId="144" xr:uid="{5A501A28-3CCB-4E30-A7E6-56910BC4FCA2}"/>
    <cellStyle name="Millares 11" xfId="135" xr:uid="{E3E88C0A-8457-49AB-9DBB-16A979517D18}"/>
    <cellStyle name="Millares 12" xfId="145" xr:uid="{BDD05441-F69B-4FB3-AF5A-ED8B9A6623CA}"/>
    <cellStyle name="Millares 13" xfId="138" xr:uid="{749C3CF6-4218-4BEA-B7E0-68E8E12E3AB3}"/>
    <cellStyle name="Millares 14" xfId="134" xr:uid="{D805CEC8-74D9-47A3-B70C-2F42AFC38D89}"/>
    <cellStyle name="Millares 15" xfId="141" xr:uid="{0936D3B9-608D-4866-82AF-AC0393C3A0E2}"/>
    <cellStyle name="Millares 2" xfId="102" xr:uid="{066316E2-B2AA-48E0-9978-8DFBE419CB23}"/>
    <cellStyle name="Millares 2 2" xfId="117" xr:uid="{269C3205-8E05-49F8-909F-176315EA85A3}"/>
    <cellStyle name="Millares 2 2 2" xfId="126" xr:uid="{E7203289-805C-44C8-9C2E-1B689D72F585}"/>
    <cellStyle name="Millares 2 3" xfId="120" xr:uid="{B22A3197-467C-427E-80D7-18AE008F03C3}"/>
    <cellStyle name="Millares 2 3 2" xfId="129" xr:uid="{1464D75E-A582-4897-AAA9-A45F1CF1C2E9}"/>
    <cellStyle name="Millares 2 4" xfId="123" xr:uid="{70F9A310-72AE-408B-8565-6363D5C3B3BB}"/>
    <cellStyle name="Millares 3" xfId="133" xr:uid="{307DA343-FA90-4E5A-A382-4307FCB78E45}"/>
    <cellStyle name="Millares 4" xfId="45" xr:uid="{A9F91BFD-AD2D-4A8F-B682-22694D72F997}"/>
    <cellStyle name="Millares 5" xfId="136" xr:uid="{6E1D7F09-2D76-44BF-88F9-138BB7730D53}"/>
    <cellStyle name="Millares 6" xfId="143" xr:uid="{D9EF0A73-2CBA-42E6-B3ED-11F461DBCD77}"/>
    <cellStyle name="Millares 7" xfId="139" xr:uid="{51D26508-5EF0-4B4B-AC0E-C2BF5722AAC8}"/>
    <cellStyle name="Millares 8" xfId="137" xr:uid="{789B2A30-CD8E-4EB0-9551-D618E499ED09}"/>
    <cellStyle name="Millares 9" xfId="142" xr:uid="{3F1601AD-E356-4748-ACDE-F5004A5B3618}"/>
    <cellStyle name="Millares_TRAFICO CAIQUERO_1" xfId="46" xr:uid="{49F62F7B-8608-4C99-9F43-4EC46DBE0208}"/>
    <cellStyle name="Moneda [0] 2" xfId="146" xr:uid="{E4ACD632-7121-4AE9-9D77-86E8AACFA5E4}"/>
    <cellStyle name="Moneda 2" xfId="47" xr:uid="{9A1696A0-93EF-4708-B5A2-F2FE7EAD8A69}"/>
    <cellStyle name="Moneda 3" xfId="140" xr:uid="{E4F3AB8A-D139-4B9F-B68D-DFB7B45C4ADF}"/>
    <cellStyle name="Neutral 2" xfId="103" xr:uid="{F051FC84-2E37-4982-8980-BC26B40BE81C}"/>
    <cellStyle name="Neutral 3" xfId="48" xr:uid="{9420966B-76B3-407E-ABFC-95D331AB8891}"/>
    <cellStyle name="Normal" xfId="0" builtinId="0"/>
    <cellStyle name="Normal 2" xfId="59" xr:uid="{3891C396-2774-4895-9454-0617D2959DEB}"/>
    <cellStyle name="Normal 3" xfId="113" xr:uid="{9658CD00-8A11-40E4-8139-7DC7997FAD01}"/>
    <cellStyle name="Normal 3 2" xfId="118" xr:uid="{8F277EF7-9A2E-403F-B312-BA7AA68EA239}"/>
    <cellStyle name="Normal 3 2 2" xfId="127" xr:uid="{B46140D1-B44F-4F93-B942-147F1A635AA5}"/>
    <cellStyle name="Normal 3 3" xfId="116" xr:uid="{B68712AA-8EBC-4E08-8718-AA672F487D05}"/>
    <cellStyle name="Normal 3 4" xfId="121" xr:uid="{93DEDEFC-8201-4102-B9D4-2251E88BB4AE}"/>
    <cellStyle name="Normal 3 4 2" xfId="130" xr:uid="{0D5E081A-7082-46FC-B174-B1F50B0AFE05}"/>
    <cellStyle name="Normal 3 5" xfId="124" xr:uid="{84A436A1-996D-41C9-9649-D08E063B205D}"/>
    <cellStyle name="Normal 4" xfId="114" xr:uid="{D36CA457-21B6-4D51-BA3C-BBEC6F084D30}"/>
    <cellStyle name="Normal 4 2" xfId="115" xr:uid="{2F8E5F20-04ED-48D7-8D35-2324E6836FC4}"/>
    <cellStyle name="Normal 4 2 2" xfId="119" xr:uid="{4BCC97ED-8039-4223-A5C3-96BBEDDDB1F8}"/>
    <cellStyle name="Normal 4 2 2 2" xfId="128" xr:uid="{8FA06249-7EE2-4E7D-89B5-FF597C928810}"/>
    <cellStyle name="Normal 4 2 3" xfId="122" xr:uid="{1325DF3C-AC57-4938-873E-999933DF62A1}"/>
    <cellStyle name="Normal 4 2 3 2" xfId="131" xr:uid="{61E64D61-CC3F-4C57-8C8B-220553C48AE2}"/>
    <cellStyle name="Normal 4 2 4" xfId="125" xr:uid="{B325792B-10FF-4F17-BE2C-C0F4CB76EEE2}"/>
    <cellStyle name="Normal 5" xfId="2" xr:uid="{98FF9856-EB0C-4004-BE00-A5E54D5A18E5}"/>
    <cellStyle name="Notas 2" xfId="104" xr:uid="{5B8C2240-F71B-4D07-A9FD-A8ED5F56D4A1}"/>
    <cellStyle name="Notas 3" xfId="49" xr:uid="{E31C8547-4295-4135-A729-B1F714338D75}"/>
    <cellStyle name="Porcentaje 2" xfId="50" xr:uid="{6293968E-7FA2-4DF7-A357-E3727380C903}"/>
    <cellStyle name="Salida 2" xfId="105" xr:uid="{BD367D79-D8E2-4DD9-87E6-CC64CE39F27C}"/>
    <cellStyle name="Salida 3" xfId="51" xr:uid="{15A9EE55-6C2A-4835-8D65-ED7C871888F5}"/>
    <cellStyle name="Texto de advertencia 2" xfId="106" xr:uid="{47701A02-9E59-4947-A756-203FFB561836}"/>
    <cellStyle name="Texto de advertencia 3" xfId="52" xr:uid="{CF97830B-BA99-46BB-9581-A3C678AE5852}"/>
    <cellStyle name="Texto explicativo 2" xfId="107" xr:uid="{B835847B-EC7D-41FA-BAA9-E2E9FE769C4D}"/>
    <cellStyle name="Texto explicativo 3" xfId="53" xr:uid="{6F5242FF-9883-4BE8-A3EB-D1D17B6B4B46}"/>
    <cellStyle name="Título 2 2" xfId="110" xr:uid="{21E6CFAB-94FB-4C39-BA54-810ED2EB2FFE}"/>
    <cellStyle name="Título 2 3" xfId="56" xr:uid="{6C14A02D-6C41-477A-8E4E-FBD84ED558EC}"/>
    <cellStyle name="Título 3 2" xfId="111" xr:uid="{A93E86AF-E952-4284-A138-4976A51F426B}"/>
    <cellStyle name="Título 3 3" xfId="57" xr:uid="{ADC98E15-7E46-4A96-ABA1-7186C181BDCF}"/>
    <cellStyle name="Título 4" xfId="108" xr:uid="{8DB4CD17-569A-4A4D-8945-0428725F5E70}"/>
    <cellStyle name="Título 5" xfId="54" xr:uid="{5AA163C3-9B36-481D-BE97-E5A3C433379B}"/>
    <cellStyle name="Total 2" xfId="112" xr:uid="{5BA0F7DD-2206-4301-9B94-10C9D05A2806}"/>
    <cellStyle name="Total 3" xfId="58" xr:uid="{43745A7E-C713-446D-9215-BA91EAEE1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554B-D9CD-4004-A575-49A35EABB76A}">
  <dimension ref="A1:Z46"/>
  <sheetViews>
    <sheetView workbookViewId="0">
      <selection activeCell="E30" sqref="E30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59" t="s">
        <v>0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"/>
      <c r="Q3" s="15"/>
      <c r="R3" s="15"/>
      <c r="S3" s="15"/>
    </row>
    <row r="4" spans="1:26" ht="82.8" x14ac:dyDescent="0.3">
      <c r="A4" s="160" t="s">
        <v>1</v>
      </c>
      <c r="B4" s="156" t="s">
        <v>2</v>
      </c>
      <c r="C4" s="156"/>
      <c r="D4" s="10" t="s">
        <v>3</v>
      </c>
      <c r="E4" s="10" t="s">
        <v>4</v>
      </c>
      <c r="F4" s="10" t="s">
        <v>5</v>
      </c>
      <c r="G4" s="10" t="s">
        <v>6</v>
      </c>
      <c r="H4" s="156" t="s">
        <v>7</v>
      </c>
      <c r="I4" s="156" t="s">
        <v>8</v>
      </c>
      <c r="J4" s="2"/>
      <c r="K4" s="162" t="s">
        <v>1</v>
      </c>
      <c r="L4" s="156" t="s">
        <v>9</v>
      </c>
      <c r="M4" s="156" t="s">
        <v>10</v>
      </c>
      <c r="N4" s="156" t="s">
        <v>11</v>
      </c>
      <c r="O4" s="156" t="s">
        <v>12</v>
      </c>
      <c r="P4" s="1"/>
      <c r="Q4" s="1"/>
      <c r="R4" s="1"/>
      <c r="S4" s="1"/>
    </row>
    <row r="5" spans="1:26" x14ac:dyDescent="0.3">
      <c r="A5" s="161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56"/>
      <c r="I5" s="156"/>
      <c r="J5" s="2"/>
      <c r="K5" s="162"/>
      <c r="L5" s="156"/>
      <c r="M5" s="156"/>
      <c r="N5" s="156"/>
      <c r="O5" s="156"/>
      <c r="P5" s="1"/>
      <c r="Q5" s="1"/>
      <c r="R5" s="1"/>
      <c r="S5" s="1"/>
    </row>
    <row r="6" spans="1:26" ht="15" thickBot="1" x14ac:dyDescent="0.35">
      <c r="A6" s="3">
        <v>1</v>
      </c>
      <c r="B6" s="4">
        <v>6365</v>
      </c>
      <c r="C6" s="4">
        <v>0</v>
      </c>
      <c r="D6" s="4">
        <v>375</v>
      </c>
      <c r="E6" s="4">
        <v>49</v>
      </c>
      <c r="F6" s="4">
        <v>77</v>
      </c>
      <c r="G6" s="4">
        <v>82</v>
      </c>
      <c r="H6" s="4">
        <v>6948</v>
      </c>
      <c r="I6" s="4">
        <v>0</v>
      </c>
      <c r="J6" s="5"/>
      <c r="K6" s="3">
        <v>1</v>
      </c>
      <c r="L6" s="4">
        <v>0</v>
      </c>
      <c r="M6" s="4">
        <v>2</v>
      </c>
      <c r="N6" s="4">
        <v>2</v>
      </c>
      <c r="O6" s="4">
        <v>4</v>
      </c>
      <c r="P6" s="19">
        <v>6135</v>
      </c>
      <c r="Q6" s="1"/>
      <c r="R6" s="1"/>
      <c r="S6" s="1"/>
    </row>
    <row r="7" spans="1:26" ht="15.6" thickTop="1" thickBot="1" x14ac:dyDescent="0.35">
      <c r="A7" s="3">
        <v>2</v>
      </c>
      <c r="B7" s="4">
        <v>11048</v>
      </c>
      <c r="C7" s="4">
        <v>0</v>
      </c>
      <c r="D7" s="4">
        <v>783</v>
      </c>
      <c r="E7" s="4">
        <v>119</v>
      </c>
      <c r="F7" s="4">
        <v>132</v>
      </c>
      <c r="G7" s="4">
        <v>272</v>
      </c>
      <c r="H7" s="4">
        <v>12354</v>
      </c>
      <c r="I7" s="4">
        <v>0</v>
      </c>
      <c r="J7" s="5"/>
      <c r="K7" s="3">
        <v>2</v>
      </c>
      <c r="L7" s="4">
        <v>4</v>
      </c>
      <c r="M7" s="4">
        <v>0</v>
      </c>
      <c r="N7" s="4">
        <v>0</v>
      </c>
      <c r="O7" s="4">
        <v>4</v>
      </c>
      <c r="P7" s="19">
        <v>6135</v>
      </c>
      <c r="Q7" s="1"/>
      <c r="R7" s="1"/>
      <c r="S7" s="1"/>
    </row>
    <row r="8" spans="1:26" ht="15.6" thickTop="1" thickBot="1" x14ac:dyDescent="0.35">
      <c r="A8" s="3">
        <v>3</v>
      </c>
      <c r="B8" s="4">
        <v>16554</v>
      </c>
      <c r="C8" s="4">
        <v>0</v>
      </c>
      <c r="D8" s="4">
        <v>724</v>
      </c>
      <c r="E8" s="4">
        <v>71</v>
      </c>
      <c r="F8" s="4">
        <v>81</v>
      </c>
      <c r="G8" s="4">
        <v>116</v>
      </c>
      <c r="H8" s="4">
        <v>17546</v>
      </c>
      <c r="I8" s="4">
        <v>0</v>
      </c>
      <c r="J8" s="5"/>
      <c r="K8" s="3">
        <v>3</v>
      </c>
      <c r="L8" s="4">
        <v>2</v>
      </c>
      <c r="M8" s="4">
        <v>2</v>
      </c>
      <c r="N8" s="4">
        <v>1</v>
      </c>
      <c r="O8" s="4">
        <v>5</v>
      </c>
      <c r="P8" s="19">
        <v>6135</v>
      </c>
      <c r="Q8" s="1"/>
      <c r="R8" s="1"/>
      <c r="S8" s="13"/>
    </row>
    <row r="9" spans="1:26" ht="15.6" thickTop="1" thickBot="1" x14ac:dyDescent="0.35">
      <c r="A9" s="3">
        <v>4</v>
      </c>
      <c r="B9" s="4">
        <v>11306</v>
      </c>
      <c r="C9" s="4">
        <v>0</v>
      </c>
      <c r="D9" s="4">
        <v>1208</v>
      </c>
      <c r="E9" s="4">
        <v>258</v>
      </c>
      <c r="F9" s="4">
        <v>193</v>
      </c>
      <c r="G9" s="4">
        <v>343</v>
      </c>
      <c r="H9" s="4">
        <v>13308</v>
      </c>
      <c r="I9" s="4">
        <v>0</v>
      </c>
      <c r="J9" s="5"/>
      <c r="K9" s="3">
        <v>4</v>
      </c>
      <c r="L9" s="4">
        <v>4</v>
      </c>
      <c r="M9" s="4">
        <v>14</v>
      </c>
      <c r="N9" s="4">
        <v>1</v>
      </c>
      <c r="O9" s="4">
        <v>19</v>
      </c>
      <c r="P9" s="19">
        <v>6135</v>
      </c>
      <c r="Q9" s="1"/>
      <c r="R9" s="1"/>
      <c r="S9" s="1"/>
    </row>
    <row r="10" spans="1:26" ht="15.6" thickTop="1" thickBot="1" x14ac:dyDescent="0.35">
      <c r="A10" s="3">
        <v>5</v>
      </c>
      <c r="B10" s="4">
        <v>8632</v>
      </c>
      <c r="C10" s="4">
        <v>0</v>
      </c>
      <c r="D10" s="4">
        <v>1432</v>
      </c>
      <c r="E10" s="4">
        <v>233</v>
      </c>
      <c r="F10" s="4">
        <v>250</v>
      </c>
      <c r="G10" s="4">
        <v>405</v>
      </c>
      <c r="H10" s="4">
        <v>10952</v>
      </c>
      <c r="I10" s="4">
        <v>0</v>
      </c>
      <c r="J10" s="5"/>
      <c r="K10" s="3">
        <v>5</v>
      </c>
      <c r="L10" s="4">
        <v>5</v>
      </c>
      <c r="M10" s="4">
        <v>10</v>
      </c>
      <c r="N10" s="4">
        <v>0</v>
      </c>
      <c r="O10" s="4">
        <v>15</v>
      </c>
      <c r="P10" s="19">
        <v>6135</v>
      </c>
      <c r="Q10" s="1"/>
      <c r="R10" s="1"/>
      <c r="S10" s="1"/>
    </row>
    <row r="11" spans="1:26" ht="15.6" thickTop="1" thickBot="1" x14ac:dyDescent="0.35">
      <c r="A11" s="3">
        <v>6</v>
      </c>
      <c r="B11" s="4">
        <v>7866</v>
      </c>
      <c r="C11" s="4">
        <v>0</v>
      </c>
      <c r="D11" s="4">
        <v>1516</v>
      </c>
      <c r="E11" s="4">
        <v>275</v>
      </c>
      <c r="F11" s="4">
        <v>293</v>
      </c>
      <c r="G11" s="4">
        <v>486</v>
      </c>
      <c r="H11" s="4">
        <v>10436</v>
      </c>
      <c r="I11" s="4">
        <v>0</v>
      </c>
      <c r="J11" s="5"/>
      <c r="K11" s="3">
        <v>6</v>
      </c>
      <c r="L11" s="4">
        <v>4</v>
      </c>
      <c r="M11" s="4">
        <v>22</v>
      </c>
      <c r="N11" s="4">
        <v>5</v>
      </c>
      <c r="O11" s="4">
        <v>31</v>
      </c>
      <c r="P11" s="19">
        <v>6135</v>
      </c>
      <c r="Q11" s="1"/>
      <c r="R11" s="1"/>
      <c r="S11" s="1"/>
    </row>
    <row r="12" spans="1:26" ht="15.6" thickTop="1" thickBot="1" x14ac:dyDescent="0.35">
      <c r="A12" s="3">
        <v>7</v>
      </c>
      <c r="B12" s="4">
        <v>8679</v>
      </c>
      <c r="C12" s="4">
        <v>0</v>
      </c>
      <c r="D12" s="4">
        <v>1564</v>
      </c>
      <c r="E12" s="4">
        <v>338</v>
      </c>
      <c r="F12" s="4">
        <v>323</v>
      </c>
      <c r="G12" s="4">
        <v>449</v>
      </c>
      <c r="H12" s="4">
        <v>11353</v>
      </c>
      <c r="I12" s="4">
        <v>0</v>
      </c>
      <c r="J12" s="6"/>
      <c r="K12" s="3">
        <v>7</v>
      </c>
      <c r="L12" s="4">
        <v>7</v>
      </c>
      <c r="M12" s="4">
        <v>12</v>
      </c>
      <c r="N12" s="4">
        <v>4</v>
      </c>
      <c r="O12" s="4">
        <v>23</v>
      </c>
      <c r="P12" s="19">
        <v>6135</v>
      </c>
      <c r="Q12" s="1"/>
      <c r="R12" s="1"/>
      <c r="S12" s="1"/>
    </row>
    <row r="13" spans="1:26" ht="15.6" thickTop="1" thickBot="1" x14ac:dyDescent="0.35">
      <c r="A13" s="3">
        <v>8</v>
      </c>
      <c r="B13" s="4">
        <v>5605</v>
      </c>
      <c r="C13" s="4">
        <v>0</v>
      </c>
      <c r="D13" s="4">
        <v>1266</v>
      </c>
      <c r="E13" s="4">
        <v>246</v>
      </c>
      <c r="F13" s="4">
        <v>272</v>
      </c>
      <c r="G13" s="4">
        <v>394</v>
      </c>
      <c r="H13" s="4">
        <v>7783</v>
      </c>
      <c r="I13" s="4">
        <v>0</v>
      </c>
      <c r="J13" s="6"/>
      <c r="K13" s="3">
        <v>8</v>
      </c>
      <c r="L13" s="4">
        <v>4</v>
      </c>
      <c r="M13" s="4">
        <v>15</v>
      </c>
      <c r="N13" s="4">
        <v>4</v>
      </c>
      <c r="O13" s="4">
        <v>23</v>
      </c>
      <c r="P13" s="19">
        <v>6135</v>
      </c>
      <c r="Q13" s="1"/>
      <c r="R13" s="1"/>
      <c r="S13" s="1"/>
    </row>
    <row r="14" spans="1:26" ht="15.6" thickTop="1" thickBot="1" x14ac:dyDescent="0.35">
      <c r="A14" s="3">
        <v>9</v>
      </c>
      <c r="B14" s="4">
        <v>6316</v>
      </c>
      <c r="C14" s="4">
        <v>0</v>
      </c>
      <c r="D14" s="4">
        <v>1066</v>
      </c>
      <c r="E14" s="4">
        <v>156</v>
      </c>
      <c r="F14" s="4">
        <v>238</v>
      </c>
      <c r="G14" s="4">
        <v>281</v>
      </c>
      <c r="H14" s="4">
        <v>8057</v>
      </c>
      <c r="I14" s="4">
        <v>0</v>
      </c>
      <c r="J14" s="6"/>
      <c r="K14" s="3">
        <v>9</v>
      </c>
      <c r="L14" s="4">
        <v>6</v>
      </c>
      <c r="M14" s="4">
        <v>9</v>
      </c>
      <c r="N14" s="4">
        <v>9</v>
      </c>
      <c r="O14" s="4">
        <v>24</v>
      </c>
      <c r="P14" s="20">
        <v>6135</v>
      </c>
      <c r="Q14" s="16"/>
      <c r="R14" s="16"/>
      <c r="S14" s="16"/>
    </row>
    <row r="15" spans="1:26" ht="15.6" thickTop="1" thickBot="1" x14ac:dyDescent="0.35">
      <c r="A15" s="3">
        <v>10</v>
      </c>
      <c r="B15" s="4">
        <v>6272</v>
      </c>
      <c r="C15" s="4">
        <v>0</v>
      </c>
      <c r="D15" s="4">
        <v>919</v>
      </c>
      <c r="E15" s="4">
        <v>161</v>
      </c>
      <c r="F15" s="4">
        <v>206</v>
      </c>
      <c r="G15" s="4">
        <v>359</v>
      </c>
      <c r="H15" s="4">
        <v>7917</v>
      </c>
      <c r="I15" s="4">
        <v>0</v>
      </c>
      <c r="J15" s="6"/>
      <c r="K15" s="3">
        <v>10</v>
      </c>
      <c r="L15" s="4">
        <v>10</v>
      </c>
      <c r="M15" s="4">
        <v>12</v>
      </c>
      <c r="N15" s="4">
        <v>2</v>
      </c>
      <c r="O15" s="4">
        <v>24</v>
      </c>
      <c r="P15" s="19">
        <v>6135</v>
      </c>
      <c r="Q15" s="1"/>
      <c r="R15" s="1"/>
      <c r="S15" s="1"/>
    </row>
    <row r="16" spans="1:26" ht="15.6" thickTop="1" thickBot="1" x14ac:dyDescent="0.35">
      <c r="A16" s="3">
        <v>11</v>
      </c>
      <c r="B16" s="4">
        <v>6740</v>
      </c>
      <c r="C16" s="4">
        <v>0</v>
      </c>
      <c r="D16" s="4">
        <v>630</v>
      </c>
      <c r="E16" s="4">
        <v>76</v>
      </c>
      <c r="F16" s="4">
        <v>71</v>
      </c>
      <c r="G16" s="4">
        <v>159</v>
      </c>
      <c r="H16" s="4">
        <v>7676</v>
      </c>
      <c r="I16" s="4">
        <v>0</v>
      </c>
      <c r="J16" s="6"/>
      <c r="K16" s="3">
        <v>11</v>
      </c>
      <c r="L16" s="4">
        <v>1</v>
      </c>
      <c r="M16" s="4">
        <v>0</v>
      </c>
      <c r="N16" s="4">
        <v>1</v>
      </c>
      <c r="O16" s="4">
        <v>2</v>
      </c>
      <c r="P16" s="19">
        <v>6135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thickTop="1" thickBot="1" x14ac:dyDescent="0.35">
      <c r="A17" s="3">
        <v>12</v>
      </c>
      <c r="B17" s="4">
        <v>6869</v>
      </c>
      <c r="C17" s="4">
        <v>0</v>
      </c>
      <c r="D17" s="4">
        <v>1265</v>
      </c>
      <c r="E17" s="4">
        <v>240</v>
      </c>
      <c r="F17" s="4">
        <v>187</v>
      </c>
      <c r="G17" s="4">
        <v>402</v>
      </c>
      <c r="H17" s="4">
        <v>8963</v>
      </c>
      <c r="I17" s="4">
        <v>0</v>
      </c>
      <c r="J17" s="6"/>
      <c r="K17" s="3">
        <v>12</v>
      </c>
      <c r="L17" s="4">
        <v>8</v>
      </c>
      <c r="M17" s="4">
        <v>16</v>
      </c>
      <c r="N17" s="4">
        <v>2</v>
      </c>
      <c r="O17" s="4">
        <v>26</v>
      </c>
      <c r="P17" s="19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5629</v>
      </c>
      <c r="C18" s="4">
        <v>0</v>
      </c>
      <c r="D18" s="4">
        <v>1671</v>
      </c>
      <c r="E18" s="4">
        <v>298</v>
      </c>
      <c r="F18" s="4">
        <v>312</v>
      </c>
      <c r="G18" s="4">
        <v>468</v>
      </c>
      <c r="H18" s="4">
        <v>8378</v>
      </c>
      <c r="I18" s="4">
        <v>0</v>
      </c>
      <c r="J18" s="6"/>
      <c r="K18" s="3">
        <v>13</v>
      </c>
      <c r="L18" s="4">
        <v>8</v>
      </c>
      <c r="M18" s="4">
        <v>8</v>
      </c>
      <c r="N18" s="4">
        <v>3</v>
      </c>
      <c r="O18" s="4">
        <v>19</v>
      </c>
      <c r="P18" s="19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4751</v>
      </c>
      <c r="C19" s="4">
        <v>0</v>
      </c>
      <c r="D19" s="4">
        <v>1714</v>
      </c>
      <c r="E19" s="4">
        <v>296</v>
      </c>
      <c r="F19" s="4">
        <v>303</v>
      </c>
      <c r="G19" s="4">
        <v>481</v>
      </c>
      <c r="H19" s="4">
        <v>7545</v>
      </c>
      <c r="I19" s="4">
        <v>0</v>
      </c>
      <c r="J19" s="6"/>
      <c r="K19" s="3">
        <v>14</v>
      </c>
      <c r="L19" s="4">
        <v>14</v>
      </c>
      <c r="M19" s="4">
        <v>10</v>
      </c>
      <c r="N19" s="4">
        <v>6</v>
      </c>
      <c r="O19" s="4">
        <v>30</v>
      </c>
      <c r="P19" s="19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6482</v>
      </c>
      <c r="C20" s="4">
        <v>0</v>
      </c>
      <c r="D20" s="4">
        <v>1667</v>
      </c>
      <c r="E20" s="4">
        <v>289</v>
      </c>
      <c r="F20" s="4">
        <v>326</v>
      </c>
      <c r="G20" s="4">
        <v>461</v>
      </c>
      <c r="H20" s="4">
        <v>9225</v>
      </c>
      <c r="I20" s="4">
        <v>0</v>
      </c>
      <c r="J20" s="6"/>
      <c r="K20" s="3">
        <v>15</v>
      </c>
      <c r="L20" s="4">
        <v>8</v>
      </c>
      <c r="M20" s="4">
        <v>24</v>
      </c>
      <c r="N20" s="4">
        <v>2</v>
      </c>
      <c r="O20" s="4">
        <v>34</v>
      </c>
      <c r="P20" s="19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4653</v>
      </c>
      <c r="C21" s="4">
        <v>0</v>
      </c>
      <c r="D21" s="4">
        <v>1215</v>
      </c>
      <c r="E21" s="4">
        <v>237</v>
      </c>
      <c r="F21" s="4">
        <v>301</v>
      </c>
      <c r="G21" s="4">
        <v>344</v>
      </c>
      <c r="H21" s="4">
        <v>6750</v>
      </c>
      <c r="I21" s="4">
        <v>0</v>
      </c>
      <c r="J21" s="6"/>
      <c r="K21" s="3">
        <v>16</v>
      </c>
      <c r="L21" s="4">
        <v>8</v>
      </c>
      <c r="M21" s="4">
        <v>14</v>
      </c>
      <c r="N21" s="4">
        <v>0</v>
      </c>
      <c r="O21" s="4">
        <v>22</v>
      </c>
      <c r="P21" s="19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5399</v>
      </c>
      <c r="C22" s="4">
        <v>0</v>
      </c>
      <c r="D22" s="4">
        <v>877</v>
      </c>
      <c r="E22" s="4">
        <v>110</v>
      </c>
      <c r="F22" s="4">
        <v>168</v>
      </c>
      <c r="G22" s="4">
        <v>295</v>
      </c>
      <c r="H22" s="4">
        <v>6849</v>
      </c>
      <c r="I22" s="4">
        <v>0</v>
      </c>
      <c r="J22" s="6"/>
      <c r="K22" s="3">
        <v>17</v>
      </c>
      <c r="L22" s="4">
        <v>5</v>
      </c>
      <c r="M22" s="4">
        <v>6</v>
      </c>
      <c r="N22" s="4">
        <v>2</v>
      </c>
      <c r="O22" s="4">
        <v>13</v>
      </c>
      <c r="P22" s="1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3">
        <v>18</v>
      </c>
      <c r="B23" s="4">
        <v>5347</v>
      </c>
      <c r="C23" s="4">
        <v>0</v>
      </c>
      <c r="D23" s="4">
        <v>1105</v>
      </c>
      <c r="E23" s="4">
        <v>272</v>
      </c>
      <c r="F23" s="4">
        <v>204</v>
      </c>
      <c r="G23" s="4">
        <v>431</v>
      </c>
      <c r="H23" s="28">
        <v>7359</v>
      </c>
      <c r="I23" s="4">
        <v>0</v>
      </c>
      <c r="J23" s="6"/>
      <c r="K23" s="3">
        <v>18</v>
      </c>
      <c r="L23" s="4">
        <v>5</v>
      </c>
      <c r="M23" s="4">
        <v>12</v>
      </c>
      <c r="N23" s="4">
        <v>3</v>
      </c>
      <c r="O23" s="4">
        <v>20</v>
      </c>
      <c r="P23" s="19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4322</v>
      </c>
      <c r="C24" s="4">
        <v>0</v>
      </c>
      <c r="D24" s="4">
        <v>1435</v>
      </c>
      <c r="E24" s="4">
        <v>276</v>
      </c>
      <c r="F24" s="4">
        <v>292</v>
      </c>
      <c r="G24" s="4">
        <v>438</v>
      </c>
      <c r="H24" s="28">
        <v>6763</v>
      </c>
      <c r="I24" s="4">
        <v>0</v>
      </c>
      <c r="J24" s="6"/>
      <c r="K24" s="3">
        <v>19</v>
      </c>
      <c r="L24" s="4">
        <v>4</v>
      </c>
      <c r="M24" s="4">
        <v>14</v>
      </c>
      <c r="N24" s="4">
        <v>3</v>
      </c>
      <c r="O24" s="4">
        <v>21</v>
      </c>
      <c r="P24" s="19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4315</v>
      </c>
      <c r="C25" s="4">
        <v>0</v>
      </c>
      <c r="D25" s="4">
        <v>1636</v>
      </c>
      <c r="E25" s="4">
        <v>295</v>
      </c>
      <c r="F25" s="4">
        <v>320</v>
      </c>
      <c r="G25" s="4">
        <v>470</v>
      </c>
      <c r="H25" s="4">
        <v>7036</v>
      </c>
      <c r="I25" s="4">
        <v>0</v>
      </c>
      <c r="J25" s="6"/>
      <c r="K25" s="3">
        <v>20</v>
      </c>
      <c r="L25" s="4">
        <v>6</v>
      </c>
      <c r="M25" s="4">
        <v>14</v>
      </c>
      <c r="N25" s="4">
        <v>8</v>
      </c>
      <c r="O25" s="4">
        <v>28</v>
      </c>
      <c r="P25" s="19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4474</v>
      </c>
      <c r="C26" s="4">
        <v>0</v>
      </c>
      <c r="D26" s="4">
        <v>1612</v>
      </c>
      <c r="E26" s="4">
        <v>314</v>
      </c>
      <c r="F26" s="4">
        <v>305</v>
      </c>
      <c r="G26" s="4">
        <v>490</v>
      </c>
      <c r="H26" s="4">
        <v>7195</v>
      </c>
      <c r="I26" s="4">
        <v>0</v>
      </c>
      <c r="J26" s="6"/>
      <c r="K26" s="3">
        <v>21</v>
      </c>
      <c r="L26" s="4">
        <v>10</v>
      </c>
      <c r="M26" s="4">
        <v>9</v>
      </c>
      <c r="N26" s="4">
        <v>5</v>
      </c>
      <c r="O26" s="4">
        <v>24</v>
      </c>
      <c r="P26" s="19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6208</v>
      </c>
      <c r="C27" s="4">
        <v>0</v>
      </c>
      <c r="D27" s="4">
        <v>1450</v>
      </c>
      <c r="E27" s="4">
        <v>263</v>
      </c>
      <c r="F27" s="4">
        <v>294</v>
      </c>
      <c r="G27" s="4">
        <v>398</v>
      </c>
      <c r="H27" s="4">
        <v>8613</v>
      </c>
      <c r="I27" s="4">
        <v>0</v>
      </c>
      <c r="J27" s="6"/>
      <c r="K27" s="3">
        <v>22</v>
      </c>
      <c r="L27" s="4">
        <v>6</v>
      </c>
      <c r="M27" s="4">
        <v>16</v>
      </c>
      <c r="N27" s="4">
        <v>1</v>
      </c>
      <c r="O27" s="4">
        <v>23</v>
      </c>
      <c r="P27" s="19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3949</v>
      </c>
      <c r="C28" s="4">
        <v>0</v>
      </c>
      <c r="D28" s="4">
        <v>1185</v>
      </c>
      <c r="E28" s="4">
        <v>203</v>
      </c>
      <c r="F28" s="4">
        <v>274</v>
      </c>
      <c r="G28" s="4">
        <v>397</v>
      </c>
      <c r="H28" s="4">
        <v>6008</v>
      </c>
      <c r="I28" s="4">
        <v>0</v>
      </c>
      <c r="J28" s="6"/>
      <c r="K28" s="3">
        <v>23</v>
      </c>
      <c r="L28" s="4">
        <v>2</v>
      </c>
      <c r="M28" s="4">
        <v>18</v>
      </c>
      <c r="N28" s="4">
        <v>6</v>
      </c>
      <c r="O28" s="4">
        <v>26</v>
      </c>
      <c r="P28" s="19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3780</v>
      </c>
      <c r="C29" s="4">
        <v>0</v>
      </c>
      <c r="D29" s="4">
        <v>798</v>
      </c>
      <c r="E29" s="4">
        <v>146</v>
      </c>
      <c r="F29" s="4">
        <v>164</v>
      </c>
      <c r="G29" s="4">
        <v>283</v>
      </c>
      <c r="H29" s="4">
        <v>5171</v>
      </c>
      <c r="I29" s="4">
        <v>0</v>
      </c>
      <c r="J29" s="6"/>
      <c r="K29" s="3">
        <v>24</v>
      </c>
      <c r="L29" s="4">
        <v>8</v>
      </c>
      <c r="M29" s="4">
        <v>14</v>
      </c>
      <c r="N29" s="4">
        <v>4</v>
      </c>
      <c r="O29" s="4">
        <v>26</v>
      </c>
      <c r="P29" s="19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5172</v>
      </c>
      <c r="C30" s="4">
        <v>0</v>
      </c>
      <c r="D30" s="4">
        <v>1160</v>
      </c>
      <c r="E30" s="4">
        <v>253</v>
      </c>
      <c r="F30" s="4">
        <v>199</v>
      </c>
      <c r="G30" s="4">
        <v>380</v>
      </c>
      <c r="H30" s="4">
        <v>7164</v>
      </c>
      <c r="I30" s="4">
        <v>0</v>
      </c>
      <c r="J30" s="6"/>
      <c r="K30" s="3">
        <v>25</v>
      </c>
      <c r="L30" s="4">
        <v>3</v>
      </c>
      <c r="M30" s="4">
        <v>6</v>
      </c>
      <c r="N30" s="4">
        <v>5</v>
      </c>
      <c r="O30" s="4">
        <v>14</v>
      </c>
      <c r="P30" s="19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3999</v>
      </c>
      <c r="C31" s="4">
        <v>0</v>
      </c>
      <c r="D31" s="4">
        <v>1516</v>
      </c>
      <c r="E31" s="4">
        <v>257</v>
      </c>
      <c r="F31" s="4">
        <v>273</v>
      </c>
      <c r="G31" s="4">
        <v>430</v>
      </c>
      <c r="H31" s="4">
        <v>6475</v>
      </c>
      <c r="I31" s="4">
        <v>0</v>
      </c>
      <c r="J31" s="6"/>
      <c r="K31" s="3">
        <v>26</v>
      </c>
      <c r="L31" s="4">
        <v>6</v>
      </c>
      <c r="M31" s="4">
        <v>14</v>
      </c>
      <c r="N31" s="4">
        <v>5</v>
      </c>
      <c r="O31" s="4">
        <v>25</v>
      </c>
      <c r="P31" s="19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3956</v>
      </c>
      <c r="C32" s="4">
        <v>0</v>
      </c>
      <c r="D32" s="4">
        <v>1738</v>
      </c>
      <c r="E32" s="4">
        <v>306</v>
      </c>
      <c r="F32" s="4">
        <v>360</v>
      </c>
      <c r="G32" s="4">
        <v>443</v>
      </c>
      <c r="H32" s="4">
        <v>6803</v>
      </c>
      <c r="I32" s="4">
        <v>0</v>
      </c>
      <c r="J32" s="6"/>
      <c r="K32" s="3">
        <v>27</v>
      </c>
      <c r="L32" s="4">
        <v>6</v>
      </c>
      <c r="M32" s="4">
        <v>10</v>
      </c>
      <c r="N32" s="4">
        <v>5</v>
      </c>
      <c r="O32" s="4">
        <v>21</v>
      </c>
      <c r="P32" s="19">
        <v>6135</v>
      </c>
    </row>
    <row r="33" spans="1:16" ht="15.6" thickTop="1" thickBot="1" x14ac:dyDescent="0.35">
      <c r="A33" s="3">
        <v>28</v>
      </c>
      <c r="B33" s="4">
        <v>4223</v>
      </c>
      <c r="C33" s="4">
        <v>0</v>
      </c>
      <c r="D33" s="4">
        <v>1591</v>
      </c>
      <c r="E33" s="4">
        <v>326</v>
      </c>
      <c r="F33" s="4">
        <v>320</v>
      </c>
      <c r="G33" s="4">
        <v>377</v>
      </c>
      <c r="H33" s="4">
        <v>6837</v>
      </c>
      <c r="I33" s="4">
        <v>0</v>
      </c>
      <c r="J33" s="6"/>
      <c r="K33" s="3">
        <v>28</v>
      </c>
      <c r="L33" s="4">
        <v>2</v>
      </c>
      <c r="M33" s="4">
        <v>17</v>
      </c>
      <c r="N33" s="4">
        <v>6</v>
      </c>
      <c r="O33" s="4">
        <v>25</v>
      </c>
      <c r="P33" s="19">
        <v>6135</v>
      </c>
    </row>
    <row r="34" spans="1:16" ht="15.6" thickTop="1" thickBot="1" x14ac:dyDescent="0.35">
      <c r="A34" s="3">
        <v>29</v>
      </c>
      <c r="B34" s="4">
        <v>5479</v>
      </c>
      <c r="C34" s="4">
        <v>0</v>
      </c>
      <c r="D34" s="4">
        <v>1382</v>
      </c>
      <c r="E34" s="4">
        <v>276</v>
      </c>
      <c r="F34" s="4">
        <v>237</v>
      </c>
      <c r="G34" s="4">
        <v>367</v>
      </c>
      <c r="H34" s="4">
        <v>7741</v>
      </c>
      <c r="I34" s="4">
        <v>0</v>
      </c>
      <c r="J34" s="6"/>
      <c r="K34" s="3">
        <v>29</v>
      </c>
      <c r="L34" s="4">
        <v>4</v>
      </c>
      <c r="M34" s="4">
        <v>10</v>
      </c>
      <c r="N34" s="4">
        <v>11</v>
      </c>
      <c r="O34" s="4">
        <v>25</v>
      </c>
      <c r="P34" s="19">
        <v>6135</v>
      </c>
    </row>
    <row r="35" spans="1:16" ht="15.6" thickTop="1" thickBot="1" x14ac:dyDescent="0.35">
      <c r="A35" s="3">
        <v>30</v>
      </c>
      <c r="B35" s="4">
        <v>5610</v>
      </c>
      <c r="C35" s="4">
        <v>0</v>
      </c>
      <c r="D35" s="4">
        <v>1315</v>
      </c>
      <c r="E35" s="4">
        <v>215</v>
      </c>
      <c r="F35" s="4">
        <v>261</v>
      </c>
      <c r="G35" s="4">
        <v>368</v>
      </c>
      <c r="H35" s="4">
        <v>7769</v>
      </c>
      <c r="I35" s="4">
        <v>0</v>
      </c>
      <c r="J35" s="6"/>
      <c r="K35" s="3">
        <v>30</v>
      </c>
      <c r="L35" s="4">
        <v>17</v>
      </c>
      <c r="M35" s="4">
        <v>13</v>
      </c>
      <c r="N35" s="4">
        <v>3</v>
      </c>
      <c r="O35" s="4">
        <v>33</v>
      </c>
      <c r="P35" s="19">
        <v>6135</v>
      </c>
    </row>
    <row r="36" spans="1:16" ht="15.6" thickTop="1" thickBot="1" x14ac:dyDescent="0.35">
      <c r="A36" s="3">
        <v>31</v>
      </c>
      <c r="B36" s="4">
        <v>7045</v>
      </c>
      <c r="C36" s="4">
        <v>0</v>
      </c>
      <c r="D36" s="4">
        <v>918</v>
      </c>
      <c r="E36" s="4">
        <v>124</v>
      </c>
      <c r="F36" s="4">
        <v>130</v>
      </c>
      <c r="G36" s="4">
        <v>251</v>
      </c>
      <c r="H36" s="4">
        <v>8468</v>
      </c>
      <c r="I36" s="4">
        <v>0</v>
      </c>
      <c r="J36" s="6"/>
      <c r="K36" s="3">
        <v>31</v>
      </c>
      <c r="L36" s="27">
        <v>3</v>
      </c>
      <c r="M36" s="27">
        <v>14</v>
      </c>
      <c r="N36" s="27">
        <v>4</v>
      </c>
      <c r="O36" s="4">
        <v>21</v>
      </c>
      <c r="P36" s="19">
        <v>6135</v>
      </c>
    </row>
    <row r="37" spans="1:16" ht="15" thickTop="1" x14ac:dyDescent="0.3">
      <c r="A37" s="11" t="s">
        <v>19</v>
      </c>
      <c r="B37" s="12">
        <v>197045</v>
      </c>
      <c r="C37" s="12">
        <v>0</v>
      </c>
      <c r="D37" s="12">
        <v>38733</v>
      </c>
      <c r="E37" s="12">
        <v>6978</v>
      </c>
      <c r="F37" s="12">
        <v>7366</v>
      </c>
      <c r="G37" s="12">
        <v>11320</v>
      </c>
      <c r="H37" s="12">
        <v>261442</v>
      </c>
      <c r="I37" s="12">
        <v>0</v>
      </c>
      <c r="J37" s="12"/>
      <c r="K37" s="12"/>
      <c r="L37" s="12">
        <v>180</v>
      </c>
      <c r="M37" s="12">
        <v>357</v>
      </c>
      <c r="N37" s="12">
        <v>113</v>
      </c>
      <c r="O37" s="153">
        <v>650</v>
      </c>
      <c r="P37" s="12">
        <v>190185</v>
      </c>
    </row>
    <row r="38" spans="1:16" x14ac:dyDescent="0.3">
      <c r="A38" s="11" t="s">
        <v>19</v>
      </c>
      <c r="B38" s="157">
        <v>197045</v>
      </c>
      <c r="C38" s="157"/>
      <c r="D38" s="12">
        <v>38733</v>
      </c>
      <c r="E38" s="12">
        <v>6978</v>
      </c>
      <c r="F38" s="12">
        <v>7366</v>
      </c>
      <c r="G38" s="12">
        <v>11320</v>
      </c>
      <c r="H38" s="153">
        <v>261442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4"/>
      <c r="C39" s="14"/>
      <c r="D39" s="14"/>
      <c r="E39" s="14"/>
      <c r="F39" s="14"/>
      <c r="G39" s="14"/>
      <c r="H39" s="14"/>
      <c r="I39" s="1"/>
      <c r="J39" s="1"/>
      <c r="K39" s="1"/>
      <c r="L39" s="17"/>
      <c r="M39" s="1"/>
      <c r="N39" s="1"/>
      <c r="O39" s="1"/>
      <c r="P39" s="1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17"/>
      <c r="K40" s="26"/>
      <c r="L40" s="25"/>
      <c r="M40" s="1"/>
      <c r="N40" s="1"/>
      <c r="O40" s="1"/>
      <c r="P40" s="1"/>
    </row>
    <row r="41" spans="1:16" x14ac:dyDescent="0.3">
      <c r="A41" s="13"/>
      <c r="B41" s="1"/>
      <c r="C41" s="1"/>
      <c r="D41" s="1"/>
      <c r="E41" s="1"/>
      <c r="F41" s="1"/>
      <c r="G41" s="1"/>
      <c r="H41" s="13"/>
      <c r="I41" s="1"/>
      <c r="J41" s="1"/>
      <c r="K41" s="26"/>
      <c r="L41" s="25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6"/>
      <c r="L42" s="25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3"/>
      <c r="J43" s="13"/>
      <c r="K43" s="1"/>
      <c r="L43" s="1"/>
      <c r="M43" s="1"/>
      <c r="N43" s="1"/>
      <c r="O43" s="1"/>
      <c r="P43" s="1"/>
    </row>
    <row r="45" spans="1:16" x14ac:dyDescent="0.3">
      <c r="A45" s="2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2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7C44-61C9-470A-A6A2-1E45B0A2DB7F}">
  <dimension ref="A1:Z46"/>
  <sheetViews>
    <sheetView topLeftCell="A23" workbookViewId="0">
      <selection activeCell="C8" sqref="C8"/>
    </sheetView>
  </sheetViews>
  <sheetFormatPr baseColWidth="10" defaultColWidth="11.44140625" defaultRowHeight="13.8" x14ac:dyDescent="0.3"/>
  <cols>
    <col min="1" max="9" width="12.6640625" style="33" customWidth="1"/>
    <col min="10" max="10" width="4.6640625" style="33" customWidth="1"/>
    <col min="11" max="11" width="12.5546875" style="49" customWidth="1"/>
    <col min="12" max="15" width="12.5546875" style="33" customWidth="1"/>
    <col min="16" max="16" width="0" style="33" hidden="1" customWidth="1"/>
    <col min="17" max="16384" width="11.44140625" style="33"/>
  </cols>
  <sheetData>
    <row r="1" spans="1:19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9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19" s="29" customFormat="1" ht="15.6" x14ac:dyDescent="0.3">
      <c r="A3" s="165" t="s">
        <v>23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</row>
    <row r="4" spans="1:19" ht="78" customHeight="1" x14ac:dyDescent="0.3">
      <c r="A4" s="166" t="s">
        <v>1</v>
      </c>
      <c r="B4" s="163" t="s">
        <v>2</v>
      </c>
      <c r="C4" s="163"/>
      <c r="D4" s="30" t="s">
        <v>3</v>
      </c>
      <c r="E4" s="30" t="s">
        <v>4</v>
      </c>
      <c r="F4" s="30" t="s">
        <v>5</v>
      </c>
      <c r="G4" s="30" t="s">
        <v>6</v>
      </c>
      <c r="H4" s="163" t="s">
        <v>7</v>
      </c>
      <c r="I4" s="163" t="s">
        <v>8</v>
      </c>
      <c r="J4" s="31"/>
      <c r="K4" s="168" t="s">
        <v>1</v>
      </c>
      <c r="L4" s="163" t="s">
        <v>9</v>
      </c>
      <c r="M4" s="163" t="s">
        <v>10</v>
      </c>
      <c r="N4" s="163" t="s">
        <v>11</v>
      </c>
      <c r="O4" s="163" t="s">
        <v>12</v>
      </c>
    </row>
    <row r="5" spans="1:19" ht="24" customHeight="1" x14ac:dyDescent="0.3">
      <c r="A5" s="167"/>
      <c r="B5" s="32" t="s">
        <v>13</v>
      </c>
      <c r="C5" s="32" t="s">
        <v>14</v>
      </c>
      <c r="D5" s="32" t="s">
        <v>15</v>
      </c>
      <c r="E5" s="32" t="s">
        <v>16</v>
      </c>
      <c r="F5" s="32" t="s">
        <v>17</v>
      </c>
      <c r="G5" s="32" t="s">
        <v>18</v>
      </c>
      <c r="H5" s="163"/>
      <c r="I5" s="163"/>
      <c r="J5" s="31"/>
      <c r="K5" s="168"/>
      <c r="L5" s="163"/>
      <c r="M5" s="163"/>
      <c r="N5" s="163"/>
      <c r="O5" s="163"/>
    </row>
    <row r="6" spans="1:19" ht="18" customHeight="1" thickBot="1" x14ac:dyDescent="0.35">
      <c r="A6" s="34">
        <v>1</v>
      </c>
      <c r="B6" s="35">
        <v>4091</v>
      </c>
      <c r="C6" s="35">
        <v>0</v>
      </c>
      <c r="D6" s="35">
        <v>1206</v>
      </c>
      <c r="E6" s="35">
        <v>258</v>
      </c>
      <c r="F6" s="35">
        <v>169</v>
      </c>
      <c r="G6" s="35">
        <v>312</v>
      </c>
      <c r="H6" s="35">
        <f>SUM(B6:G6)</f>
        <v>6036</v>
      </c>
      <c r="I6" s="35">
        <v>0</v>
      </c>
      <c r="J6" s="36"/>
      <c r="K6" s="34">
        <v>1</v>
      </c>
      <c r="L6" s="35">
        <v>3</v>
      </c>
      <c r="M6" s="35">
        <v>6</v>
      </c>
      <c r="N6" s="35">
        <v>2</v>
      </c>
      <c r="O6" s="35">
        <f>SUM(L6:N6)</f>
        <v>11</v>
      </c>
      <c r="P6" s="37">
        <v>6135</v>
      </c>
    </row>
    <row r="7" spans="1:19" ht="18" customHeight="1" thickTop="1" thickBot="1" x14ac:dyDescent="0.35">
      <c r="A7" s="34">
        <v>2</v>
      </c>
      <c r="B7" s="35">
        <v>3525</v>
      </c>
      <c r="C7" s="35">
        <v>0</v>
      </c>
      <c r="D7" s="35">
        <v>1380</v>
      </c>
      <c r="E7" s="35">
        <v>260</v>
      </c>
      <c r="F7" s="35">
        <v>205</v>
      </c>
      <c r="G7" s="35">
        <v>342</v>
      </c>
      <c r="H7" s="35">
        <f t="shared" ref="H7:H36" si="0">SUM(B7:G7)</f>
        <v>5712</v>
      </c>
      <c r="I7" s="35">
        <v>0</v>
      </c>
      <c r="J7" s="36"/>
      <c r="K7" s="34">
        <v>2</v>
      </c>
      <c r="L7" s="35">
        <v>3</v>
      </c>
      <c r="M7" s="35">
        <v>10</v>
      </c>
      <c r="N7" s="35">
        <v>4</v>
      </c>
      <c r="O7" s="35">
        <f t="shared" ref="O7:O33" si="1">SUM(L7:N7)</f>
        <v>17</v>
      </c>
      <c r="P7" s="37">
        <f>+P6</f>
        <v>6135</v>
      </c>
    </row>
    <row r="8" spans="1:19" ht="18" customHeight="1" thickTop="1" thickBot="1" x14ac:dyDescent="0.35">
      <c r="A8" s="34">
        <v>3</v>
      </c>
      <c r="B8" s="35">
        <v>3604</v>
      </c>
      <c r="C8" s="35">
        <v>0</v>
      </c>
      <c r="D8" s="35">
        <v>1480</v>
      </c>
      <c r="E8" s="35">
        <v>254</v>
      </c>
      <c r="F8" s="35">
        <v>265</v>
      </c>
      <c r="G8" s="35">
        <v>389</v>
      </c>
      <c r="H8" s="35">
        <f t="shared" si="0"/>
        <v>5992</v>
      </c>
      <c r="I8" s="35">
        <v>0</v>
      </c>
      <c r="J8" s="36"/>
      <c r="K8" s="34">
        <v>3</v>
      </c>
      <c r="L8" s="35">
        <v>2</v>
      </c>
      <c r="M8" s="35">
        <v>7</v>
      </c>
      <c r="N8" s="35">
        <v>4</v>
      </c>
      <c r="O8" s="35">
        <f t="shared" si="1"/>
        <v>13</v>
      </c>
      <c r="P8" s="37">
        <f t="shared" ref="P8:P36" si="2">+P7</f>
        <v>6135</v>
      </c>
      <c r="S8" s="38"/>
    </row>
    <row r="9" spans="1:19" ht="18" customHeight="1" thickTop="1" thickBot="1" x14ac:dyDescent="0.35">
      <c r="A9" s="34">
        <v>4</v>
      </c>
      <c r="B9" s="35">
        <v>3878</v>
      </c>
      <c r="C9" s="35">
        <v>0</v>
      </c>
      <c r="D9" s="35">
        <v>1513</v>
      </c>
      <c r="E9" s="35">
        <v>307</v>
      </c>
      <c r="F9" s="35">
        <v>279</v>
      </c>
      <c r="G9" s="35">
        <v>439</v>
      </c>
      <c r="H9" s="35">
        <f t="shared" si="0"/>
        <v>6416</v>
      </c>
      <c r="I9" s="35">
        <v>0</v>
      </c>
      <c r="J9" s="36"/>
      <c r="K9" s="34">
        <v>4</v>
      </c>
      <c r="L9" s="35">
        <v>8</v>
      </c>
      <c r="M9" s="35">
        <v>12</v>
      </c>
      <c r="N9" s="35">
        <v>7</v>
      </c>
      <c r="O9" s="35">
        <f t="shared" si="1"/>
        <v>27</v>
      </c>
      <c r="P9" s="37">
        <f t="shared" si="2"/>
        <v>6135</v>
      </c>
    </row>
    <row r="10" spans="1:19" ht="18" customHeight="1" thickTop="1" thickBot="1" x14ac:dyDescent="0.35">
      <c r="A10" s="34">
        <v>5</v>
      </c>
      <c r="B10" s="35">
        <v>5301</v>
      </c>
      <c r="C10" s="35">
        <v>0</v>
      </c>
      <c r="D10" s="35">
        <v>1387</v>
      </c>
      <c r="E10" s="35">
        <v>223</v>
      </c>
      <c r="F10" s="35">
        <v>242</v>
      </c>
      <c r="G10" s="35">
        <v>386</v>
      </c>
      <c r="H10" s="35">
        <f t="shared" si="0"/>
        <v>7539</v>
      </c>
      <c r="I10" s="35">
        <v>0</v>
      </c>
      <c r="J10" s="36"/>
      <c r="K10" s="34">
        <v>5</v>
      </c>
      <c r="L10" s="35">
        <v>4</v>
      </c>
      <c r="M10" s="35">
        <v>10</v>
      </c>
      <c r="N10" s="35">
        <v>6</v>
      </c>
      <c r="O10" s="35">
        <f t="shared" si="1"/>
        <v>20</v>
      </c>
      <c r="P10" s="37">
        <f t="shared" si="2"/>
        <v>6135</v>
      </c>
    </row>
    <row r="11" spans="1:19" ht="18" customHeight="1" thickTop="1" thickBot="1" x14ac:dyDescent="0.35">
      <c r="A11" s="34">
        <v>6</v>
      </c>
      <c r="B11" s="35">
        <v>5964</v>
      </c>
      <c r="C11" s="35">
        <v>0</v>
      </c>
      <c r="D11" s="35">
        <v>1294</v>
      </c>
      <c r="E11" s="35">
        <v>180</v>
      </c>
      <c r="F11" s="35">
        <v>281</v>
      </c>
      <c r="G11" s="35">
        <v>351</v>
      </c>
      <c r="H11" s="35">
        <f t="shared" si="0"/>
        <v>8070</v>
      </c>
      <c r="I11" s="35">
        <v>0</v>
      </c>
      <c r="J11" s="36"/>
      <c r="K11" s="34">
        <v>6</v>
      </c>
      <c r="L11" s="35">
        <v>10</v>
      </c>
      <c r="M11" s="35">
        <v>10</v>
      </c>
      <c r="N11" s="35">
        <v>5</v>
      </c>
      <c r="O11" s="35">
        <f t="shared" si="1"/>
        <v>25</v>
      </c>
      <c r="P11" s="37">
        <f t="shared" si="2"/>
        <v>6135</v>
      </c>
    </row>
    <row r="12" spans="1:19" ht="18" customHeight="1" thickTop="1" thickBot="1" x14ac:dyDescent="0.35">
      <c r="A12" s="34">
        <v>7</v>
      </c>
      <c r="B12" s="35">
        <v>8028</v>
      </c>
      <c r="C12" s="35">
        <v>0</v>
      </c>
      <c r="D12" s="35">
        <v>981</v>
      </c>
      <c r="E12" s="35">
        <v>145</v>
      </c>
      <c r="F12" s="35">
        <v>170</v>
      </c>
      <c r="G12" s="35">
        <v>284</v>
      </c>
      <c r="H12" s="35">
        <f>SUM(B12:G12)</f>
        <v>9608</v>
      </c>
      <c r="I12" s="35">
        <v>0</v>
      </c>
      <c r="J12" s="39"/>
      <c r="K12" s="34">
        <v>7</v>
      </c>
      <c r="L12" s="35">
        <v>2</v>
      </c>
      <c r="M12" s="35">
        <v>16</v>
      </c>
      <c r="N12" s="35">
        <v>3</v>
      </c>
      <c r="O12" s="35">
        <f t="shared" si="1"/>
        <v>21</v>
      </c>
      <c r="P12" s="37">
        <f t="shared" si="2"/>
        <v>6135</v>
      </c>
    </row>
    <row r="13" spans="1:19" ht="18" customHeight="1" thickTop="1" thickBot="1" x14ac:dyDescent="0.35">
      <c r="A13" s="34">
        <v>8</v>
      </c>
      <c r="B13" s="35">
        <v>3938</v>
      </c>
      <c r="C13" s="35">
        <v>0</v>
      </c>
      <c r="D13" s="35">
        <v>1152</v>
      </c>
      <c r="E13" s="35">
        <v>225</v>
      </c>
      <c r="F13" s="35">
        <v>196</v>
      </c>
      <c r="G13" s="35">
        <v>382</v>
      </c>
      <c r="H13" s="35">
        <f t="shared" si="0"/>
        <v>5893</v>
      </c>
      <c r="I13" s="35">
        <v>0</v>
      </c>
      <c r="J13" s="39"/>
      <c r="K13" s="34">
        <v>8</v>
      </c>
      <c r="L13" s="35">
        <v>2</v>
      </c>
      <c r="M13" s="35">
        <v>6</v>
      </c>
      <c r="N13" s="35">
        <v>2</v>
      </c>
      <c r="O13" s="35">
        <f t="shared" si="1"/>
        <v>10</v>
      </c>
      <c r="P13" s="37">
        <f t="shared" si="2"/>
        <v>6135</v>
      </c>
    </row>
    <row r="14" spans="1:19" s="41" customFormat="1" ht="18" customHeight="1" thickTop="1" thickBot="1" x14ac:dyDescent="0.35">
      <c r="A14" s="34">
        <v>9</v>
      </c>
      <c r="B14" s="35">
        <v>3519</v>
      </c>
      <c r="C14" s="35">
        <v>0</v>
      </c>
      <c r="D14" s="35">
        <v>1364</v>
      </c>
      <c r="E14" s="35">
        <v>244</v>
      </c>
      <c r="F14" s="35">
        <v>238</v>
      </c>
      <c r="G14" s="35">
        <v>383</v>
      </c>
      <c r="H14" s="35">
        <f t="shared" si="0"/>
        <v>5748</v>
      </c>
      <c r="I14" s="35">
        <v>0</v>
      </c>
      <c r="J14" s="39"/>
      <c r="K14" s="34">
        <v>9</v>
      </c>
      <c r="L14" s="35">
        <v>4</v>
      </c>
      <c r="M14" s="35">
        <v>23</v>
      </c>
      <c r="N14" s="35">
        <v>7</v>
      </c>
      <c r="O14" s="35">
        <f t="shared" si="1"/>
        <v>34</v>
      </c>
      <c r="P14" s="40">
        <f t="shared" si="2"/>
        <v>6135</v>
      </c>
    </row>
    <row r="15" spans="1:19" ht="18" customHeight="1" thickTop="1" thickBot="1" x14ac:dyDescent="0.35">
      <c r="A15" s="34">
        <v>10</v>
      </c>
      <c r="B15" s="35">
        <v>3641</v>
      </c>
      <c r="C15" s="35">
        <v>0</v>
      </c>
      <c r="D15" s="35">
        <v>1554</v>
      </c>
      <c r="E15" s="35">
        <v>272</v>
      </c>
      <c r="F15" s="35">
        <v>284</v>
      </c>
      <c r="G15" s="35">
        <v>449</v>
      </c>
      <c r="H15" s="35">
        <f t="shared" si="0"/>
        <v>6200</v>
      </c>
      <c r="I15" s="35">
        <v>0</v>
      </c>
      <c r="J15" s="39"/>
      <c r="K15" s="34">
        <v>10</v>
      </c>
      <c r="L15" s="35">
        <v>5</v>
      </c>
      <c r="M15" s="35">
        <v>10</v>
      </c>
      <c r="N15" s="35">
        <v>7</v>
      </c>
      <c r="O15" s="35">
        <f t="shared" si="1"/>
        <v>22</v>
      </c>
      <c r="P15" s="37">
        <f t="shared" si="2"/>
        <v>6135</v>
      </c>
    </row>
    <row r="16" spans="1:19" ht="18" customHeight="1" thickTop="1" thickBot="1" x14ac:dyDescent="0.35">
      <c r="A16" s="34">
        <v>11</v>
      </c>
      <c r="B16" s="35">
        <v>3918</v>
      </c>
      <c r="C16" s="35">
        <v>0</v>
      </c>
      <c r="D16" s="35">
        <v>1496</v>
      </c>
      <c r="E16" s="35">
        <v>266</v>
      </c>
      <c r="F16" s="35">
        <v>266</v>
      </c>
      <c r="G16" s="35">
        <v>479</v>
      </c>
      <c r="H16" s="35">
        <f t="shared" si="0"/>
        <v>6425</v>
      </c>
      <c r="I16" s="35">
        <v>0</v>
      </c>
      <c r="J16" s="39"/>
      <c r="K16" s="34">
        <v>11</v>
      </c>
      <c r="L16" s="35">
        <v>9</v>
      </c>
      <c r="M16" s="35">
        <v>14</v>
      </c>
      <c r="N16" s="35">
        <v>7</v>
      </c>
      <c r="O16" s="35">
        <f t="shared" si="1"/>
        <v>30</v>
      </c>
      <c r="P16" s="37">
        <f t="shared" si="2"/>
        <v>6135</v>
      </c>
    </row>
    <row r="17" spans="1:26" ht="18" customHeight="1" thickTop="1" thickBot="1" x14ac:dyDescent="0.35">
      <c r="A17" s="34">
        <v>12</v>
      </c>
      <c r="B17" s="35">
        <v>5502</v>
      </c>
      <c r="C17" s="35">
        <v>0</v>
      </c>
      <c r="D17" s="35">
        <v>1423</v>
      </c>
      <c r="E17" s="35">
        <v>252</v>
      </c>
      <c r="F17" s="35">
        <v>225</v>
      </c>
      <c r="G17" s="35">
        <v>374</v>
      </c>
      <c r="H17" s="35">
        <f t="shared" si="0"/>
        <v>7776</v>
      </c>
      <c r="I17" s="35">
        <v>0</v>
      </c>
      <c r="J17" s="39"/>
      <c r="K17" s="34">
        <v>12</v>
      </c>
      <c r="L17" s="35">
        <v>7</v>
      </c>
      <c r="M17" s="35">
        <v>12</v>
      </c>
      <c r="N17" s="35">
        <v>3</v>
      </c>
      <c r="O17" s="35">
        <f t="shared" si="1"/>
        <v>22</v>
      </c>
      <c r="P17" s="37">
        <f t="shared" si="2"/>
        <v>6135</v>
      </c>
    </row>
    <row r="18" spans="1:26" ht="18" customHeight="1" thickTop="1" thickBot="1" x14ac:dyDescent="0.35">
      <c r="A18" s="34">
        <v>13</v>
      </c>
      <c r="B18" s="35">
        <v>6264</v>
      </c>
      <c r="C18" s="35">
        <v>0</v>
      </c>
      <c r="D18" s="35">
        <v>1291</v>
      </c>
      <c r="E18" s="35">
        <v>224</v>
      </c>
      <c r="F18" s="35">
        <v>251</v>
      </c>
      <c r="G18" s="35">
        <v>352</v>
      </c>
      <c r="H18" s="35">
        <f t="shared" si="0"/>
        <v>8382</v>
      </c>
      <c r="I18" s="35">
        <v>0</v>
      </c>
      <c r="J18" s="39"/>
      <c r="K18" s="34">
        <v>13</v>
      </c>
      <c r="L18" s="35">
        <v>8</v>
      </c>
      <c r="M18" s="35">
        <v>14</v>
      </c>
      <c r="N18" s="35">
        <v>5</v>
      </c>
      <c r="O18" s="35">
        <f t="shared" si="1"/>
        <v>27</v>
      </c>
      <c r="P18" s="37">
        <f t="shared" si="2"/>
        <v>6135</v>
      </c>
    </row>
    <row r="19" spans="1:26" ht="18" customHeight="1" thickTop="1" thickBot="1" x14ac:dyDescent="0.35">
      <c r="A19" s="34">
        <v>14</v>
      </c>
      <c r="B19" s="35">
        <v>8119</v>
      </c>
      <c r="C19" s="35">
        <v>0</v>
      </c>
      <c r="D19" s="35">
        <v>966</v>
      </c>
      <c r="E19" s="35">
        <v>149</v>
      </c>
      <c r="F19" s="35">
        <v>156</v>
      </c>
      <c r="G19" s="35">
        <v>278</v>
      </c>
      <c r="H19" s="35">
        <f t="shared" si="0"/>
        <v>9668</v>
      </c>
      <c r="I19" s="35">
        <v>0</v>
      </c>
      <c r="J19" s="39"/>
      <c r="K19" s="34">
        <v>14</v>
      </c>
      <c r="L19" s="35">
        <v>1</v>
      </c>
      <c r="M19" s="35">
        <v>17</v>
      </c>
      <c r="N19" s="35">
        <v>3</v>
      </c>
      <c r="O19" s="35">
        <f t="shared" si="1"/>
        <v>21</v>
      </c>
      <c r="P19" s="37">
        <f t="shared" si="2"/>
        <v>6135</v>
      </c>
    </row>
    <row r="20" spans="1:26" ht="18" customHeight="1" thickTop="1" thickBot="1" x14ac:dyDescent="0.35">
      <c r="A20" s="34">
        <v>15</v>
      </c>
      <c r="B20" s="35">
        <v>4091</v>
      </c>
      <c r="C20" s="35">
        <v>0</v>
      </c>
      <c r="D20" s="35">
        <v>1061</v>
      </c>
      <c r="E20" s="35">
        <v>198</v>
      </c>
      <c r="F20" s="35">
        <v>190</v>
      </c>
      <c r="G20" s="35">
        <v>372</v>
      </c>
      <c r="H20" s="35">
        <f t="shared" si="0"/>
        <v>5912</v>
      </c>
      <c r="I20" s="35">
        <v>0</v>
      </c>
      <c r="J20" s="39"/>
      <c r="K20" s="34">
        <v>15</v>
      </c>
      <c r="L20" s="35">
        <v>0</v>
      </c>
      <c r="M20" s="35">
        <v>13</v>
      </c>
      <c r="N20" s="35">
        <v>1</v>
      </c>
      <c r="O20" s="35">
        <f t="shared" si="1"/>
        <v>14</v>
      </c>
      <c r="P20" s="37">
        <f t="shared" si="2"/>
        <v>6135</v>
      </c>
    </row>
    <row r="21" spans="1:26" ht="18" customHeight="1" thickTop="1" thickBot="1" x14ac:dyDescent="0.35">
      <c r="A21" s="34">
        <v>16</v>
      </c>
      <c r="B21" s="35">
        <v>3664</v>
      </c>
      <c r="C21" s="35">
        <v>0</v>
      </c>
      <c r="D21" s="35">
        <v>1519</v>
      </c>
      <c r="E21" s="35">
        <v>251</v>
      </c>
      <c r="F21" s="35">
        <v>248</v>
      </c>
      <c r="G21" s="35">
        <v>383</v>
      </c>
      <c r="H21" s="35">
        <f t="shared" si="0"/>
        <v>6065</v>
      </c>
      <c r="I21" s="35">
        <v>0</v>
      </c>
      <c r="J21" s="39"/>
      <c r="K21" s="34">
        <v>16</v>
      </c>
      <c r="L21" s="35">
        <v>8</v>
      </c>
      <c r="M21" s="35">
        <v>12</v>
      </c>
      <c r="N21" s="35">
        <v>5</v>
      </c>
      <c r="O21" s="35">
        <f t="shared" si="1"/>
        <v>25</v>
      </c>
      <c r="P21" s="37">
        <f>+P20</f>
        <v>6135</v>
      </c>
    </row>
    <row r="22" spans="1:26" ht="18" customHeight="1" thickTop="1" thickBot="1" x14ac:dyDescent="0.35">
      <c r="A22" s="34">
        <v>17</v>
      </c>
      <c r="B22" s="35">
        <v>3497</v>
      </c>
      <c r="C22" s="35">
        <v>0</v>
      </c>
      <c r="D22" s="35">
        <v>1447</v>
      </c>
      <c r="E22" s="35">
        <v>253</v>
      </c>
      <c r="F22" s="35">
        <v>249</v>
      </c>
      <c r="G22" s="35">
        <v>444</v>
      </c>
      <c r="H22" s="35">
        <f t="shared" si="0"/>
        <v>5890</v>
      </c>
      <c r="I22" s="35">
        <v>0</v>
      </c>
      <c r="J22" s="39"/>
      <c r="K22" s="34">
        <v>17</v>
      </c>
      <c r="L22" s="35">
        <v>11</v>
      </c>
      <c r="M22" s="35">
        <v>11</v>
      </c>
      <c r="N22" s="35">
        <v>5</v>
      </c>
      <c r="O22" s="35">
        <f t="shared" si="1"/>
        <v>27</v>
      </c>
      <c r="P22" s="37">
        <f t="shared" si="2"/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customHeight="1" thickTop="1" thickBot="1" x14ac:dyDescent="0.35">
      <c r="A23" s="34">
        <v>18</v>
      </c>
      <c r="B23" s="35">
        <v>3787</v>
      </c>
      <c r="C23" s="35">
        <v>0</v>
      </c>
      <c r="D23" s="35">
        <v>1453</v>
      </c>
      <c r="E23" s="35">
        <v>238</v>
      </c>
      <c r="F23" s="35">
        <v>228</v>
      </c>
      <c r="G23" s="35">
        <v>431</v>
      </c>
      <c r="H23" s="42">
        <f t="shared" si="0"/>
        <v>6137</v>
      </c>
      <c r="I23" s="35">
        <v>0</v>
      </c>
      <c r="J23" s="39"/>
      <c r="K23" s="34">
        <v>18</v>
      </c>
      <c r="L23" s="35">
        <v>7</v>
      </c>
      <c r="M23" s="35">
        <v>16</v>
      </c>
      <c r="N23" s="35">
        <v>2</v>
      </c>
      <c r="O23" s="35">
        <f t="shared" si="1"/>
        <v>25</v>
      </c>
      <c r="P23" s="37">
        <f t="shared" si="2"/>
        <v>6135</v>
      </c>
    </row>
    <row r="24" spans="1:26" ht="18" customHeight="1" thickTop="1" thickBot="1" x14ac:dyDescent="0.35">
      <c r="A24" s="34">
        <v>19</v>
      </c>
      <c r="B24" s="35">
        <v>5413</v>
      </c>
      <c r="C24" s="35">
        <v>0</v>
      </c>
      <c r="D24" s="35">
        <v>1388</v>
      </c>
      <c r="E24" s="35">
        <v>249</v>
      </c>
      <c r="F24" s="35">
        <v>228</v>
      </c>
      <c r="G24" s="35">
        <v>348</v>
      </c>
      <c r="H24" s="42">
        <f t="shared" si="0"/>
        <v>7626</v>
      </c>
      <c r="I24" s="35">
        <v>0</v>
      </c>
      <c r="J24" s="39"/>
      <c r="K24" s="34">
        <v>19</v>
      </c>
      <c r="L24" s="35">
        <v>7</v>
      </c>
      <c r="M24" s="35">
        <v>19</v>
      </c>
      <c r="N24" s="35">
        <v>2</v>
      </c>
      <c r="O24" s="35">
        <f t="shared" si="1"/>
        <v>28</v>
      </c>
      <c r="P24" s="37">
        <f t="shared" si="2"/>
        <v>6135</v>
      </c>
    </row>
    <row r="25" spans="1:26" ht="18" customHeight="1" thickTop="1" thickBot="1" x14ac:dyDescent="0.35">
      <c r="A25" s="34">
        <v>20</v>
      </c>
      <c r="B25" s="35">
        <v>6169</v>
      </c>
      <c r="C25" s="35">
        <v>0</v>
      </c>
      <c r="D25" s="35">
        <v>1217</v>
      </c>
      <c r="E25" s="35">
        <v>187</v>
      </c>
      <c r="F25" s="35">
        <v>248</v>
      </c>
      <c r="G25" s="35">
        <v>359</v>
      </c>
      <c r="H25" s="35">
        <f t="shared" si="0"/>
        <v>8180</v>
      </c>
      <c r="I25" s="35">
        <v>0</v>
      </c>
      <c r="J25" s="39"/>
      <c r="K25" s="34">
        <v>20</v>
      </c>
      <c r="L25" s="35">
        <v>3</v>
      </c>
      <c r="M25" s="35">
        <v>12</v>
      </c>
      <c r="N25" s="35">
        <v>4</v>
      </c>
      <c r="O25" s="35">
        <f t="shared" si="1"/>
        <v>19</v>
      </c>
      <c r="P25" s="37">
        <f t="shared" si="2"/>
        <v>6135</v>
      </c>
    </row>
    <row r="26" spans="1:26" ht="18" customHeight="1" thickTop="1" thickBot="1" x14ac:dyDescent="0.35">
      <c r="A26" s="34">
        <v>21</v>
      </c>
      <c r="B26" s="35">
        <v>8075</v>
      </c>
      <c r="C26" s="35">
        <v>0</v>
      </c>
      <c r="D26" s="35">
        <v>918</v>
      </c>
      <c r="E26" s="35">
        <v>124</v>
      </c>
      <c r="F26" s="35">
        <v>156</v>
      </c>
      <c r="G26" s="35">
        <v>241</v>
      </c>
      <c r="H26" s="35">
        <f t="shared" si="0"/>
        <v>9514</v>
      </c>
      <c r="I26" s="35">
        <v>0</v>
      </c>
      <c r="J26" s="39"/>
      <c r="K26" s="34">
        <v>21</v>
      </c>
      <c r="L26" s="35">
        <v>3</v>
      </c>
      <c r="M26" s="35">
        <v>6</v>
      </c>
      <c r="N26" s="35">
        <v>4</v>
      </c>
      <c r="O26" s="35">
        <f t="shared" si="1"/>
        <v>13</v>
      </c>
      <c r="P26" s="37">
        <f t="shared" si="2"/>
        <v>6135</v>
      </c>
    </row>
    <row r="27" spans="1:26" ht="18" customHeight="1" thickTop="1" thickBot="1" x14ac:dyDescent="0.35">
      <c r="A27" s="34">
        <v>22</v>
      </c>
      <c r="B27" s="35">
        <v>3886</v>
      </c>
      <c r="C27" s="35">
        <v>0</v>
      </c>
      <c r="D27" s="35">
        <v>1147</v>
      </c>
      <c r="E27" s="35">
        <v>247</v>
      </c>
      <c r="F27" s="35">
        <v>227</v>
      </c>
      <c r="G27" s="35">
        <v>377</v>
      </c>
      <c r="H27" s="35">
        <f t="shared" si="0"/>
        <v>5884</v>
      </c>
      <c r="I27" s="35">
        <v>0</v>
      </c>
      <c r="J27" s="39"/>
      <c r="K27" s="34">
        <v>22</v>
      </c>
      <c r="L27" s="35">
        <v>5</v>
      </c>
      <c r="M27" s="35">
        <v>7</v>
      </c>
      <c r="N27" s="35">
        <v>4</v>
      </c>
      <c r="O27" s="35">
        <f t="shared" si="1"/>
        <v>16</v>
      </c>
      <c r="P27" s="37">
        <f t="shared" si="2"/>
        <v>6135</v>
      </c>
    </row>
    <row r="28" spans="1:26" ht="18" customHeight="1" thickTop="1" thickBot="1" x14ac:dyDescent="0.35">
      <c r="A28" s="34">
        <v>23</v>
      </c>
      <c r="B28" s="35">
        <v>3503</v>
      </c>
      <c r="C28" s="35">
        <v>0</v>
      </c>
      <c r="D28" s="35">
        <v>1308</v>
      </c>
      <c r="E28" s="35">
        <v>247</v>
      </c>
      <c r="F28" s="35">
        <v>232</v>
      </c>
      <c r="G28" s="35">
        <v>399</v>
      </c>
      <c r="H28" s="35">
        <f t="shared" si="0"/>
        <v>5689</v>
      </c>
      <c r="I28" s="35">
        <v>0</v>
      </c>
      <c r="J28" s="39"/>
      <c r="K28" s="34">
        <v>23</v>
      </c>
      <c r="L28" s="35">
        <v>4</v>
      </c>
      <c r="M28" s="35">
        <v>14</v>
      </c>
      <c r="N28" s="35">
        <v>5</v>
      </c>
      <c r="O28" s="35">
        <f t="shared" si="1"/>
        <v>23</v>
      </c>
      <c r="P28" s="37">
        <f t="shared" si="2"/>
        <v>6135</v>
      </c>
    </row>
    <row r="29" spans="1:26" ht="18" customHeight="1" thickTop="1" thickBot="1" x14ac:dyDescent="0.35">
      <c r="A29" s="34">
        <v>24</v>
      </c>
      <c r="B29" s="35">
        <v>3570</v>
      </c>
      <c r="C29" s="35">
        <v>0</v>
      </c>
      <c r="D29" s="35">
        <v>1588</v>
      </c>
      <c r="E29" s="35">
        <v>257</v>
      </c>
      <c r="F29" s="35">
        <v>266</v>
      </c>
      <c r="G29" s="35">
        <v>435</v>
      </c>
      <c r="H29" s="35">
        <f t="shared" si="0"/>
        <v>6116</v>
      </c>
      <c r="I29" s="35">
        <v>0</v>
      </c>
      <c r="J29" s="39"/>
      <c r="K29" s="34">
        <v>24</v>
      </c>
      <c r="L29" s="35">
        <v>2</v>
      </c>
      <c r="M29" s="35">
        <v>25</v>
      </c>
      <c r="N29" s="35">
        <v>4</v>
      </c>
      <c r="O29" s="35">
        <f t="shared" si="1"/>
        <v>31</v>
      </c>
      <c r="P29" s="37">
        <f t="shared" si="2"/>
        <v>6135</v>
      </c>
    </row>
    <row r="30" spans="1:26" ht="18" customHeight="1" thickTop="1" thickBot="1" x14ac:dyDescent="0.35">
      <c r="A30" s="34">
        <v>25</v>
      </c>
      <c r="B30" s="35">
        <v>4007</v>
      </c>
      <c r="C30" s="35">
        <v>0</v>
      </c>
      <c r="D30" s="35">
        <v>1536</v>
      </c>
      <c r="E30" s="35">
        <v>244</v>
      </c>
      <c r="F30" s="35">
        <v>234</v>
      </c>
      <c r="G30" s="35">
        <v>421</v>
      </c>
      <c r="H30" s="35">
        <f>SUM(B30:G30)</f>
        <v>6442</v>
      </c>
      <c r="I30" s="35">
        <v>0</v>
      </c>
      <c r="J30" s="39"/>
      <c r="K30" s="34">
        <v>25</v>
      </c>
      <c r="L30" s="35">
        <v>2</v>
      </c>
      <c r="M30" s="35">
        <v>14</v>
      </c>
      <c r="N30" s="35">
        <v>8</v>
      </c>
      <c r="O30" s="35">
        <f t="shared" si="1"/>
        <v>24</v>
      </c>
      <c r="P30" s="37">
        <f t="shared" si="2"/>
        <v>6135</v>
      </c>
    </row>
    <row r="31" spans="1:26" ht="18" customHeight="1" thickTop="1" thickBot="1" x14ac:dyDescent="0.35">
      <c r="A31" s="34">
        <v>26</v>
      </c>
      <c r="B31" s="35">
        <v>5452</v>
      </c>
      <c r="C31" s="35">
        <v>0</v>
      </c>
      <c r="D31" s="35">
        <v>1389</v>
      </c>
      <c r="E31" s="35">
        <v>174</v>
      </c>
      <c r="F31" s="35">
        <v>195</v>
      </c>
      <c r="G31" s="35">
        <v>351</v>
      </c>
      <c r="H31" s="35">
        <f t="shared" si="0"/>
        <v>7561</v>
      </c>
      <c r="I31" s="35">
        <v>0</v>
      </c>
      <c r="J31" s="39"/>
      <c r="K31" s="34">
        <v>26</v>
      </c>
      <c r="L31" s="35">
        <v>2</v>
      </c>
      <c r="M31" s="35">
        <v>12</v>
      </c>
      <c r="N31" s="35">
        <v>4</v>
      </c>
      <c r="O31" s="35">
        <f t="shared" si="1"/>
        <v>18</v>
      </c>
      <c r="P31" s="37">
        <f t="shared" si="2"/>
        <v>6135</v>
      </c>
    </row>
    <row r="32" spans="1:26" ht="18" customHeight="1" thickTop="1" thickBot="1" x14ac:dyDescent="0.35">
      <c r="A32" s="34">
        <v>27</v>
      </c>
      <c r="B32" s="35">
        <v>6543</v>
      </c>
      <c r="C32" s="35">
        <v>0</v>
      </c>
      <c r="D32" s="35">
        <v>1321</v>
      </c>
      <c r="E32" s="35">
        <v>177</v>
      </c>
      <c r="F32" s="35">
        <v>237</v>
      </c>
      <c r="G32" s="35">
        <v>343</v>
      </c>
      <c r="H32" s="35">
        <f t="shared" si="0"/>
        <v>8621</v>
      </c>
      <c r="I32" s="35">
        <v>0</v>
      </c>
      <c r="J32" s="39"/>
      <c r="K32" s="34">
        <v>27</v>
      </c>
      <c r="L32" s="35">
        <v>6</v>
      </c>
      <c r="M32" s="35">
        <v>15</v>
      </c>
      <c r="N32" s="35">
        <v>5</v>
      </c>
      <c r="O32" s="35">
        <f t="shared" si="1"/>
        <v>26</v>
      </c>
      <c r="P32" s="37">
        <f t="shared" si="2"/>
        <v>6135</v>
      </c>
    </row>
    <row r="33" spans="1:16" ht="18" customHeight="1" thickTop="1" thickBot="1" x14ac:dyDescent="0.35">
      <c r="A33" s="34">
        <v>28</v>
      </c>
      <c r="B33" s="35">
        <v>8487</v>
      </c>
      <c r="C33" s="35">
        <v>0</v>
      </c>
      <c r="D33" s="35">
        <v>1013</v>
      </c>
      <c r="E33" s="35">
        <v>135</v>
      </c>
      <c r="F33" s="35">
        <v>146</v>
      </c>
      <c r="G33" s="35">
        <v>262</v>
      </c>
      <c r="H33" s="35">
        <f t="shared" si="0"/>
        <v>10043</v>
      </c>
      <c r="I33" s="35">
        <v>0</v>
      </c>
      <c r="J33" s="39"/>
      <c r="K33" s="34">
        <v>28</v>
      </c>
      <c r="L33" s="35">
        <v>2</v>
      </c>
      <c r="M33" s="35">
        <v>4</v>
      </c>
      <c r="N33" s="35">
        <v>2</v>
      </c>
      <c r="O33" s="35">
        <f t="shared" si="1"/>
        <v>8</v>
      </c>
      <c r="P33" s="37">
        <f t="shared" si="2"/>
        <v>6135</v>
      </c>
    </row>
    <row r="34" spans="1:16" ht="18" customHeight="1" thickTop="1" thickBot="1" x14ac:dyDescent="0.35">
      <c r="A34" s="34">
        <v>29</v>
      </c>
      <c r="B34" s="35"/>
      <c r="C34" s="35"/>
      <c r="D34" s="35"/>
      <c r="E34" s="35"/>
      <c r="F34" s="35"/>
      <c r="G34" s="35"/>
      <c r="H34" s="35">
        <f t="shared" si="0"/>
        <v>0</v>
      </c>
      <c r="I34" s="35">
        <v>0</v>
      </c>
      <c r="J34" s="39"/>
      <c r="K34" s="34">
        <v>29</v>
      </c>
      <c r="L34" s="35"/>
      <c r="M34" s="35"/>
      <c r="N34" s="35"/>
      <c r="O34" s="35"/>
      <c r="P34" s="37">
        <f t="shared" si="2"/>
        <v>6135</v>
      </c>
    </row>
    <row r="35" spans="1:16" ht="18" customHeight="1" thickTop="1" thickBot="1" x14ac:dyDescent="0.35">
      <c r="A35" s="34">
        <v>30</v>
      </c>
      <c r="B35" s="35"/>
      <c r="C35" s="35"/>
      <c r="D35" s="35"/>
      <c r="E35" s="35"/>
      <c r="F35" s="35"/>
      <c r="G35" s="35"/>
      <c r="H35" s="35">
        <f t="shared" si="0"/>
        <v>0</v>
      </c>
      <c r="I35" s="35">
        <v>0</v>
      </c>
      <c r="J35" s="39"/>
      <c r="K35" s="34">
        <v>30</v>
      </c>
      <c r="L35" s="35"/>
      <c r="M35" s="35"/>
      <c r="N35" s="35"/>
      <c r="O35" s="35"/>
      <c r="P35" s="37">
        <f t="shared" si="2"/>
        <v>6135</v>
      </c>
    </row>
    <row r="36" spans="1:16" ht="15.75" customHeight="1" thickTop="1" thickBot="1" x14ac:dyDescent="0.35">
      <c r="A36" s="34">
        <v>31</v>
      </c>
      <c r="B36" s="35"/>
      <c r="C36" s="35"/>
      <c r="D36" s="35"/>
      <c r="E36" s="35"/>
      <c r="F36" s="35"/>
      <c r="G36" s="35"/>
      <c r="H36" s="35">
        <f t="shared" si="0"/>
        <v>0</v>
      </c>
      <c r="I36" s="35">
        <v>0</v>
      </c>
      <c r="J36" s="39"/>
      <c r="K36" s="34">
        <v>31</v>
      </c>
      <c r="L36" s="43"/>
      <c r="M36" s="43"/>
      <c r="N36" s="43"/>
      <c r="O36" s="35"/>
      <c r="P36" s="37">
        <f t="shared" si="2"/>
        <v>6135</v>
      </c>
    </row>
    <row r="37" spans="1:16" ht="18" customHeight="1" thickTop="1" x14ac:dyDescent="0.3">
      <c r="A37" s="32" t="s">
        <v>19</v>
      </c>
      <c r="B37" s="44">
        <f>SUM(B6:B36)</f>
        <v>139436</v>
      </c>
      <c r="C37" s="44">
        <f>SUM(C6:C36)</f>
        <v>0</v>
      </c>
      <c r="D37" s="44">
        <f>SUM(D6:D36)</f>
        <v>36792</v>
      </c>
      <c r="E37" s="44">
        <f>SUM(E6:E36)</f>
        <v>6240</v>
      </c>
      <c r="F37" s="44">
        <f>SUM(F6:F36)</f>
        <v>6311</v>
      </c>
      <c r="G37" s="44">
        <f>SUM(G6:G36)</f>
        <v>10366</v>
      </c>
      <c r="H37" s="44">
        <f>SUM(H6:H36)</f>
        <v>199145</v>
      </c>
      <c r="I37" s="44">
        <f>SUM(I6:I33)</f>
        <v>0</v>
      </c>
      <c r="J37" s="44"/>
      <c r="K37" s="44"/>
      <c r="L37" s="44">
        <f>SUM(L6:L36)</f>
        <v>130</v>
      </c>
      <c r="M37" s="44">
        <f t="shared" ref="M37:P37" si="3">SUM(M6:M36)</f>
        <v>347</v>
      </c>
      <c r="N37" s="44">
        <f t="shared" si="3"/>
        <v>120</v>
      </c>
      <c r="O37" s="154">
        <f t="shared" si="3"/>
        <v>597</v>
      </c>
      <c r="P37" s="44">
        <f t="shared" si="3"/>
        <v>190185</v>
      </c>
    </row>
    <row r="38" spans="1:16" ht="18" customHeight="1" x14ac:dyDescent="0.3">
      <c r="A38" s="32" t="s">
        <v>19</v>
      </c>
      <c r="B38" s="164">
        <f>+B37+C37</f>
        <v>139436</v>
      </c>
      <c r="C38" s="164"/>
      <c r="D38" s="44">
        <f>+D37</f>
        <v>36792</v>
      </c>
      <c r="E38" s="44">
        <f>+E37</f>
        <v>6240</v>
      </c>
      <c r="F38" s="44">
        <f>+F37</f>
        <v>6311</v>
      </c>
      <c r="G38" s="44">
        <f>+G37</f>
        <v>10366</v>
      </c>
      <c r="H38" s="154">
        <f>+H37</f>
        <v>199145</v>
      </c>
      <c r="I38" s="44">
        <v>0</v>
      </c>
      <c r="J38" s="45"/>
      <c r="K38" s="32"/>
      <c r="L38" s="46" t="s">
        <v>20</v>
      </c>
      <c r="M38" s="46" t="s">
        <v>21</v>
      </c>
      <c r="N38" s="46" t="s">
        <v>20</v>
      </c>
      <c r="O38" s="46" t="s">
        <v>21</v>
      </c>
    </row>
    <row r="39" spans="1:16" ht="18" customHeight="1" x14ac:dyDescent="0.3">
      <c r="A39" s="47" t="s">
        <v>22</v>
      </c>
      <c r="B39" s="48"/>
      <c r="C39" s="48"/>
      <c r="D39" s="48"/>
      <c r="E39" s="48"/>
      <c r="F39" s="48"/>
      <c r="G39" s="48"/>
      <c r="H39" s="48"/>
      <c r="L39" s="50"/>
    </row>
    <row r="40" spans="1:16" x14ac:dyDescent="0.3">
      <c r="A40" s="51"/>
      <c r="B40" s="52"/>
      <c r="C40" s="52"/>
      <c r="D40" s="52"/>
      <c r="E40" s="52"/>
      <c r="F40" s="52"/>
      <c r="G40" s="52"/>
      <c r="H40" s="52"/>
      <c r="I40" s="52"/>
      <c r="J40" s="50"/>
      <c r="K40" s="26"/>
      <c r="L40" s="25"/>
    </row>
    <row r="41" spans="1:16" x14ac:dyDescent="0.3">
      <c r="A41" s="38"/>
      <c r="H41" s="38"/>
      <c r="K41" s="26"/>
      <c r="L41" s="25"/>
    </row>
    <row r="42" spans="1:16" x14ac:dyDescent="0.3">
      <c r="K42" s="26"/>
      <c r="L42" s="25"/>
    </row>
    <row r="43" spans="1:16" x14ac:dyDescent="0.3">
      <c r="I43" s="38"/>
      <c r="J43" s="38"/>
    </row>
    <row r="45" spans="1:16" x14ac:dyDescent="0.3">
      <c r="A45" s="53"/>
    </row>
    <row r="46" spans="1:16" x14ac:dyDescent="0.3">
      <c r="A46" s="53"/>
      <c r="B46" s="38"/>
      <c r="C46" s="38"/>
      <c r="D46" s="38"/>
      <c r="E46" s="38"/>
      <c r="F46" s="38"/>
      <c r="G46" s="38"/>
      <c r="H46" s="38"/>
      <c r="I46" s="38"/>
      <c r="J46" s="38"/>
      <c r="K46" s="54"/>
      <c r="L46" s="38"/>
      <c r="M46" s="38"/>
      <c r="N46" s="38"/>
      <c r="O46" s="3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4585-595C-4CFF-A77E-CEAB7809E90C}">
  <dimension ref="A1:Z46"/>
  <sheetViews>
    <sheetView workbookViewId="0">
      <selection activeCell="F43" sqref="F43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24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60">
        <v>1</v>
      </c>
      <c r="B6" s="61">
        <v>4234</v>
      </c>
      <c r="C6" s="61">
        <v>0</v>
      </c>
      <c r="D6" s="61">
        <v>1357</v>
      </c>
      <c r="E6" s="61">
        <v>284</v>
      </c>
      <c r="F6" s="61">
        <v>219</v>
      </c>
      <c r="G6" s="61">
        <v>449</v>
      </c>
      <c r="H6" s="61">
        <v>6543</v>
      </c>
      <c r="I6" s="61">
        <v>0</v>
      </c>
      <c r="J6" s="62"/>
      <c r="K6" s="60">
        <v>1</v>
      </c>
      <c r="L6" s="61">
        <v>16</v>
      </c>
      <c r="M6" s="61">
        <v>17</v>
      </c>
      <c r="N6" s="61">
        <v>3</v>
      </c>
      <c r="O6" s="61">
        <v>36</v>
      </c>
      <c r="P6" s="73">
        <v>6135</v>
      </c>
      <c r="Q6" s="58"/>
      <c r="R6" s="58"/>
      <c r="S6" s="58"/>
    </row>
    <row r="7" spans="1:26" ht="15.6" thickTop="1" thickBot="1" x14ac:dyDescent="0.35">
      <c r="A7" s="60">
        <v>2</v>
      </c>
      <c r="B7" s="61">
        <v>3436</v>
      </c>
      <c r="C7" s="61">
        <v>0</v>
      </c>
      <c r="D7" s="61">
        <v>1365</v>
      </c>
      <c r="E7" s="61">
        <v>229</v>
      </c>
      <c r="F7" s="61">
        <v>246</v>
      </c>
      <c r="G7" s="61">
        <v>387</v>
      </c>
      <c r="H7" s="61">
        <v>5663</v>
      </c>
      <c r="I7" s="61">
        <v>0</v>
      </c>
      <c r="J7" s="62"/>
      <c r="K7" s="60">
        <v>2</v>
      </c>
      <c r="L7" s="61">
        <v>5</v>
      </c>
      <c r="M7" s="61">
        <v>17</v>
      </c>
      <c r="N7" s="61">
        <v>4</v>
      </c>
      <c r="O7" s="61">
        <v>26</v>
      </c>
      <c r="P7" s="73">
        <v>6135</v>
      </c>
      <c r="Q7" s="58"/>
      <c r="R7" s="58"/>
      <c r="S7" s="58"/>
    </row>
    <row r="8" spans="1:26" ht="15.6" thickTop="1" thickBot="1" x14ac:dyDescent="0.35">
      <c r="A8" s="60">
        <v>3</v>
      </c>
      <c r="B8" s="61">
        <v>3764</v>
      </c>
      <c r="C8" s="61">
        <v>0</v>
      </c>
      <c r="D8" s="61">
        <v>1548</v>
      </c>
      <c r="E8" s="61">
        <v>240</v>
      </c>
      <c r="F8" s="61">
        <v>257</v>
      </c>
      <c r="G8" s="61">
        <v>454</v>
      </c>
      <c r="H8" s="61">
        <v>6263</v>
      </c>
      <c r="I8" s="61">
        <v>0</v>
      </c>
      <c r="J8" s="62"/>
      <c r="K8" s="60">
        <v>3</v>
      </c>
      <c r="L8" s="61">
        <v>7</v>
      </c>
      <c r="M8" s="61">
        <v>13</v>
      </c>
      <c r="N8" s="61">
        <v>7</v>
      </c>
      <c r="O8" s="61">
        <v>27</v>
      </c>
      <c r="P8" s="73">
        <v>6135</v>
      </c>
      <c r="Q8" s="58"/>
      <c r="R8" s="58"/>
      <c r="S8" s="67"/>
    </row>
    <row r="9" spans="1:26" ht="15.6" thickTop="1" thickBot="1" x14ac:dyDescent="0.35">
      <c r="A9" s="60">
        <v>4</v>
      </c>
      <c r="B9" s="61">
        <v>4076</v>
      </c>
      <c r="C9" s="61">
        <v>0</v>
      </c>
      <c r="D9" s="61">
        <v>1569</v>
      </c>
      <c r="E9" s="61">
        <v>225</v>
      </c>
      <c r="F9" s="61">
        <v>265</v>
      </c>
      <c r="G9" s="61">
        <v>466</v>
      </c>
      <c r="H9" s="61">
        <v>6601</v>
      </c>
      <c r="I9" s="61">
        <v>0</v>
      </c>
      <c r="J9" s="62"/>
      <c r="K9" s="60">
        <v>4</v>
      </c>
      <c r="L9" s="61">
        <v>4</v>
      </c>
      <c r="M9" s="61">
        <v>18</v>
      </c>
      <c r="N9" s="61">
        <v>5</v>
      </c>
      <c r="O9" s="61">
        <v>27</v>
      </c>
      <c r="P9" s="73">
        <v>6135</v>
      </c>
      <c r="Q9" s="58"/>
      <c r="R9" s="58"/>
      <c r="S9" s="58"/>
    </row>
    <row r="10" spans="1:26" ht="15.6" thickTop="1" thickBot="1" x14ac:dyDescent="0.35">
      <c r="A10" s="60">
        <v>5</v>
      </c>
      <c r="B10" s="61">
        <v>5356</v>
      </c>
      <c r="C10" s="61">
        <v>0</v>
      </c>
      <c r="D10" s="61">
        <v>1446</v>
      </c>
      <c r="E10" s="61">
        <v>248</v>
      </c>
      <c r="F10" s="61">
        <v>238</v>
      </c>
      <c r="G10" s="61">
        <v>388</v>
      </c>
      <c r="H10" s="61">
        <v>7676</v>
      </c>
      <c r="I10" s="61">
        <v>0</v>
      </c>
      <c r="J10" s="62"/>
      <c r="K10" s="60">
        <v>5</v>
      </c>
      <c r="L10" s="61">
        <v>7</v>
      </c>
      <c r="M10" s="61">
        <v>8</v>
      </c>
      <c r="N10" s="61">
        <v>3</v>
      </c>
      <c r="O10" s="61">
        <v>18</v>
      </c>
      <c r="P10" s="73">
        <v>6135</v>
      </c>
      <c r="Q10" s="58"/>
      <c r="R10" s="58"/>
      <c r="S10" s="58"/>
    </row>
    <row r="11" spans="1:26" ht="15.6" thickTop="1" thickBot="1" x14ac:dyDescent="0.35">
      <c r="A11" s="60">
        <v>6</v>
      </c>
      <c r="B11" s="61">
        <v>5987</v>
      </c>
      <c r="C11" s="61">
        <v>0</v>
      </c>
      <c r="D11" s="61">
        <v>1271</v>
      </c>
      <c r="E11" s="61">
        <v>210</v>
      </c>
      <c r="F11" s="61">
        <v>234</v>
      </c>
      <c r="G11" s="61">
        <v>314</v>
      </c>
      <c r="H11" s="61">
        <v>8016</v>
      </c>
      <c r="I11" s="61">
        <v>0</v>
      </c>
      <c r="J11" s="62"/>
      <c r="K11" s="60">
        <v>6</v>
      </c>
      <c r="L11" s="61">
        <v>3</v>
      </c>
      <c r="M11" s="61">
        <v>9</v>
      </c>
      <c r="N11" s="61">
        <v>3</v>
      </c>
      <c r="O11" s="61">
        <v>15</v>
      </c>
      <c r="P11" s="73">
        <v>6135</v>
      </c>
      <c r="Q11" s="58"/>
      <c r="R11" s="58"/>
      <c r="S11" s="58"/>
    </row>
    <row r="12" spans="1:26" ht="15.6" thickTop="1" thickBot="1" x14ac:dyDescent="0.35">
      <c r="A12" s="60">
        <v>7</v>
      </c>
      <c r="B12" s="61">
        <v>7913</v>
      </c>
      <c r="C12" s="61">
        <v>0</v>
      </c>
      <c r="D12" s="61">
        <v>1007</v>
      </c>
      <c r="E12" s="61">
        <v>124</v>
      </c>
      <c r="F12" s="61">
        <v>157</v>
      </c>
      <c r="G12" s="61">
        <v>251</v>
      </c>
      <c r="H12" s="61">
        <v>9452</v>
      </c>
      <c r="I12" s="61">
        <v>0</v>
      </c>
      <c r="J12" s="63"/>
      <c r="K12" s="60">
        <v>7</v>
      </c>
      <c r="L12" s="61">
        <v>1</v>
      </c>
      <c r="M12" s="61">
        <v>5</v>
      </c>
      <c r="N12" s="61">
        <v>2</v>
      </c>
      <c r="O12" s="61">
        <v>8</v>
      </c>
      <c r="P12" s="73">
        <v>6135</v>
      </c>
      <c r="Q12" s="58"/>
      <c r="R12" s="58"/>
      <c r="S12" s="58"/>
    </row>
    <row r="13" spans="1:26" ht="15.6" thickTop="1" thickBot="1" x14ac:dyDescent="0.35">
      <c r="A13" s="60">
        <v>8</v>
      </c>
      <c r="B13" s="61">
        <v>3972</v>
      </c>
      <c r="C13" s="61">
        <v>0</v>
      </c>
      <c r="D13" s="61">
        <v>1097</v>
      </c>
      <c r="E13" s="61">
        <v>224</v>
      </c>
      <c r="F13" s="61">
        <v>171</v>
      </c>
      <c r="G13" s="61">
        <v>346</v>
      </c>
      <c r="H13" s="61">
        <v>5810</v>
      </c>
      <c r="I13" s="61">
        <v>0</v>
      </c>
      <c r="J13" s="63"/>
      <c r="K13" s="60">
        <v>8</v>
      </c>
      <c r="L13" s="61">
        <v>2</v>
      </c>
      <c r="M13" s="61">
        <v>4</v>
      </c>
      <c r="N13" s="61">
        <v>6</v>
      </c>
      <c r="O13" s="61">
        <v>12</v>
      </c>
      <c r="P13" s="73">
        <v>6135</v>
      </c>
      <c r="Q13" s="58"/>
      <c r="R13" s="58"/>
      <c r="S13" s="58"/>
    </row>
    <row r="14" spans="1:26" ht="15.6" thickTop="1" thickBot="1" x14ac:dyDescent="0.35">
      <c r="A14" s="60">
        <v>9</v>
      </c>
      <c r="B14" s="61">
        <v>3463</v>
      </c>
      <c r="C14" s="61">
        <v>0</v>
      </c>
      <c r="D14" s="61">
        <v>1345</v>
      </c>
      <c r="E14" s="61">
        <v>258</v>
      </c>
      <c r="F14" s="61">
        <v>224</v>
      </c>
      <c r="G14" s="61">
        <v>373</v>
      </c>
      <c r="H14" s="61">
        <v>5663</v>
      </c>
      <c r="I14" s="61">
        <v>0</v>
      </c>
      <c r="J14" s="63"/>
      <c r="K14" s="60">
        <v>9</v>
      </c>
      <c r="L14" s="61">
        <v>3</v>
      </c>
      <c r="M14" s="61">
        <v>18</v>
      </c>
      <c r="N14" s="61">
        <v>4</v>
      </c>
      <c r="O14" s="61">
        <v>25</v>
      </c>
      <c r="P14" s="74">
        <v>6135</v>
      </c>
      <c r="Q14" s="70"/>
      <c r="R14" s="70"/>
      <c r="S14" s="70"/>
    </row>
    <row r="15" spans="1:26" ht="15.6" thickTop="1" thickBot="1" x14ac:dyDescent="0.35">
      <c r="A15" s="60">
        <v>10</v>
      </c>
      <c r="B15" s="61">
        <v>3656</v>
      </c>
      <c r="C15" s="61">
        <v>0</v>
      </c>
      <c r="D15" s="61">
        <v>1460</v>
      </c>
      <c r="E15" s="61">
        <v>263</v>
      </c>
      <c r="F15" s="61">
        <v>289</v>
      </c>
      <c r="G15" s="61">
        <v>428</v>
      </c>
      <c r="H15" s="61">
        <v>6096</v>
      </c>
      <c r="I15" s="61">
        <v>0</v>
      </c>
      <c r="J15" s="63"/>
      <c r="K15" s="60">
        <v>10</v>
      </c>
      <c r="L15" s="61">
        <v>9</v>
      </c>
      <c r="M15" s="61">
        <v>18</v>
      </c>
      <c r="N15" s="61">
        <v>5</v>
      </c>
      <c r="O15" s="61">
        <v>32</v>
      </c>
      <c r="P15" s="73">
        <v>6135</v>
      </c>
      <c r="Q15" s="58"/>
      <c r="R15" s="58"/>
      <c r="S15" s="58"/>
    </row>
    <row r="16" spans="1:26" ht="15.6" thickTop="1" thickBot="1" x14ac:dyDescent="0.35">
      <c r="A16" s="60">
        <v>11</v>
      </c>
      <c r="B16" s="61">
        <v>3895</v>
      </c>
      <c r="C16" s="61">
        <v>0</v>
      </c>
      <c r="D16" s="61">
        <v>1457</v>
      </c>
      <c r="E16" s="61">
        <v>301</v>
      </c>
      <c r="F16" s="61">
        <v>252</v>
      </c>
      <c r="G16" s="61">
        <v>432</v>
      </c>
      <c r="H16" s="61">
        <v>6337</v>
      </c>
      <c r="I16" s="61">
        <v>0</v>
      </c>
      <c r="J16" s="63"/>
      <c r="K16" s="60">
        <v>11</v>
      </c>
      <c r="L16" s="61">
        <v>9</v>
      </c>
      <c r="M16" s="61">
        <v>16</v>
      </c>
      <c r="N16" s="61">
        <v>11</v>
      </c>
      <c r="O16" s="61">
        <v>36</v>
      </c>
      <c r="P16" s="73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60">
        <v>12</v>
      </c>
      <c r="B17" s="61">
        <v>5007</v>
      </c>
      <c r="C17" s="61">
        <v>0</v>
      </c>
      <c r="D17" s="61">
        <v>1372</v>
      </c>
      <c r="E17" s="61">
        <v>225</v>
      </c>
      <c r="F17" s="61">
        <v>243</v>
      </c>
      <c r="G17" s="61">
        <v>363</v>
      </c>
      <c r="H17" s="61">
        <v>7210</v>
      </c>
      <c r="I17" s="61">
        <v>0</v>
      </c>
      <c r="J17" s="63"/>
      <c r="K17" s="60">
        <v>12</v>
      </c>
      <c r="L17" s="61">
        <v>1</v>
      </c>
      <c r="M17" s="61">
        <v>13</v>
      </c>
      <c r="N17" s="61">
        <v>9</v>
      </c>
      <c r="O17" s="61">
        <v>23</v>
      </c>
      <c r="P17" s="73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60">
        <v>13</v>
      </c>
      <c r="B18" s="61">
        <v>5625</v>
      </c>
      <c r="C18" s="61">
        <v>0</v>
      </c>
      <c r="D18" s="61">
        <v>1336</v>
      </c>
      <c r="E18" s="61">
        <v>201</v>
      </c>
      <c r="F18" s="61">
        <v>244</v>
      </c>
      <c r="G18" s="61">
        <v>330</v>
      </c>
      <c r="H18" s="61">
        <v>7736</v>
      </c>
      <c r="I18" s="61">
        <v>0</v>
      </c>
      <c r="J18" s="63"/>
      <c r="K18" s="60">
        <v>13</v>
      </c>
      <c r="L18" s="61">
        <v>5</v>
      </c>
      <c r="M18" s="61">
        <v>12</v>
      </c>
      <c r="N18" s="61">
        <v>7</v>
      </c>
      <c r="O18" s="61">
        <v>24</v>
      </c>
      <c r="P18" s="73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60">
        <v>14</v>
      </c>
      <c r="B19" s="61">
        <v>7142</v>
      </c>
      <c r="C19" s="61">
        <v>0</v>
      </c>
      <c r="D19" s="61">
        <v>956</v>
      </c>
      <c r="E19" s="61">
        <v>149</v>
      </c>
      <c r="F19" s="61">
        <v>155</v>
      </c>
      <c r="G19" s="61">
        <v>273</v>
      </c>
      <c r="H19" s="61">
        <v>8675</v>
      </c>
      <c r="I19" s="61">
        <v>0</v>
      </c>
      <c r="J19" s="63"/>
      <c r="K19" s="60">
        <v>14</v>
      </c>
      <c r="L19" s="61">
        <v>1</v>
      </c>
      <c r="M19" s="61">
        <v>5</v>
      </c>
      <c r="N19" s="61">
        <v>3</v>
      </c>
      <c r="O19" s="61">
        <v>9</v>
      </c>
      <c r="P19" s="73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60">
        <v>15</v>
      </c>
      <c r="B20" s="61">
        <v>3690</v>
      </c>
      <c r="C20" s="61">
        <v>0</v>
      </c>
      <c r="D20" s="61">
        <v>1115</v>
      </c>
      <c r="E20" s="61">
        <v>234</v>
      </c>
      <c r="F20" s="61">
        <v>177</v>
      </c>
      <c r="G20" s="61">
        <v>349</v>
      </c>
      <c r="H20" s="61">
        <v>5565</v>
      </c>
      <c r="I20" s="61">
        <v>0</v>
      </c>
      <c r="J20" s="63"/>
      <c r="K20" s="60">
        <v>15</v>
      </c>
      <c r="L20" s="61">
        <v>5</v>
      </c>
      <c r="M20" s="61">
        <v>9</v>
      </c>
      <c r="N20" s="61">
        <v>3</v>
      </c>
      <c r="O20" s="61">
        <v>17</v>
      </c>
      <c r="P20" s="73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60">
        <v>16</v>
      </c>
      <c r="B21" s="61">
        <v>3495</v>
      </c>
      <c r="C21" s="61">
        <v>0</v>
      </c>
      <c r="D21" s="61">
        <v>1450</v>
      </c>
      <c r="E21" s="61">
        <v>252</v>
      </c>
      <c r="F21" s="61">
        <v>275</v>
      </c>
      <c r="G21" s="61">
        <v>402</v>
      </c>
      <c r="H21" s="61">
        <v>5874</v>
      </c>
      <c r="I21" s="61">
        <v>0</v>
      </c>
      <c r="J21" s="63"/>
      <c r="K21" s="60">
        <v>16</v>
      </c>
      <c r="L21" s="61">
        <v>2</v>
      </c>
      <c r="M21" s="61">
        <v>20</v>
      </c>
      <c r="N21" s="61">
        <v>4</v>
      </c>
      <c r="O21" s="61">
        <v>26</v>
      </c>
      <c r="P21" s="73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60">
        <v>17</v>
      </c>
      <c r="B22" s="61">
        <v>3435</v>
      </c>
      <c r="C22" s="61">
        <v>0</v>
      </c>
      <c r="D22" s="61">
        <v>1491</v>
      </c>
      <c r="E22" s="61">
        <v>249</v>
      </c>
      <c r="F22" s="61">
        <v>244</v>
      </c>
      <c r="G22" s="61">
        <v>469</v>
      </c>
      <c r="H22" s="61">
        <v>5888</v>
      </c>
      <c r="I22" s="61">
        <v>0</v>
      </c>
      <c r="J22" s="63"/>
      <c r="K22" s="60">
        <v>17</v>
      </c>
      <c r="L22" s="61">
        <v>5</v>
      </c>
      <c r="M22" s="61">
        <v>22</v>
      </c>
      <c r="N22" s="61">
        <v>7</v>
      </c>
      <c r="O22" s="61">
        <v>34</v>
      </c>
      <c r="P22" s="73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60">
        <v>18</v>
      </c>
      <c r="B23" s="61">
        <v>4068</v>
      </c>
      <c r="C23" s="61">
        <v>0</v>
      </c>
      <c r="D23" s="61">
        <v>1589</v>
      </c>
      <c r="E23" s="61">
        <v>286</v>
      </c>
      <c r="F23" s="61">
        <v>253</v>
      </c>
      <c r="G23" s="61">
        <v>439</v>
      </c>
      <c r="H23" s="79">
        <v>6635</v>
      </c>
      <c r="I23" s="61">
        <v>0</v>
      </c>
      <c r="J23" s="63"/>
      <c r="K23" s="60">
        <v>18</v>
      </c>
      <c r="L23" s="61">
        <v>7</v>
      </c>
      <c r="M23" s="61">
        <v>11</v>
      </c>
      <c r="N23" s="61">
        <v>9</v>
      </c>
      <c r="O23" s="61">
        <v>27</v>
      </c>
      <c r="P23" s="73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60">
        <v>19</v>
      </c>
      <c r="B24" s="61">
        <v>6794</v>
      </c>
      <c r="C24" s="61">
        <v>0</v>
      </c>
      <c r="D24" s="61">
        <v>1432</v>
      </c>
      <c r="E24" s="61">
        <v>241</v>
      </c>
      <c r="F24" s="61">
        <v>251</v>
      </c>
      <c r="G24" s="61">
        <v>328</v>
      </c>
      <c r="H24" s="79">
        <v>9046</v>
      </c>
      <c r="I24" s="61">
        <v>0</v>
      </c>
      <c r="J24" s="63"/>
      <c r="K24" s="60">
        <v>19</v>
      </c>
      <c r="L24" s="61">
        <v>2</v>
      </c>
      <c r="M24" s="61">
        <v>18</v>
      </c>
      <c r="N24" s="61">
        <v>5</v>
      </c>
      <c r="O24" s="61">
        <v>25</v>
      </c>
      <c r="P24" s="73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60">
        <v>20</v>
      </c>
      <c r="B25" s="61">
        <v>9229</v>
      </c>
      <c r="C25" s="61">
        <v>0</v>
      </c>
      <c r="D25" s="61">
        <v>1163</v>
      </c>
      <c r="E25" s="61">
        <v>154</v>
      </c>
      <c r="F25" s="61">
        <v>221</v>
      </c>
      <c r="G25" s="61">
        <v>219</v>
      </c>
      <c r="H25" s="61">
        <v>10986</v>
      </c>
      <c r="I25" s="61">
        <v>0</v>
      </c>
      <c r="J25" s="63"/>
      <c r="K25" s="60">
        <v>20</v>
      </c>
      <c r="L25" s="61">
        <v>1</v>
      </c>
      <c r="M25" s="61">
        <v>8</v>
      </c>
      <c r="N25" s="61">
        <v>6</v>
      </c>
      <c r="O25" s="61">
        <v>15</v>
      </c>
      <c r="P25" s="73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60">
        <v>21</v>
      </c>
      <c r="B26" s="61">
        <v>8387</v>
      </c>
      <c r="C26" s="61">
        <v>0</v>
      </c>
      <c r="D26" s="61">
        <v>1043</v>
      </c>
      <c r="E26" s="61">
        <v>137</v>
      </c>
      <c r="F26" s="61">
        <v>169</v>
      </c>
      <c r="G26" s="61">
        <v>273</v>
      </c>
      <c r="H26" s="61">
        <v>10009</v>
      </c>
      <c r="I26" s="61">
        <v>0</v>
      </c>
      <c r="J26" s="63"/>
      <c r="K26" s="60">
        <v>21</v>
      </c>
      <c r="L26" s="61">
        <v>4</v>
      </c>
      <c r="M26" s="61">
        <v>15</v>
      </c>
      <c r="N26" s="61">
        <v>4</v>
      </c>
      <c r="O26" s="61">
        <v>23</v>
      </c>
      <c r="P26" s="73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60">
        <v>22</v>
      </c>
      <c r="B27" s="61">
        <v>11264</v>
      </c>
      <c r="C27" s="61">
        <v>0</v>
      </c>
      <c r="D27" s="61">
        <v>789</v>
      </c>
      <c r="E27" s="61">
        <v>88</v>
      </c>
      <c r="F27" s="61">
        <v>82</v>
      </c>
      <c r="G27" s="61">
        <v>169</v>
      </c>
      <c r="H27" s="61">
        <v>12392</v>
      </c>
      <c r="I27" s="61">
        <v>0</v>
      </c>
      <c r="J27" s="63"/>
      <c r="K27" s="60">
        <v>22</v>
      </c>
      <c r="L27" s="61">
        <v>0</v>
      </c>
      <c r="M27" s="61">
        <v>3</v>
      </c>
      <c r="N27" s="61">
        <v>1</v>
      </c>
      <c r="O27" s="61">
        <v>4</v>
      </c>
      <c r="P27" s="73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60">
        <v>23</v>
      </c>
      <c r="B28" s="61">
        <v>4403</v>
      </c>
      <c r="C28" s="61">
        <v>0</v>
      </c>
      <c r="D28" s="61">
        <v>1377</v>
      </c>
      <c r="E28" s="61">
        <v>226</v>
      </c>
      <c r="F28" s="61">
        <v>205</v>
      </c>
      <c r="G28" s="61">
        <v>357</v>
      </c>
      <c r="H28" s="61">
        <v>6568</v>
      </c>
      <c r="I28" s="61">
        <v>0</v>
      </c>
      <c r="J28" s="63"/>
      <c r="K28" s="60">
        <v>23</v>
      </c>
      <c r="L28" s="61">
        <v>6</v>
      </c>
      <c r="M28" s="61">
        <v>18</v>
      </c>
      <c r="N28" s="61">
        <v>2</v>
      </c>
      <c r="O28" s="61">
        <v>26</v>
      </c>
      <c r="P28" s="73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60">
        <v>24</v>
      </c>
      <c r="B29" s="61">
        <v>3812</v>
      </c>
      <c r="C29" s="61">
        <v>0</v>
      </c>
      <c r="D29" s="61">
        <v>1572</v>
      </c>
      <c r="E29" s="61">
        <v>316</v>
      </c>
      <c r="F29" s="61">
        <v>281</v>
      </c>
      <c r="G29" s="61">
        <v>453</v>
      </c>
      <c r="H29" s="61">
        <v>6434</v>
      </c>
      <c r="I29" s="61">
        <v>0</v>
      </c>
      <c r="J29" s="63"/>
      <c r="K29" s="60">
        <v>24</v>
      </c>
      <c r="L29" s="61">
        <v>4</v>
      </c>
      <c r="M29" s="61">
        <v>18</v>
      </c>
      <c r="N29" s="61">
        <v>6</v>
      </c>
      <c r="O29" s="61">
        <v>28</v>
      </c>
      <c r="P29" s="73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60">
        <v>25</v>
      </c>
      <c r="B30" s="61">
        <v>4389</v>
      </c>
      <c r="C30" s="61">
        <v>0</v>
      </c>
      <c r="D30" s="61">
        <v>1670</v>
      </c>
      <c r="E30" s="61">
        <v>272</v>
      </c>
      <c r="F30" s="61">
        <v>313</v>
      </c>
      <c r="G30" s="61">
        <v>528</v>
      </c>
      <c r="H30" s="61">
        <v>7172</v>
      </c>
      <c r="I30" s="61">
        <v>0</v>
      </c>
      <c r="J30" s="63"/>
      <c r="K30" s="60">
        <v>25</v>
      </c>
      <c r="L30" s="61">
        <v>1</v>
      </c>
      <c r="M30" s="61">
        <v>15</v>
      </c>
      <c r="N30" s="61">
        <v>9</v>
      </c>
      <c r="O30" s="61">
        <v>25</v>
      </c>
      <c r="P30" s="73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60">
        <v>26</v>
      </c>
      <c r="B31" s="61">
        <v>6412</v>
      </c>
      <c r="C31" s="61">
        <v>0</v>
      </c>
      <c r="D31" s="61">
        <v>1575</v>
      </c>
      <c r="E31" s="61">
        <v>253</v>
      </c>
      <c r="F31" s="61">
        <v>294</v>
      </c>
      <c r="G31" s="61">
        <v>468</v>
      </c>
      <c r="H31" s="61">
        <v>9002</v>
      </c>
      <c r="I31" s="61">
        <v>0</v>
      </c>
      <c r="J31" s="63"/>
      <c r="K31" s="60">
        <v>26</v>
      </c>
      <c r="L31" s="61">
        <v>4</v>
      </c>
      <c r="M31" s="61">
        <v>16</v>
      </c>
      <c r="N31" s="61">
        <v>3</v>
      </c>
      <c r="O31" s="61">
        <v>23</v>
      </c>
      <c r="P31" s="73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60">
        <v>27</v>
      </c>
      <c r="B32" s="61">
        <v>8966</v>
      </c>
      <c r="C32" s="61">
        <v>0</v>
      </c>
      <c r="D32" s="61">
        <v>1258</v>
      </c>
      <c r="E32" s="61">
        <v>162</v>
      </c>
      <c r="F32" s="61">
        <v>239</v>
      </c>
      <c r="G32" s="61">
        <v>302</v>
      </c>
      <c r="H32" s="61">
        <v>10927</v>
      </c>
      <c r="I32" s="61">
        <v>0</v>
      </c>
      <c r="J32" s="63"/>
      <c r="K32" s="60">
        <v>27</v>
      </c>
      <c r="L32" s="61">
        <v>1</v>
      </c>
      <c r="M32" s="61">
        <v>8</v>
      </c>
      <c r="N32" s="61">
        <v>6</v>
      </c>
      <c r="O32" s="61">
        <v>15</v>
      </c>
      <c r="P32" s="73">
        <v>6135</v>
      </c>
    </row>
    <row r="33" spans="1:16" ht="15.6" thickTop="1" thickBot="1" x14ac:dyDescent="0.35">
      <c r="A33" s="60">
        <v>28</v>
      </c>
      <c r="B33" s="61">
        <v>8070</v>
      </c>
      <c r="C33" s="61">
        <v>0</v>
      </c>
      <c r="D33" s="61">
        <v>1325</v>
      </c>
      <c r="E33" s="61">
        <v>183</v>
      </c>
      <c r="F33" s="61">
        <v>207</v>
      </c>
      <c r="G33" s="61">
        <v>411</v>
      </c>
      <c r="H33" s="61">
        <v>10196</v>
      </c>
      <c r="I33" s="61">
        <v>0</v>
      </c>
      <c r="J33" s="63"/>
      <c r="K33" s="60">
        <v>28</v>
      </c>
      <c r="L33" s="61">
        <v>7</v>
      </c>
      <c r="M33" s="61">
        <v>12</v>
      </c>
      <c r="N33" s="61">
        <v>5</v>
      </c>
      <c r="O33" s="61">
        <v>24</v>
      </c>
      <c r="P33" s="73">
        <v>6135</v>
      </c>
    </row>
    <row r="34" spans="1:16" ht="15.6" thickTop="1" thickBot="1" x14ac:dyDescent="0.35">
      <c r="A34" s="60">
        <v>29</v>
      </c>
      <c r="B34" s="61">
        <v>5434</v>
      </c>
      <c r="C34" s="61">
        <v>0</v>
      </c>
      <c r="D34" s="61">
        <v>1307</v>
      </c>
      <c r="E34" s="61">
        <v>245</v>
      </c>
      <c r="F34" s="61">
        <v>223</v>
      </c>
      <c r="G34" s="61">
        <v>442</v>
      </c>
      <c r="H34" s="61">
        <v>7651</v>
      </c>
      <c r="I34" s="61">
        <v>0</v>
      </c>
      <c r="J34" s="63"/>
      <c r="K34" s="60">
        <v>29</v>
      </c>
      <c r="L34" s="61">
        <v>5</v>
      </c>
      <c r="M34" s="61">
        <v>13</v>
      </c>
      <c r="N34" s="61">
        <v>5</v>
      </c>
      <c r="O34" s="61">
        <v>23</v>
      </c>
      <c r="P34" s="73">
        <v>6135</v>
      </c>
    </row>
    <row r="35" spans="1:16" ht="15.6" thickTop="1" thickBot="1" x14ac:dyDescent="0.35">
      <c r="A35" s="60">
        <v>30</v>
      </c>
      <c r="B35" s="61">
        <v>6491</v>
      </c>
      <c r="C35" s="61">
        <v>0</v>
      </c>
      <c r="D35" s="61">
        <v>1481</v>
      </c>
      <c r="E35" s="61">
        <v>216</v>
      </c>
      <c r="F35" s="61">
        <v>231</v>
      </c>
      <c r="G35" s="61">
        <v>377</v>
      </c>
      <c r="H35" s="61">
        <v>8796</v>
      </c>
      <c r="I35" s="61">
        <v>0</v>
      </c>
      <c r="J35" s="63"/>
      <c r="K35" s="60">
        <v>30</v>
      </c>
      <c r="L35" s="61">
        <v>8</v>
      </c>
      <c r="M35" s="61">
        <v>16</v>
      </c>
      <c r="N35" s="61">
        <v>3</v>
      </c>
      <c r="O35" s="61">
        <v>27</v>
      </c>
      <c r="P35" s="73">
        <v>6135</v>
      </c>
    </row>
    <row r="36" spans="1:16" ht="15.6" thickTop="1" thickBot="1" x14ac:dyDescent="0.35">
      <c r="A36" s="60">
        <v>31</v>
      </c>
      <c r="B36" s="61">
        <v>10817</v>
      </c>
      <c r="C36" s="61">
        <v>0</v>
      </c>
      <c r="D36" s="61">
        <v>1396</v>
      </c>
      <c r="E36" s="61">
        <v>162</v>
      </c>
      <c r="F36" s="61">
        <v>199</v>
      </c>
      <c r="G36" s="61">
        <v>265</v>
      </c>
      <c r="H36" s="61">
        <v>12839</v>
      </c>
      <c r="I36" s="61">
        <v>0</v>
      </c>
      <c r="J36" s="63"/>
      <c r="K36" s="60">
        <v>31</v>
      </c>
      <c r="L36" s="78">
        <v>9</v>
      </c>
      <c r="M36" s="78">
        <v>16</v>
      </c>
      <c r="N36" s="78">
        <v>5</v>
      </c>
      <c r="O36" s="61">
        <v>30</v>
      </c>
      <c r="P36" s="73">
        <v>6135</v>
      </c>
    </row>
    <row r="37" spans="1:16" ht="15" thickTop="1" x14ac:dyDescent="0.3">
      <c r="A37" s="55" t="s">
        <v>19</v>
      </c>
      <c r="B37" s="57">
        <v>176682</v>
      </c>
      <c r="C37" s="57">
        <v>0</v>
      </c>
      <c r="D37" s="57">
        <v>41619</v>
      </c>
      <c r="E37" s="57">
        <v>6857</v>
      </c>
      <c r="F37" s="57">
        <v>7058</v>
      </c>
      <c r="G37" s="57">
        <v>11505</v>
      </c>
      <c r="H37" s="57">
        <v>243721</v>
      </c>
      <c r="I37" s="57">
        <v>0</v>
      </c>
      <c r="J37" s="57"/>
      <c r="K37" s="57"/>
      <c r="L37" s="57">
        <v>144</v>
      </c>
      <c r="M37" s="57">
        <v>411</v>
      </c>
      <c r="N37" s="57">
        <v>155</v>
      </c>
      <c r="O37" s="155">
        <v>710</v>
      </c>
      <c r="P37" s="57">
        <v>190185</v>
      </c>
    </row>
    <row r="38" spans="1:16" x14ac:dyDescent="0.3">
      <c r="A38" s="55" t="s">
        <v>19</v>
      </c>
      <c r="B38" s="173">
        <v>176682</v>
      </c>
      <c r="C38" s="173"/>
      <c r="D38" s="57">
        <v>41619</v>
      </c>
      <c r="E38" s="57">
        <v>6857</v>
      </c>
      <c r="F38" s="57">
        <v>7058</v>
      </c>
      <c r="G38" s="57">
        <v>11505</v>
      </c>
      <c r="H38" s="155">
        <v>243721</v>
      </c>
      <c r="I38" s="57">
        <v>0</v>
      </c>
      <c r="J38" s="64"/>
      <c r="K38" s="55"/>
      <c r="L38" s="65" t="s">
        <v>20</v>
      </c>
      <c r="M38" s="65" t="s">
        <v>21</v>
      </c>
      <c r="N38" s="65" t="s">
        <v>20</v>
      </c>
      <c r="O38" s="65" t="s">
        <v>21</v>
      </c>
      <c r="P38" s="58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58"/>
      <c r="J39" s="58"/>
      <c r="K39" s="58"/>
      <c r="L39" s="71"/>
      <c r="M39" s="58"/>
      <c r="N39" s="58"/>
      <c r="O39" s="58"/>
      <c r="P39" s="58"/>
    </row>
    <row r="40" spans="1:16" x14ac:dyDescent="0.3">
      <c r="A40" s="76"/>
      <c r="B40" s="77"/>
      <c r="C40" s="77"/>
      <c r="D40" s="77"/>
      <c r="E40" s="77"/>
      <c r="F40" s="77"/>
      <c r="G40" s="77"/>
      <c r="H40" s="77"/>
      <c r="I40" s="77"/>
      <c r="J40" s="71"/>
      <c r="K40" s="26"/>
      <c r="L40" s="25"/>
      <c r="M40" s="58"/>
      <c r="N40" s="58"/>
      <c r="O40" s="58"/>
      <c r="P40" s="58"/>
    </row>
    <row r="41" spans="1:16" x14ac:dyDescent="0.3">
      <c r="A41" s="67"/>
      <c r="B41" s="58"/>
      <c r="C41" s="58"/>
      <c r="D41" s="58"/>
      <c r="E41" s="58"/>
      <c r="F41" s="58"/>
      <c r="G41" s="58"/>
      <c r="H41" s="67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26"/>
      <c r="L42" s="25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7"/>
      <c r="J43" s="67"/>
      <c r="K43" s="58"/>
      <c r="L43" s="58"/>
      <c r="M43" s="58"/>
      <c r="N43" s="58"/>
      <c r="O43" s="58"/>
      <c r="P43" s="58"/>
    </row>
    <row r="45" spans="1:16" x14ac:dyDescent="0.3">
      <c r="A45" s="75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75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E722-C96D-4A9D-8C75-179D2B893310}">
  <dimension ref="A1:Z46"/>
  <sheetViews>
    <sheetView workbookViewId="0">
      <selection activeCell="D9" sqref="D9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25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80">
        <v>1</v>
      </c>
      <c r="B6" s="81">
        <v>10013</v>
      </c>
      <c r="C6" s="81">
        <v>0</v>
      </c>
      <c r="D6" s="81">
        <v>988</v>
      </c>
      <c r="E6" s="81">
        <v>90</v>
      </c>
      <c r="F6" s="81">
        <v>183</v>
      </c>
      <c r="G6" s="81">
        <v>163</v>
      </c>
      <c r="H6" s="81">
        <v>11437</v>
      </c>
      <c r="I6" s="81">
        <v>0</v>
      </c>
      <c r="J6" s="82"/>
      <c r="K6" s="80">
        <v>1</v>
      </c>
      <c r="L6" s="81">
        <v>0</v>
      </c>
      <c r="M6" s="81">
        <v>8</v>
      </c>
      <c r="N6" s="81">
        <v>2</v>
      </c>
      <c r="O6" s="81">
        <v>10</v>
      </c>
      <c r="P6" s="84">
        <v>6135</v>
      </c>
      <c r="Q6" s="58"/>
      <c r="R6" s="58"/>
      <c r="S6" s="58"/>
    </row>
    <row r="7" spans="1:26" ht="15.6" thickTop="1" thickBot="1" x14ac:dyDescent="0.35">
      <c r="A7" s="80">
        <v>2</v>
      </c>
      <c r="B7" s="81">
        <v>5591</v>
      </c>
      <c r="C7" s="81">
        <v>0</v>
      </c>
      <c r="D7" s="81">
        <v>476</v>
      </c>
      <c r="E7" s="81">
        <v>56</v>
      </c>
      <c r="F7" s="81">
        <v>85</v>
      </c>
      <c r="G7" s="81">
        <v>172</v>
      </c>
      <c r="H7" s="81">
        <v>6380</v>
      </c>
      <c r="I7" s="81">
        <v>0</v>
      </c>
      <c r="J7" s="82"/>
      <c r="K7" s="80">
        <v>2</v>
      </c>
      <c r="L7" s="81">
        <v>2</v>
      </c>
      <c r="M7" s="81">
        <v>9</v>
      </c>
      <c r="N7" s="81">
        <v>4</v>
      </c>
      <c r="O7" s="81">
        <v>15</v>
      </c>
      <c r="P7" s="84">
        <v>6135</v>
      </c>
      <c r="Q7" s="58"/>
      <c r="R7" s="58"/>
      <c r="S7" s="58"/>
    </row>
    <row r="8" spans="1:26" ht="15.6" thickTop="1" thickBot="1" x14ac:dyDescent="0.35">
      <c r="A8" s="80">
        <v>3</v>
      </c>
      <c r="B8" s="81">
        <v>10147</v>
      </c>
      <c r="C8" s="81">
        <v>0</v>
      </c>
      <c r="D8" s="81">
        <v>692</v>
      </c>
      <c r="E8" s="81">
        <v>80</v>
      </c>
      <c r="F8" s="81">
        <v>97</v>
      </c>
      <c r="G8" s="81">
        <v>169</v>
      </c>
      <c r="H8" s="81">
        <v>11185</v>
      </c>
      <c r="I8" s="81">
        <v>0</v>
      </c>
      <c r="J8" s="82"/>
      <c r="K8" s="80">
        <v>3</v>
      </c>
      <c r="L8" s="81">
        <v>0</v>
      </c>
      <c r="M8" s="81">
        <v>5</v>
      </c>
      <c r="N8" s="81">
        <v>1</v>
      </c>
      <c r="O8" s="81">
        <v>6</v>
      </c>
      <c r="P8" s="84">
        <v>6135</v>
      </c>
      <c r="Q8" s="58"/>
      <c r="R8" s="58"/>
      <c r="S8" s="67"/>
    </row>
    <row r="9" spans="1:26" ht="15.6" thickTop="1" thickBot="1" x14ac:dyDescent="0.35">
      <c r="A9" s="80">
        <v>4</v>
      </c>
      <c r="B9" s="81">
        <v>16460</v>
      </c>
      <c r="C9" s="81">
        <v>0</v>
      </c>
      <c r="D9" s="81">
        <v>756</v>
      </c>
      <c r="E9" s="81">
        <v>70</v>
      </c>
      <c r="F9" s="81">
        <v>75</v>
      </c>
      <c r="G9" s="81">
        <v>113</v>
      </c>
      <c r="H9" s="81">
        <v>17474</v>
      </c>
      <c r="I9" s="81">
        <v>0</v>
      </c>
      <c r="J9" s="82"/>
      <c r="K9" s="80">
        <v>4</v>
      </c>
      <c r="L9" s="81">
        <v>1</v>
      </c>
      <c r="M9" s="81">
        <v>6</v>
      </c>
      <c r="N9" s="81">
        <v>0</v>
      </c>
      <c r="O9" s="81">
        <v>7</v>
      </c>
      <c r="P9" s="84">
        <v>6135</v>
      </c>
      <c r="Q9" s="58"/>
      <c r="R9" s="58"/>
      <c r="S9" s="58"/>
    </row>
    <row r="10" spans="1:26" ht="15.6" thickTop="1" thickBot="1" x14ac:dyDescent="0.35">
      <c r="A10" s="80">
        <v>5</v>
      </c>
      <c r="B10" s="81">
        <v>6224</v>
      </c>
      <c r="C10" s="81">
        <v>0</v>
      </c>
      <c r="D10" s="81">
        <v>1327</v>
      </c>
      <c r="E10" s="81">
        <v>231</v>
      </c>
      <c r="F10" s="81">
        <v>182</v>
      </c>
      <c r="G10" s="81">
        <v>404</v>
      </c>
      <c r="H10" s="81">
        <v>8368</v>
      </c>
      <c r="I10" s="81">
        <v>0</v>
      </c>
      <c r="J10" s="82"/>
      <c r="K10" s="80">
        <v>5</v>
      </c>
      <c r="L10" s="81">
        <v>1</v>
      </c>
      <c r="M10" s="81">
        <v>16</v>
      </c>
      <c r="N10" s="81">
        <v>2</v>
      </c>
      <c r="O10" s="81">
        <v>19</v>
      </c>
      <c r="P10" s="84">
        <v>6135</v>
      </c>
      <c r="Q10" s="58"/>
      <c r="R10" s="58"/>
      <c r="S10" s="58"/>
    </row>
    <row r="11" spans="1:26" ht="15.6" thickTop="1" thickBot="1" x14ac:dyDescent="0.35">
      <c r="A11" s="80">
        <v>6</v>
      </c>
      <c r="B11" s="81">
        <v>4265</v>
      </c>
      <c r="C11" s="81">
        <v>0</v>
      </c>
      <c r="D11" s="81">
        <v>1433</v>
      </c>
      <c r="E11" s="81">
        <v>267</v>
      </c>
      <c r="F11" s="81">
        <v>250</v>
      </c>
      <c r="G11" s="81">
        <v>443</v>
      </c>
      <c r="H11" s="81">
        <v>6658</v>
      </c>
      <c r="I11" s="81">
        <v>0</v>
      </c>
      <c r="J11" s="82"/>
      <c r="K11" s="80">
        <v>6</v>
      </c>
      <c r="L11" s="81">
        <v>6</v>
      </c>
      <c r="M11" s="81">
        <v>32</v>
      </c>
      <c r="N11" s="81">
        <v>5</v>
      </c>
      <c r="O11" s="81">
        <v>43</v>
      </c>
      <c r="P11" s="84">
        <v>6135</v>
      </c>
      <c r="Q11" s="58"/>
      <c r="R11" s="58"/>
      <c r="S11" s="58"/>
    </row>
    <row r="12" spans="1:26" ht="15.6" thickTop="1" thickBot="1" x14ac:dyDescent="0.35">
      <c r="A12" s="80">
        <v>7</v>
      </c>
      <c r="B12" s="81">
        <v>3828</v>
      </c>
      <c r="C12" s="81">
        <v>0</v>
      </c>
      <c r="D12" s="81">
        <v>1540</v>
      </c>
      <c r="E12" s="81">
        <v>302</v>
      </c>
      <c r="F12" s="81">
        <v>292</v>
      </c>
      <c r="G12" s="81">
        <v>503</v>
      </c>
      <c r="H12" s="81">
        <v>6465</v>
      </c>
      <c r="I12" s="81">
        <v>0</v>
      </c>
      <c r="J12" s="83"/>
      <c r="K12" s="80">
        <v>7</v>
      </c>
      <c r="L12" s="81">
        <v>7</v>
      </c>
      <c r="M12" s="81">
        <v>18</v>
      </c>
      <c r="N12" s="81">
        <v>2</v>
      </c>
      <c r="O12" s="81">
        <v>27</v>
      </c>
      <c r="P12" s="84">
        <v>6135</v>
      </c>
      <c r="Q12" s="58"/>
      <c r="R12" s="58"/>
      <c r="S12" s="58"/>
    </row>
    <row r="13" spans="1:26" ht="15.6" thickTop="1" thickBot="1" x14ac:dyDescent="0.35">
      <c r="A13" s="80">
        <v>8</v>
      </c>
      <c r="B13" s="81">
        <v>4038</v>
      </c>
      <c r="C13" s="81">
        <v>0</v>
      </c>
      <c r="D13" s="81">
        <v>1517</v>
      </c>
      <c r="E13" s="81">
        <v>285</v>
      </c>
      <c r="F13" s="81">
        <v>251</v>
      </c>
      <c r="G13" s="81">
        <v>488</v>
      </c>
      <c r="H13" s="81">
        <v>6579</v>
      </c>
      <c r="I13" s="81">
        <v>0</v>
      </c>
      <c r="J13" s="83"/>
      <c r="K13" s="80">
        <v>8</v>
      </c>
      <c r="L13" s="81">
        <v>14</v>
      </c>
      <c r="M13" s="81">
        <v>8</v>
      </c>
      <c r="N13" s="81">
        <v>1</v>
      </c>
      <c r="O13" s="81">
        <v>23</v>
      </c>
      <c r="P13" s="84">
        <v>6135</v>
      </c>
      <c r="Q13" s="58"/>
      <c r="R13" s="58"/>
      <c r="S13" s="58"/>
    </row>
    <row r="14" spans="1:26" ht="15.6" thickTop="1" thickBot="1" x14ac:dyDescent="0.35">
      <c r="A14" s="80">
        <v>9</v>
      </c>
      <c r="B14" s="81">
        <v>4806</v>
      </c>
      <c r="C14" s="81">
        <v>0</v>
      </c>
      <c r="D14" s="81">
        <v>1357</v>
      </c>
      <c r="E14" s="81">
        <v>255</v>
      </c>
      <c r="F14" s="81">
        <v>267</v>
      </c>
      <c r="G14" s="81">
        <v>422</v>
      </c>
      <c r="H14" s="81">
        <v>7107</v>
      </c>
      <c r="I14" s="81">
        <v>0</v>
      </c>
      <c r="J14" s="83"/>
      <c r="K14" s="80">
        <v>9</v>
      </c>
      <c r="L14" s="81">
        <v>7</v>
      </c>
      <c r="M14" s="81">
        <v>16</v>
      </c>
      <c r="N14" s="81">
        <v>8</v>
      </c>
      <c r="O14" s="81">
        <v>31</v>
      </c>
      <c r="P14" s="85">
        <v>6135</v>
      </c>
      <c r="Q14" s="70"/>
      <c r="R14" s="70"/>
      <c r="S14" s="70"/>
    </row>
    <row r="15" spans="1:26" ht="15.6" thickTop="1" thickBot="1" x14ac:dyDescent="0.35">
      <c r="A15" s="80">
        <v>10</v>
      </c>
      <c r="B15" s="81">
        <v>1780</v>
      </c>
      <c r="C15" s="81">
        <v>0</v>
      </c>
      <c r="D15" s="81">
        <v>893</v>
      </c>
      <c r="E15" s="81">
        <v>197</v>
      </c>
      <c r="F15" s="81">
        <v>251</v>
      </c>
      <c r="G15" s="81">
        <v>370</v>
      </c>
      <c r="H15" s="81">
        <v>3491</v>
      </c>
      <c r="I15" s="81">
        <v>0</v>
      </c>
      <c r="J15" s="83"/>
      <c r="K15" s="80">
        <v>10</v>
      </c>
      <c r="L15" s="81">
        <v>3</v>
      </c>
      <c r="M15" s="81">
        <v>16</v>
      </c>
      <c r="N15" s="81">
        <v>4</v>
      </c>
      <c r="O15" s="81">
        <v>23</v>
      </c>
      <c r="P15" s="84">
        <v>6135</v>
      </c>
      <c r="Q15" s="58"/>
      <c r="R15" s="58"/>
      <c r="S15" s="58"/>
    </row>
    <row r="16" spans="1:26" ht="15.6" thickTop="1" thickBot="1" x14ac:dyDescent="0.35">
      <c r="A16" s="80">
        <v>11</v>
      </c>
      <c r="B16" s="81">
        <v>1728</v>
      </c>
      <c r="C16" s="81">
        <v>0</v>
      </c>
      <c r="D16" s="81">
        <v>624</v>
      </c>
      <c r="E16" s="81">
        <v>129</v>
      </c>
      <c r="F16" s="81">
        <v>163</v>
      </c>
      <c r="G16" s="81">
        <v>293</v>
      </c>
      <c r="H16" s="81">
        <v>2937</v>
      </c>
      <c r="I16" s="81">
        <v>0</v>
      </c>
      <c r="J16" s="83"/>
      <c r="K16" s="80">
        <v>11</v>
      </c>
      <c r="L16" s="81">
        <v>4</v>
      </c>
      <c r="M16" s="81">
        <v>7</v>
      </c>
      <c r="N16" s="81">
        <v>1</v>
      </c>
      <c r="O16" s="81">
        <v>12</v>
      </c>
      <c r="P16" s="84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80">
        <v>12</v>
      </c>
      <c r="B17" s="81">
        <v>2173</v>
      </c>
      <c r="C17" s="81">
        <v>0</v>
      </c>
      <c r="D17" s="81">
        <v>954</v>
      </c>
      <c r="E17" s="81">
        <v>231</v>
      </c>
      <c r="F17" s="81">
        <v>200</v>
      </c>
      <c r="G17" s="81">
        <v>455</v>
      </c>
      <c r="H17" s="81">
        <v>4013</v>
      </c>
      <c r="I17" s="81">
        <v>0</v>
      </c>
      <c r="J17" s="83"/>
      <c r="K17" s="80">
        <v>12</v>
      </c>
      <c r="L17" s="81">
        <v>1</v>
      </c>
      <c r="M17" s="81">
        <v>11</v>
      </c>
      <c r="N17" s="81">
        <v>4</v>
      </c>
      <c r="O17" s="81">
        <v>16</v>
      </c>
      <c r="P17" s="84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80">
        <v>13</v>
      </c>
      <c r="B18" s="81">
        <v>4743</v>
      </c>
      <c r="C18" s="81">
        <v>0</v>
      </c>
      <c r="D18" s="81">
        <v>1434</v>
      </c>
      <c r="E18" s="81">
        <v>246</v>
      </c>
      <c r="F18" s="81">
        <v>230</v>
      </c>
      <c r="G18" s="81">
        <v>431</v>
      </c>
      <c r="H18" s="81">
        <v>7084</v>
      </c>
      <c r="I18" s="81">
        <v>0</v>
      </c>
      <c r="J18" s="83"/>
      <c r="K18" s="80">
        <v>13</v>
      </c>
      <c r="L18" s="81">
        <v>4</v>
      </c>
      <c r="M18" s="81">
        <v>19</v>
      </c>
      <c r="N18" s="81">
        <v>5</v>
      </c>
      <c r="O18" s="81">
        <v>28</v>
      </c>
      <c r="P18" s="84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80">
        <v>14</v>
      </c>
      <c r="B19" s="81">
        <v>3576</v>
      </c>
      <c r="C19" s="81">
        <v>0</v>
      </c>
      <c r="D19" s="81">
        <v>1611</v>
      </c>
      <c r="E19" s="81">
        <v>272</v>
      </c>
      <c r="F19" s="81">
        <v>305</v>
      </c>
      <c r="G19" s="81">
        <v>494</v>
      </c>
      <c r="H19" s="81">
        <v>6258</v>
      </c>
      <c r="I19" s="81">
        <v>0</v>
      </c>
      <c r="J19" s="83"/>
      <c r="K19" s="80">
        <v>14</v>
      </c>
      <c r="L19" s="81">
        <v>1</v>
      </c>
      <c r="M19" s="81">
        <v>20</v>
      </c>
      <c r="N19" s="81">
        <v>3</v>
      </c>
      <c r="O19" s="81">
        <v>24</v>
      </c>
      <c r="P19" s="84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80">
        <v>15</v>
      </c>
      <c r="B20" s="81">
        <v>5210</v>
      </c>
      <c r="C20" s="81">
        <v>0</v>
      </c>
      <c r="D20" s="81">
        <v>1522</v>
      </c>
      <c r="E20" s="81">
        <v>283</v>
      </c>
      <c r="F20" s="81">
        <v>262</v>
      </c>
      <c r="G20" s="81">
        <v>514</v>
      </c>
      <c r="H20" s="81">
        <v>7791</v>
      </c>
      <c r="I20" s="81">
        <v>0</v>
      </c>
      <c r="J20" s="83"/>
      <c r="K20" s="80">
        <v>15</v>
      </c>
      <c r="L20" s="81">
        <v>7</v>
      </c>
      <c r="M20" s="81">
        <v>25</v>
      </c>
      <c r="N20" s="81">
        <v>4</v>
      </c>
      <c r="O20" s="81">
        <v>36</v>
      </c>
      <c r="P20" s="84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80">
        <v>16</v>
      </c>
      <c r="B21" s="81">
        <v>2230</v>
      </c>
      <c r="C21" s="81">
        <v>0</v>
      </c>
      <c r="D21" s="81">
        <v>720</v>
      </c>
      <c r="E21" s="81">
        <v>162</v>
      </c>
      <c r="F21" s="81">
        <v>145</v>
      </c>
      <c r="G21" s="81">
        <v>307</v>
      </c>
      <c r="H21" s="81">
        <v>3564</v>
      </c>
      <c r="I21" s="81">
        <v>0</v>
      </c>
      <c r="J21" s="83"/>
      <c r="K21" s="80">
        <v>16</v>
      </c>
      <c r="L21" s="81">
        <v>4</v>
      </c>
      <c r="M21" s="81">
        <v>24</v>
      </c>
      <c r="N21" s="81">
        <v>6</v>
      </c>
      <c r="O21" s="81">
        <v>34</v>
      </c>
      <c r="P21" s="84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80">
        <v>17</v>
      </c>
      <c r="B22" s="81">
        <v>2042</v>
      </c>
      <c r="C22" s="81">
        <v>0</v>
      </c>
      <c r="D22" s="81">
        <v>991</v>
      </c>
      <c r="E22" s="81">
        <v>217</v>
      </c>
      <c r="F22" s="81">
        <v>250</v>
      </c>
      <c r="G22" s="81">
        <v>385</v>
      </c>
      <c r="H22" s="81">
        <v>3885</v>
      </c>
      <c r="I22" s="81">
        <v>0</v>
      </c>
      <c r="J22" s="83"/>
      <c r="K22" s="80">
        <v>17</v>
      </c>
      <c r="L22" s="81">
        <v>3</v>
      </c>
      <c r="M22" s="81">
        <v>16</v>
      </c>
      <c r="N22" s="81">
        <v>2</v>
      </c>
      <c r="O22" s="81">
        <v>21</v>
      </c>
      <c r="P22" s="84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80">
        <v>18</v>
      </c>
      <c r="B23" s="81">
        <v>2638</v>
      </c>
      <c r="C23" s="81">
        <v>0</v>
      </c>
      <c r="D23" s="81">
        <v>1279</v>
      </c>
      <c r="E23" s="81">
        <v>263</v>
      </c>
      <c r="F23" s="81">
        <v>269</v>
      </c>
      <c r="G23" s="81">
        <v>489</v>
      </c>
      <c r="H23" s="87">
        <v>4938</v>
      </c>
      <c r="I23" s="81">
        <v>0</v>
      </c>
      <c r="J23" s="83"/>
      <c r="K23" s="80">
        <v>18</v>
      </c>
      <c r="L23" s="81">
        <v>1</v>
      </c>
      <c r="M23" s="81">
        <v>6</v>
      </c>
      <c r="N23" s="81">
        <v>4</v>
      </c>
      <c r="O23" s="81">
        <v>11</v>
      </c>
      <c r="P23" s="84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80">
        <v>19</v>
      </c>
      <c r="B24" s="81">
        <v>4342</v>
      </c>
      <c r="C24" s="81">
        <v>0</v>
      </c>
      <c r="D24" s="81">
        <v>1145</v>
      </c>
      <c r="E24" s="81">
        <v>225</v>
      </c>
      <c r="F24" s="81">
        <v>196</v>
      </c>
      <c r="G24" s="81">
        <v>408</v>
      </c>
      <c r="H24" s="87">
        <v>6316</v>
      </c>
      <c r="I24" s="81">
        <v>0</v>
      </c>
      <c r="J24" s="83"/>
      <c r="K24" s="80">
        <v>19</v>
      </c>
      <c r="L24" s="81">
        <v>1</v>
      </c>
      <c r="M24" s="81">
        <v>15</v>
      </c>
      <c r="N24" s="81">
        <v>2</v>
      </c>
      <c r="O24" s="81">
        <v>18</v>
      </c>
      <c r="P24" s="84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80">
        <v>20</v>
      </c>
      <c r="B25" s="81">
        <v>3559</v>
      </c>
      <c r="C25" s="81">
        <v>0</v>
      </c>
      <c r="D25" s="81">
        <v>1528</v>
      </c>
      <c r="E25" s="81">
        <v>238</v>
      </c>
      <c r="F25" s="81">
        <v>219</v>
      </c>
      <c r="G25" s="81">
        <v>400</v>
      </c>
      <c r="H25" s="81">
        <v>5944</v>
      </c>
      <c r="I25" s="81">
        <v>0</v>
      </c>
      <c r="J25" s="83"/>
      <c r="K25" s="80">
        <v>20</v>
      </c>
      <c r="L25" s="81">
        <v>4</v>
      </c>
      <c r="M25" s="81">
        <v>21</v>
      </c>
      <c r="N25" s="81">
        <v>4</v>
      </c>
      <c r="O25" s="81">
        <v>29</v>
      </c>
      <c r="P25" s="84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80">
        <v>21</v>
      </c>
      <c r="B26" s="81">
        <v>3688</v>
      </c>
      <c r="C26" s="81">
        <v>0</v>
      </c>
      <c r="D26" s="81">
        <v>1602</v>
      </c>
      <c r="E26" s="81">
        <v>267</v>
      </c>
      <c r="F26" s="81">
        <v>295</v>
      </c>
      <c r="G26" s="81">
        <v>490</v>
      </c>
      <c r="H26" s="81">
        <v>6342</v>
      </c>
      <c r="I26" s="81">
        <v>0</v>
      </c>
      <c r="J26" s="83"/>
      <c r="K26" s="80">
        <v>21</v>
      </c>
      <c r="L26" s="81">
        <v>12</v>
      </c>
      <c r="M26" s="81">
        <v>23</v>
      </c>
      <c r="N26" s="81">
        <v>4</v>
      </c>
      <c r="O26" s="81">
        <v>39</v>
      </c>
      <c r="P26" s="84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80">
        <v>22</v>
      </c>
      <c r="B27" s="81">
        <v>5288</v>
      </c>
      <c r="C27" s="81">
        <v>0</v>
      </c>
      <c r="D27" s="81">
        <v>1582</v>
      </c>
      <c r="E27" s="81">
        <v>265</v>
      </c>
      <c r="F27" s="81">
        <v>244</v>
      </c>
      <c r="G27" s="81">
        <v>479</v>
      </c>
      <c r="H27" s="81">
        <v>7858</v>
      </c>
      <c r="I27" s="81">
        <v>0</v>
      </c>
      <c r="J27" s="83"/>
      <c r="K27" s="80">
        <v>22</v>
      </c>
      <c r="L27" s="81">
        <v>5</v>
      </c>
      <c r="M27" s="81">
        <v>11</v>
      </c>
      <c r="N27" s="81">
        <v>7</v>
      </c>
      <c r="O27" s="81">
        <v>23</v>
      </c>
      <c r="P27" s="84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80">
        <v>23</v>
      </c>
      <c r="B28" s="81">
        <v>2771</v>
      </c>
      <c r="C28" s="81">
        <v>0</v>
      </c>
      <c r="D28" s="81">
        <v>1259</v>
      </c>
      <c r="E28" s="81">
        <v>238</v>
      </c>
      <c r="F28" s="81">
        <v>239</v>
      </c>
      <c r="G28" s="81">
        <v>393</v>
      </c>
      <c r="H28" s="81">
        <v>4900</v>
      </c>
      <c r="I28" s="81">
        <v>0</v>
      </c>
      <c r="J28" s="83"/>
      <c r="K28" s="80">
        <v>23</v>
      </c>
      <c r="L28" s="81">
        <v>3</v>
      </c>
      <c r="M28" s="81">
        <v>25</v>
      </c>
      <c r="N28" s="81">
        <v>6</v>
      </c>
      <c r="O28" s="81">
        <v>34</v>
      </c>
      <c r="P28" s="84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80">
        <v>24</v>
      </c>
      <c r="B29" s="81">
        <v>2223</v>
      </c>
      <c r="C29" s="81">
        <v>0</v>
      </c>
      <c r="D29" s="81">
        <v>968</v>
      </c>
      <c r="E29" s="81">
        <v>197</v>
      </c>
      <c r="F29" s="81">
        <v>220</v>
      </c>
      <c r="G29" s="81">
        <v>297</v>
      </c>
      <c r="H29" s="81">
        <v>3905</v>
      </c>
      <c r="I29" s="81">
        <v>0</v>
      </c>
      <c r="J29" s="83"/>
      <c r="K29" s="80">
        <v>24</v>
      </c>
      <c r="L29" s="81">
        <v>4</v>
      </c>
      <c r="M29" s="81">
        <v>18</v>
      </c>
      <c r="N29" s="81">
        <v>6</v>
      </c>
      <c r="O29" s="81">
        <v>28</v>
      </c>
      <c r="P29" s="84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80">
        <v>25</v>
      </c>
      <c r="B30" s="81">
        <v>2927</v>
      </c>
      <c r="C30" s="81">
        <v>0</v>
      </c>
      <c r="D30" s="81">
        <v>856</v>
      </c>
      <c r="E30" s="81">
        <v>157</v>
      </c>
      <c r="F30" s="81">
        <v>160</v>
      </c>
      <c r="G30" s="81">
        <v>293</v>
      </c>
      <c r="H30" s="81">
        <v>4393</v>
      </c>
      <c r="I30" s="81">
        <v>0</v>
      </c>
      <c r="J30" s="83"/>
      <c r="K30" s="80">
        <v>25</v>
      </c>
      <c r="L30" s="81">
        <v>2</v>
      </c>
      <c r="M30" s="81">
        <v>6</v>
      </c>
      <c r="N30" s="81">
        <v>5</v>
      </c>
      <c r="O30" s="81">
        <v>13</v>
      </c>
      <c r="P30" s="84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80">
        <v>26</v>
      </c>
      <c r="B31" s="81">
        <v>4543</v>
      </c>
      <c r="C31" s="81">
        <v>0</v>
      </c>
      <c r="D31" s="81">
        <v>1181</v>
      </c>
      <c r="E31" s="81">
        <v>228</v>
      </c>
      <c r="F31" s="81">
        <v>179</v>
      </c>
      <c r="G31" s="81">
        <v>395</v>
      </c>
      <c r="H31" s="81">
        <v>6526</v>
      </c>
      <c r="I31" s="81">
        <v>0</v>
      </c>
      <c r="J31" s="83"/>
      <c r="K31" s="80">
        <v>26</v>
      </c>
      <c r="L31" s="81">
        <v>3</v>
      </c>
      <c r="M31" s="81">
        <v>10</v>
      </c>
      <c r="N31" s="81">
        <v>6</v>
      </c>
      <c r="O31" s="81">
        <v>19</v>
      </c>
      <c r="P31" s="84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80">
        <v>27</v>
      </c>
      <c r="B32" s="81">
        <v>3668</v>
      </c>
      <c r="C32" s="81">
        <v>0</v>
      </c>
      <c r="D32" s="81">
        <v>1475</v>
      </c>
      <c r="E32" s="81">
        <v>239</v>
      </c>
      <c r="F32" s="81">
        <v>248</v>
      </c>
      <c r="G32" s="81">
        <v>435</v>
      </c>
      <c r="H32" s="81">
        <v>6065</v>
      </c>
      <c r="I32" s="81">
        <v>0</v>
      </c>
      <c r="J32" s="83"/>
      <c r="K32" s="80">
        <v>27</v>
      </c>
      <c r="L32" s="81">
        <v>3</v>
      </c>
      <c r="M32" s="81">
        <v>12</v>
      </c>
      <c r="N32" s="81">
        <v>6</v>
      </c>
      <c r="O32" s="81">
        <v>21</v>
      </c>
      <c r="P32" s="84">
        <v>6135</v>
      </c>
    </row>
    <row r="33" spans="1:16" ht="15.6" thickTop="1" thickBot="1" x14ac:dyDescent="0.35">
      <c r="A33" s="80">
        <v>28</v>
      </c>
      <c r="B33" s="81">
        <v>2366</v>
      </c>
      <c r="C33" s="81">
        <v>0</v>
      </c>
      <c r="D33" s="81">
        <v>1433</v>
      </c>
      <c r="E33" s="81">
        <v>239</v>
      </c>
      <c r="F33" s="81">
        <v>281</v>
      </c>
      <c r="G33" s="81">
        <v>475</v>
      </c>
      <c r="H33" s="81">
        <v>4794</v>
      </c>
      <c r="I33" s="81">
        <v>0</v>
      </c>
      <c r="J33" s="83"/>
      <c r="K33" s="80">
        <v>28</v>
      </c>
      <c r="L33" s="81">
        <v>17</v>
      </c>
      <c r="M33" s="81">
        <v>21</v>
      </c>
      <c r="N33" s="81">
        <v>5</v>
      </c>
      <c r="O33" s="81">
        <v>43</v>
      </c>
      <c r="P33" s="84">
        <v>6135</v>
      </c>
    </row>
    <row r="34" spans="1:16" ht="15.6" thickTop="1" thickBot="1" x14ac:dyDescent="0.35">
      <c r="A34" s="80">
        <v>29</v>
      </c>
      <c r="B34" s="81">
        <v>4869</v>
      </c>
      <c r="C34" s="81">
        <v>0</v>
      </c>
      <c r="D34" s="81">
        <v>2199</v>
      </c>
      <c r="E34" s="81">
        <v>392</v>
      </c>
      <c r="F34" s="81">
        <v>326</v>
      </c>
      <c r="G34" s="81">
        <v>876</v>
      </c>
      <c r="H34" s="81">
        <v>8662</v>
      </c>
      <c r="I34" s="81">
        <v>0</v>
      </c>
      <c r="J34" s="83"/>
      <c r="K34" s="80">
        <v>29</v>
      </c>
      <c r="L34" s="81">
        <v>24</v>
      </c>
      <c r="M34" s="81">
        <v>22</v>
      </c>
      <c r="N34" s="81">
        <v>5</v>
      </c>
      <c r="O34" s="81">
        <v>51</v>
      </c>
      <c r="P34" s="84">
        <v>6135</v>
      </c>
    </row>
    <row r="35" spans="1:16" ht="15.6" thickTop="1" thickBot="1" x14ac:dyDescent="0.35">
      <c r="A35" s="80">
        <v>30</v>
      </c>
      <c r="B35" s="81">
        <v>2928</v>
      </c>
      <c r="C35" s="81">
        <v>0</v>
      </c>
      <c r="D35" s="81">
        <v>1328</v>
      </c>
      <c r="E35" s="81">
        <v>256</v>
      </c>
      <c r="F35" s="81">
        <v>227</v>
      </c>
      <c r="G35" s="81">
        <v>525</v>
      </c>
      <c r="H35" s="81">
        <v>5264</v>
      </c>
      <c r="I35" s="81">
        <v>0</v>
      </c>
      <c r="J35" s="83"/>
      <c r="K35" s="80">
        <v>30</v>
      </c>
      <c r="L35" s="81">
        <v>26</v>
      </c>
      <c r="M35" s="81">
        <v>13</v>
      </c>
      <c r="N35" s="81">
        <v>6</v>
      </c>
      <c r="O35" s="81">
        <v>45</v>
      </c>
      <c r="P35" s="84">
        <v>6135</v>
      </c>
    </row>
    <row r="36" spans="1:16" ht="15.6" thickTop="1" thickBot="1" x14ac:dyDescent="0.35">
      <c r="A36" s="80">
        <v>31</v>
      </c>
      <c r="B36" s="81"/>
      <c r="C36" s="81"/>
      <c r="D36" s="81"/>
      <c r="E36" s="81"/>
      <c r="F36" s="81"/>
      <c r="G36" s="81"/>
      <c r="H36" s="81">
        <v>0</v>
      </c>
      <c r="I36" s="81">
        <v>0</v>
      </c>
      <c r="J36" s="83"/>
      <c r="K36" s="80">
        <v>31</v>
      </c>
      <c r="L36" s="86"/>
      <c r="M36" s="86"/>
      <c r="N36" s="86"/>
      <c r="O36" s="81">
        <v>0</v>
      </c>
      <c r="P36" s="84">
        <v>6135</v>
      </c>
    </row>
    <row r="37" spans="1:16" ht="15" thickTop="1" x14ac:dyDescent="0.3">
      <c r="A37" s="55" t="s">
        <v>19</v>
      </c>
      <c r="B37" s="57">
        <v>134664</v>
      </c>
      <c r="C37" s="57">
        <v>0</v>
      </c>
      <c r="D37" s="57">
        <v>36670</v>
      </c>
      <c r="E37" s="57">
        <v>6577</v>
      </c>
      <c r="F37" s="57">
        <v>6591</v>
      </c>
      <c r="G37" s="57">
        <v>12081</v>
      </c>
      <c r="H37" s="57">
        <v>196583</v>
      </c>
      <c r="I37" s="57">
        <v>0</v>
      </c>
      <c r="J37" s="57"/>
      <c r="K37" s="57"/>
      <c r="L37" s="57">
        <v>170</v>
      </c>
      <c r="M37" s="57">
        <v>459</v>
      </c>
      <c r="N37" s="57">
        <v>120</v>
      </c>
      <c r="O37" s="155">
        <v>749</v>
      </c>
      <c r="P37" s="57">
        <v>190185</v>
      </c>
    </row>
    <row r="38" spans="1:16" x14ac:dyDescent="0.3">
      <c r="A38" s="55" t="s">
        <v>19</v>
      </c>
      <c r="B38" s="173">
        <v>134664</v>
      </c>
      <c r="C38" s="173"/>
      <c r="D38" s="57">
        <v>36670</v>
      </c>
      <c r="E38" s="57">
        <v>6577</v>
      </c>
      <c r="F38" s="57">
        <v>6591</v>
      </c>
      <c r="G38" s="57">
        <v>12081</v>
      </c>
      <c r="H38" s="155">
        <v>196583</v>
      </c>
      <c r="I38" s="57">
        <v>0</v>
      </c>
      <c r="J38" s="64"/>
      <c r="K38" s="55"/>
      <c r="L38" s="65" t="s">
        <v>20</v>
      </c>
      <c r="M38" s="65" t="s">
        <v>21</v>
      </c>
      <c r="N38" s="65" t="s">
        <v>20</v>
      </c>
      <c r="O38" s="65" t="s">
        <v>21</v>
      </c>
      <c r="P38" s="58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58"/>
      <c r="J39" s="58"/>
      <c r="K39" s="58"/>
      <c r="L39" s="71"/>
      <c r="M39" s="58"/>
      <c r="N39" s="58"/>
      <c r="O39" s="58"/>
      <c r="P39" s="58"/>
    </row>
    <row r="40" spans="1:16" x14ac:dyDescent="0.3">
      <c r="A40" s="76"/>
      <c r="B40" s="77"/>
      <c r="C40" s="77"/>
      <c r="D40" s="77"/>
      <c r="E40" s="77"/>
      <c r="F40" s="77"/>
      <c r="G40" s="77"/>
      <c r="H40" s="77"/>
      <c r="I40" s="77"/>
      <c r="J40" s="71"/>
      <c r="K40" s="26"/>
      <c r="L40" s="25"/>
      <c r="M40" s="58"/>
      <c r="N40" s="58"/>
      <c r="O40" s="58"/>
      <c r="P40" s="58"/>
    </row>
    <row r="41" spans="1:16" x14ac:dyDescent="0.3">
      <c r="A41" s="67"/>
      <c r="B41" s="58"/>
      <c r="C41" s="58"/>
      <c r="D41" s="58"/>
      <c r="E41" s="58"/>
      <c r="F41" s="58"/>
      <c r="G41" s="58"/>
      <c r="H41" s="67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26"/>
      <c r="L42" s="25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7"/>
      <c r="J43" s="67"/>
      <c r="K43" s="58"/>
      <c r="L43" s="58"/>
      <c r="M43" s="58"/>
      <c r="N43" s="58"/>
      <c r="O43" s="58"/>
      <c r="P43" s="58"/>
    </row>
    <row r="45" spans="1:16" x14ac:dyDescent="0.3">
      <c r="A45" s="75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75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58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4EEE-6210-408A-8B24-1C3AF598DD14}">
  <dimension ref="A1:Z46"/>
  <sheetViews>
    <sheetView workbookViewId="0">
      <selection activeCell="D10" sqref="D10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26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88">
        <v>1</v>
      </c>
      <c r="B6" s="89">
        <v>2053</v>
      </c>
      <c r="C6" s="89">
        <v>0</v>
      </c>
      <c r="D6" s="89">
        <v>1174</v>
      </c>
      <c r="E6" s="89">
        <v>200</v>
      </c>
      <c r="F6" s="89">
        <v>256</v>
      </c>
      <c r="G6" s="89">
        <v>574</v>
      </c>
      <c r="H6" s="89">
        <v>4257</v>
      </c>
      <c r="I6" s="89">
        <v>0</v>
      </c>
      <c r="J6" s="90"/>
      <c r="K6" s="88">
        <v>1</v>
      </c>
      <c r="L6" s="89">
        <v>26</v>
      </c>
      <c r="M6" s="89">
        <v>10</v>
      </c>
      <c r="N6" s="89">
        <v>6</v>
      </c>
      <c r="O6" s="89">
        <v>42</v>
      </c>
      <c r="P6" s="92">
        <v>6135</v>
      </c>
      <c r="Q6" s="58"/>
      <c r="R6" s="58"/>
      <c r="S6" s="58"/>
    </row>
    <row r="7" spans="1:26" ht="15.6" thickTop="1" thickBot="1" x14ac:dyDescent="0.35">
      <c r="A7" s="88">
        <v>2</v>
      </c>
      <c r="B7" s="89">
        <v>2912</v>
      </c>
      <c r="C7" s="89">
        <v>0</v>
      </c>
      <c r="D7" s="89">
        <v>1153</v>
      </c>
      <c r="E7" s="89">
        <v>276</v>
      </c>
      <c r="F7" s="89">
        <v>284</v>
      </c>
      <c r="G7" s="89">
        <v>614</v>
      </c>
      <c r="H7" s="89">
        <v>5239</v>
      </c>
      <c r="I7" s="89">
        <v>0</v>
      </c>
      <c r="J7" s="90"/>
      <c r="K7" s="88">
        <v>2</v>
      </c>
      <c r="L7" s="89">
        <v>21</v>
      </c>
      <c r="M7" s="89">
        <v>11</v>
      </c>
      <c r="N7" s="89">
        <v>1</v>
      </c>
      <c r="O7" s="89">
        <v>33</v>
      </c>
      <c r="P7" s="92">
        <v>6135</v>
      </c>
      <c r="Q7" s="58"/>
      <c r="R7" s="58"/>
      <c r="S7" s="58"/>
    </row>
    <row r="8" spans="1:26" ht="15.6" thickTop="1" thickBot="1" x14ac:dyDescent="0.35">
      <c r="A8" s="88">
        <v>3</v>
      </c>
      <c r="B8" s="89">
        <v>2261</v>
      </c>
      <c r="C8" s="89">
        <v>0</v>
      </c>
      <c r="D8" s="89">
        <v>412</v>
      </c>
      <c r="E8" s="89">
        <v>82</v>
      </c>
      <c r="F8" s="89">
        <v>72</v>
      </c>
      <c r="G8" s="89">
        <v>178</v>
      </c>
      <c r="H8" s="89">
        <v>3005</v>
      </c>
      <c r="I8" s="89">
        <v>0</v>
      </c>
      <c r="J8" s="90"/>
      <c r="K8" s="88">
        <v>3</v>
      </c>
      <c r="L8" s="89">
        <v>10</v>
      </c>
      <c r="M8" s="89">
        <v>10</v>
      </c>
      <c r="N8" s="89">
        <v>4</v>
      </c>
      <c r="O8" s="89">
        <v>24</v>
      </c>
      <c r="P8" s="92">
        <v>6135</v>
      </c>
      <c r="Q8" s="58"/>
      <c r="R8" s="58"/>
      <c r="S8" s="67"/>
    </row>
    <row r="9" spans="1:26" ht="15.6" thickTop="1" thickBot="1" x14ac:dyDescent="0.35">
      <c r="A9" s="88">
        <v>4</v>
      </c>
      <c r="B9" s="89">
        <v>2223</v>
      </c>
      <c r="C9" s="89">
        <v>0</v>
      </c>
      <c r="D9" s="89">
        <v>817</v>
      </c>
      <c r="E9" s="89">
        <v>134</v>
      </c>
      <c r="F9" s="89">
        <v>156</v>
      </c>
      <c r="G9" s="89">
        <v>170</v>
      </c>
      <c r="H9" s="89">
        <v>3500</v>
      </c>
      <c r="I9" s="89">
        <v>0</v>
      </c>
      <c r="J9" s="90"/>
      <c r="K9" s="88">
        <v>4</v>
      </c>
      <c r="L9" s="89">
        <v>1</v>
      </c>
      <c r="M9" s="89">
        <v>8</v>
      </c>
      <c r="N9" s="89">
        <v>5</v>
      </c>
      <c r="O9" s="89">
        <v>14</v>
      </c>
      <c r="P9" s="92">
        <v>6135</v>
      </c>
      <c r="Q9" s="58"/>
      <c r="R9" s="58"/>
      <c r="S9" s="58"/>
    </row>
    <row r="10" spans="1:26" ht="15.6" thickTop="1" thickBot="1" x14ac:dyDescent="0.35">
      <c r="A10" s="88">
        <v>5</v>
      </c>
      <c r="B10" s="89">
        <v>898</v>
      </c>
      <c r="C10" s="89">
        <v>0</v>
      </c>
      <c r="D10" s="89">
        <v>549</v>
      </c>
      <c r="E10" s="89">
        <v>81</v>
      </c>
      <c r="F10" s="89">
        <v>101</v>
      </c>
      <c r="G10" s="89">
        <v>120</v>
      </c>
      <c r="H10" s="89">
        <v>1749</v>
      </c>
      <c r="I10" s="89">
        <v>0</v>
      </c>
      <c r="J10" s="90"/>
      <c r="K10" s="88">
        <v>5</v>
      </c>
      <c r="L10" s="89">
        <v>4</v>
      </c>
      <c r="M10" s="89">
        <v>12</v>
      </c>
      <c r="N10" s="89">
        <v>0</v>
      </c>
      <c r="O10" s="89">
        <v>16</v>
      </c>
      <c r="P10" s="92">
        <v>6135</v>
      </c>
      <c r="Q10" s="58"/>
      <c r="R10" s="58"/>
      <c r="S10" s="58"/>
    </row>
    <row r="11" spans="1:26" ht="15.6" thickTop="1" thickBot="1" x14ac:dyDescent="0.35">
      <c r="A11" s="88">
        <v>6</v>
      </c>
      <c r="B11" s="89">
        <v>1659</v>
      </c>
      <c r="C11" s="89">
        <v>0</v>
      </c>
      <c r="D11" s="89">
        <v>1041</v>
      </c>
      <c r="E11" s="89">
        <v>138</v>
      </c>
      <c r="F11" s="89">
        <v>245</v>
      </c>
      <c r="G11" s="89">
        <v>307</v>
      </c>
      <c r="H11" s="89">
        <v>3390</v>
      </c>
      <c r="I11" s="89">
        <v>0</v>
      </c>
      <c r="J11" s="90"/>
      <c r="K11" s="88">
        <v>6</v>
      </c>
      <c r="L11" s="89">
        <v>3</v>
      </c>
      <c r="M11" s="89">
        <v>12</v>
      </c>
      <c r="N11" s="89">
        <v>1</v>
      </c>
      <c r="O11" s="89">
        <v>16</v>
      </c>
      <c r="P11" s="92">
        <v>6135</v>
      </c>
      <c r="Q11" s="58"/>
      <c r="R11" s="58"/>
      <c r="S11" s="58"/>
    </row>
    <row r="12" spans="1:26" ht="15.6" thickTop="1" thickBot="1" x14ac:dyDescent="0.35">
      <c r="A12" s="88">
        <v>7</v>
      </c>
      <c r="B12" s="89">
        <v>2103</v>
      </c>
      <c r="C12" s="89">
        <v>0</v>
      </c>
      <c r="D12" s="89">
        <v>884</v>
      </c>
      <c r="E12" s="89">
        <v>182</v>
      </c>
      <c r="F12" s="89">
        <v>208</v>
      </c>
      <c r="G12" s="89">
        <v>257</v>
      </c>
      <c r="H12" s="89">
        <v>3634</v>
      </c>
      <c r="I12" s="89">
        <v>0</v>
      </c>
      <c r="J12" s="91"/>
      <c r="K12" s="88">
        <v>7</v>
      </c>
      <c r="L12" s="89">
        <v>5</v>
      </c>
      <c r="M12" s="89">
        <v>22</v>
      </c>
      <c r="N12" s="89">
        <v>2</v>
      </c>
      <c r="O12" s="89">
        <v>29</v>
      </c>
      <c r="P12" s="92">
        <v>6135</v>
      </c>
      <c r="Q12" s="58"/>
      <c r="R12" s="58"/>
      <c r="S12" s="58"/>
    </row>
    <row r="13" spans="1:26" ht="15.6" thickTop="1" thickBot="1" x14ac:dyDescent="0.35">
      <c r="A13" s="88">
        <v>8</v>
      </c>
      <c r="B13" s="89">
        <v>2068</v>
      </c>
      <c r="C13" s="89">
        <v>0</v>
      </c>
      <c r="D13" s="89">
        <v>923</v>
      </c>
      <c r="E13" s="89">
        <v>160</v>
      </c>
      <c r="F13" s="89">
        <v>269</v>
      </c>
      <c r="G13" s="89">
        <v>249</v>
      </c>
      <c r="H13" s="89">
        <v>3669</v>
      </c>
      <c r="I13" s="89">
        <v>0</v>
      </c>
      <c r="J13" s="91"/>
      <c r="K13" s="88">
        <v>8</v>
      </c>
      <c r="L13" s="89">
        <v>9</v>
      </c>
      <c r="M13" s="89">
        <v>26</v>
      </c>
      <c r="N13" s="89">
        <v>2</v>
      </c>
      <c r="O13" s="89">
        <v>37</v>
      </c>
      <c r="P13" s="92">
        <v>6135</v>
      </c>
      <c r="Q13" s="58"/>
      <c r="R13" s="58"/>
      <c r="S13" s="58"/>
    </row>
    <row r="14" spans="1:26" ht="15.6" thickTop="1" thickBot="1" x14ac:dyDescent="0.35">
      <c r="A14" s="88">
        <v>9</v>
      </c>
      <c r="B14" s="89">
        <v>2912</v>
      </c>
      <c r="C14" s="89">
        <v>0</v>
      </c>
      <c r="D14" s="89">
        <v>1069</v>
      </c>
      <c r="E14" s="89">
        <v>157</v>
      </c>
      <c r="F14" s="89">
        <v>221</v>
      </c>
      <c r="G14" s="89">
        <v>225</v>
      </c>
      <c r="H14" s="89">
        <v>4584</v>
      </c>
      <c r="I14" s="89">
        <v>0</v>
      </c>
      <c r="J14" s="91"/>
      <c r="K14" s="88">
        <v>9</v>
      </c>
      <c r="L14" s="89">
        <v>6</v>
      </c>
      <c r="M14" s="89">
        <v>7</v>
      </c>
      <c r="N14" s="89">
        <v>0</v>
      </c>
      <c r="O14" s="89">
        <v>13</v>
      </c>
      <c r="P14" s="93">
        <v>6135</v>
      </c>
      <c r="Q14" s="70"/>
      <c r="R14" s="70"/>
      <c r="S14" s="70"/>
    </row>
    <row r="15" spans="1:26" ht="15.6" thickTop="1" thickBot="1" x14ac:dyDescent="0.35">
      <c r="A15" s="88">
        <v>10</v>
      </c>
      <c r="B15" s="89">
        <v>2303</v>
      </c>
      <c r="C15" s="89">
        <v>0</v>
      </c>
      <c r="D15" s="89">
        <v>1467</v>
      </c>
      <c r="E15" s="89">
        <v>228</v>
      </c>
      <c r="F15" s="89">
        <v>227</v>
      </c>
      <c r="G15" s="89">
        <v>368</v>
      </c>
      <c r="H15" s="89">
        <v>4593</v>
      </c>
      <c r="I15" s="89">
        <v>0</v>
      </c>
      <c r="J15" s="91"/>
      <c r="K15" s="88">
        <v>10</v>
      </c>
      <c r="L15" s="89">
        <v>15</v>
      </c>
      <c r="M15" s="89">
        <v>25</v>
      </c>
      <c r="N15" s="89">
        <v>2</v>
      </c>
      <c r="O15" s="89">
        <v>42</v>
      </c>
      <c r="P15" s="92">
        <v>6135</v>
      </c>
      <c r="Q15" s="58"/>
      <c r="R15" s="58"/>
      <c r="S15" s="58"/>
    </row>
    <row r="16" spans="1:26" ht="15.6" thickTop="1" thickBot="1" x14ac:dyDescent="0.35">
      <c r="A16" s="88">
        <v>11</v>
      </c>
      <c r="B16" s="89">
        <v>2620</v>
      </c>
      <c r="C16" s="89">
        <v>0</v>
      </c>
      <c r="D16" s="89">
        <v>1866</v>
      </c>
      <c r="E16" s="89">
        <v>267</v>
      </c>
      <c r="F16" s="89">
        <v>305</v>
      </c>
      <c r="G16" s="89">
        <v>469</v>
      </c>
      <c r="H16" s="89">
        <v>5527</v>
      </c>
      <c r="I16" s="89">
        <v>0</v>
      </c>
      <c r="J16" s="91"/>
      <c r="K16" s="88">
        <v>11</v>
      </c>
      <c r="L16" s="89">
        <v>17</v>
      </c>
      <c r="M16" s="89">
        <v>23</v>
      </c>
      <c r="N16" s="89">
        <v>2</v>
      </c>
      <c r="O16" s="89">
        <v>42</v>
      </c>
      <c r="P16" s="92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88">
        <v>12</v>
      </c>
      <c r="B17" s="89">
        <v>1305</v>
      </c>
      <c r="C17" s="89">
        <v>0</v>
      </c>
      <c r="D17" s="89">
        <v>1215</v>
      </c>
      <c r="E17" s="89">
        <v>160</v>
      </c>
      <c r="F17" s="89">
        <v>261</v>
      </c>
      <c r="G17" s="89">
        <v>245</v>
      </c>
      <c r="H17" s="89">
        <v>3186</v>
      </c>
      <c r="I17" s="89">
        <v>0</v>
      </c>
      <c r="J17" s="91"/>
      <c r="K17" s="88">
        <v>12</v>
      </c>
      <c r="L17" s="89">
        <v>13</v>
      </c>
      <c r="M17" s="89">
        <v>20</v>
      </c>
      <c r="N17" s="89">
        <v>2</v>
      </c>
      <c r="O17" s="89">
        <v>35</v>
      </c>
      <c r="P17" s="92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88">
        <v>13</v>
      </c>
      <c r="B18" s="89">
        <v>2414</v>
      </c>
      <c r="C18" s="89">
        <v>0</v>
      </c>
      <c r="D18" s="89">
        <v>1733</v>
      </c>
      <c r="E18" s="89">
        <v>291</v>
      </c>
      <c r="F18" s="89">
        <v>300</v>
      </c>
      <c r="G18" s="89">
        <v>490</v>
      </c>
      <c r="H18" s="89">
        <v>5228</v>
      </c>
      <c r="I18" s="89">
        <v>0</v>
      </c>
      <c r="J18" s="91"/>
      <c r="K18" s="88">
        <v>13</v>
      </c>
      <c r="L18" s="89">
        <v>10</v>
      </c>
      <c r="M18" s="89">
        <v>44</v>
      </c>
      <c r="N18" s="89">
        <v>5</v>
      </c>
      <c r="O18" s="89">
        <v>59</v>
      </c>
      <c r="P18" s="92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88">
        <v>14</v>
      </c>
      <c r="B19" s="89">
        <v>4663</v>
      </c>
      <c r="C19" s="89">
        <v>0</v>
      </c>
      <c r="D19" s="89">
        <v>2069</v>
      </c>
      <c r="E19" s="89">
        <v>404</v>
      </c>
      <c r="F19" s="89">
        <v>475</v>
      </c>
      <c r="G19" s="89">
        <v>844</v>
      </c>
      <c r="H19" s="89">
        <v>8455</v>
      </c>
      <c r="I19" s="89">
        <v>0</v>
      </c>
      <c r="J19" s="91"/>
      <c r="K19" s="88">
        <v>14</v>
      </c>
      <c r="L19" s="89">
        <v>16</v>
      </c>
      <c r="M19" s="89">
        <v>36</v>
      </c>
      <c r="N19" s="89">
        <v>8</v>
      </c>
      <c r="O19" s="89">
        <v>60</v>
      </c>
      <c r="P19" s="92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88">
        <v>15</v>
      </c>
      <c r="B20" s="89">
        <v>5464</v>
      </c>
      <c r="C20" s="89">
        <v>0</v>
      </c>
      <c r="D20" s="89">
        <v>1673</v>
      </c>
      <c r="E20" s="89">
        <v>268</v>
      </c>
      <c r="F20" s="89">
        <v>400</v>
      </c>
      <c r="G20" s="89">
        <v>502</v>
      </c>
      <c r="H20" s="89">
        <v>8307</v>
      </c>
      <c r="I20" s="89">
        <v>0</v>
      </c>
      <c r="J20" s="91"/>
      <c r="K20" s="88">
        <v>15</v>
      </c>
      <c r="L20" s="89">
        <v>10</v>
      </c>
      <c r="M20" s="89">
        <v>15</v>
      </c>
      <c r="N20" s="89">
        <v>4</v>
      </c>
      <c r="O20" s="89">
        <v>29</v>
      </c>
      <c r="P20" s="92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88">
        <v>16</v>
      </c>
      <c r="B21" s="89">
        <v>4914</v>
      </c>
      <c r="C21" s="89">
        <v>0</v>
      </c>
      <c r="D21" s="89">
        <v>1399</v>
      </c>
      <c r="E21" s="89">
        <v>244</v>
      </c>
      <c r="F21" s="89">
        <v>352</v>
      </c>
      <c r="G21" s="89">
        <v>508</v>
      </c>
      <c r="H21" s="89">
        <v>7417</v>
      </c>
      <c r="I21" s="89">
        <v>0</v>
      </c>
      <c r="J21" s="91"/>
      <c r="K21" s="88">
        <v>16</v>
      </c>
      <c r="L21" s="89">
        <v>9</v>
      </c>
      <c r="M21" s="89">
        <v>14</v>
      </c>
      <c r="N21" s="89">
        <v>4</v>
      </c>
      <c r="O21" s="89">
        <v>27</v>
      </c>
      <c r="P21" s="92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88">
        <v>17</v>
      </c>
      <c r="B22" s="89">
        <v>6945</v>
      </c>
      <c r="C22" s="89">
        <v>0</v>
      </c>
      <c r="D22" s="89">
        <v>1297</v>
      </c>
      <c r="E22" s="89">
        <v>228</v>
      </c>
      <c r="F22" s="89">
        <v>195</v>
      </c>
      <c r="G22" s="89">
        <v>375</v>
      </c>
      <c r="H22" s="89">
        <v>9040</v>
      </c>
      <c r="I22" s="89">
        <v>0</v>
      </c>
      <c r="J22" s="91"/>
      <c r="K22" s="88">
        <v>17</v>
      </c>
      <c r="L22" s="89">
        <v>6</v>
      </c>
      <c r="M22" s="89">
        <v>18</v>
      </c>
      <c r="N22" s="89">
        <v>1</v>
      </c>
      <c r="O22" s="89">
        <v>25</v>
      </c>
      <c r="P22" s="92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88">
        <v>18</v>
      </c>
      <c r="B23" s="89">
        <v>3622</v>
      </c>
      <c r="C23" s="89">
        <v>0</v>
      </c>
      <c r="D23" s="89">
        <v>1649</v>
      </c>
      <c r="E23" s="89">
        <v>237</v>
      </c>
      <c r="F23" s="89">
        <v>236</v>
      </c>
      <c r="G23" s="89">
        <v>439</v>
      </c>
      <c r="H23" s="95">
        <v>6183</v>
      </c>
      <c r="I23" s="89">
        <v>0</v>
      </c>
      <c r="J23" s="91"/>
      <c r="K23" s="88">
        <v>18</v>
      </c>
      <c r="L23" s="89">
        <v>8</v>
      </c>
      <c r="M23" s="89">
        <v>22</v>
      </c>
      <c r="N23" s="89">
        <v>3</v>
      </c>
      <c r="O23" s="89">
        <v>33</v>
      </c>
      <c r="P23" s="92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88">
        <v>19</v>
      </c>
      <c r="B24" s="89">
        <v>2306</v>
      </c>
      <c r="C24" s="89">
        <v>0</v>
      </c>
      <c r="D24" s="89">
        <v>1799</v>
      </c>
      <c r="E24" s="89">
        <v>292</v>
      </c>
      <c r="F24" s="89">
        <v>350</v>
      </c>
      <c r="G24" s="89">
        <v>497</v>
      </c>
      <c r="H24" s="95">
        <v>5244</v>
      </c>
      <c r="I24" s="89">
        <v>0</v>
      </c>
      <c r="J24" s="91"/>
      <c r="K24" s="88">
        <v>19</v>
      </c>
      <c r="L24" s="89">
        <v>9</v>
      </c>
      <c r="M24" s="89">
        <v>23</v>
      </c>
      <c r="N24" s="89">
        <v>4</v>
      </c>
      <c r="O24" s="89">
        <v>36</v>
      </c>
      <c r="P24" s="92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88">
        <v>20</v>
      </c>
      <c r="B25" s="89">
        <v>3261</v>
      </c>
      <c r="C25" s="89">
        <v>0</v>
      </c>
      <c r="D25" s="89">
        <v>2019</v>
      </c>
      <c r="E25" s="89">
        <v>429</v>
      </c>
      <c r="F25" s="89">
        <v>462</v>
      </c>
      <c r="G25" s="89">
        <v>656</v>
      </c>
      <c r="H25" s="89">
        <v>6827</v>
      </c>
      <c r="I25" s="89">
        <v>0</v>
      </c>
      <c r="J25" s="91"/>
      <c r="K25" s="88">
        <v>20</v>
      </c>
      <c r="L25" s="89">
        <v>10</v>
      </c>
      <c r="M25" s="89">
        <v>21</v>
      </c>
      <c r="N25" s="89">
        <v>6</v>
      </c>
      <c r="O25" s="89">
        <v>37</v>
      </c>
      <c r="P25" s="92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88">
        <v>21</v>
      </c>
      <c r="B26" s="89">
        <v>4345</v>
      </c>
      <c r="C26" s="89">
        <v>0</v>
      </c>
      <c r="D26" s="89">
        <v>2035</v>
      </c>
      <c r="E26" s="89">
        <v>385</v>
      </c>
      <c r="F26" s="89">
        <v>475</v>
      </c>
      <c r="G26" s="89">
        <v>714</v>
      </c>
      <c r="H26" s="89">
        <v>7954</v>
      </c>
      <c r="I26" s="89">
        <v>0</v>
      </c>
      <c r="J26" s="91"/>
      <c r="K26" s="88">
        <v>21</v>
      </c>
      <c r="L26" s="89">
        <v>20</v>
      </c>
      <c r="M26" s="89">
        <v>39</v>
      </c>
      <c r="N26" s="89">
        <v>5</v>
      </c>
      <c r="O26" s="89">
        <v>64</v>
      </c>
      <c r="P26" s="92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88">
        <v>22</v>
      </c>
      <c r="B27" s="89">
        <v>4892</v>
      </c>
      <c r="C27" s="89">
        <v>0</v>
      </c>
      <c r="D27" s="89">
        <v>2020</v>
      </c>
      <c r="E27" s="89">
        <v>473</v>
      </c>
      <c r="F27" s="89">
        <v>487</v>
      </c>
      <c r="G27" s="89">
        <v>866</v>
      </c>
      <c r="H27" s="89">
        <v>8738</v>
      </c>
      <c r="I27" s="89">
        <v>0</v>
      </c>
      <c r="J27" s="91"/>
      <c r="K27" s="88">
        <v>22</v>
      </c>
      <c r="L27" s="89">
        <v>26</v>
      </c>
      <c r="M27" s="89">
        <v>18</v>
      </c>
      <c r="N27" s="89">
        <v>6</v>
      </c>
      <c r="O27" s="89">
        <v>50</v>
      </c>
      <c r="P27" s="92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88">
        <v>23</v>
      </c>
      <c r="B28" s="89">
        <v>5691</v>
      </c>
      <c r="C28" s="89">
        <v>0</v>
      </c>
      <c r="D28" s="89">
        <v>1681</v>
      </c>
      <c r="E28" s="89">
        <v>256</v>
      </c>
      <c r="F28" s="89">
        <v>445</v>
      </c>
      <c r="G28" s="89">
        <v>675</v>
      </c>
      <c r="H28" s="89">
        <v>8748</v>
      </c>
      <c r="I28" s="89">
        <v>0</v>
      </c>
      <c r="J28" s="91"/>
      <c r="K28" s="88">
        <v>23</v>
      </c>
      <c r="L28" s="89">
        <v>25</v>
      </c>
      <c r="M28" s="89">
        <v>24</v>
      </c>
      <c r="N28" s="89">
        <v>6</v>
      </c>
      <c r="O28" s="89">
        <v>55</v>
      </c>
      <c r="P28" s="92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88">
        <v>24</v>
      </c>
      <c r="B29" s="89">
        <v>3527</v>
      </c>
      <c r="C29" s="89">
        <v>0</v>
      </c>
      <c r="D29" s="89">
        <v>1626</v>
      </c>
      <c r="E29" s="89">
        <v>356</v>
      </c>
      <c r="F29" s="89">
        <v>348</v>
      </c>
      <c r="G29" s="89">
        <v>586</v>
      </c>
      <c r="H29" s="89">
        <v>6443</v>
      </c>
      <c r="I29" s="89">
        <v>0</v>
      </c>
      <c r="J29" s="91"/>
      <c r="K29" s="88">
        <v>24</v>
      </c>
      <c r="L29" s="89">
        <v>10</v>
      </c>
      <c r="M29" s="89">
        <v>12</v>
      </c>
      <c r="N29" s="89">
        <v>4</v>
      </c>
      <c r="O29" s="89">
        <v>26</v>
      </c>
      <c r="P29" s="92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88">
        <v>25</v>
      </c>
      <c r="B30" s="89">
        <v>3381</v>
      </c>
      <c r="C30" s="89">
        <v>0</v>
      </c>
      <c r="D30" s="89">
        <v>2151</v>
      </c>
      <c r="E30" s="89">
        <v>456</v>
      </c>
      <c r="F30" s="89">
        <v>467</v>
      </c>
      <c r="G30" s="89">
        <v>808</v>
      </c>
      <c r="H30" s="89">
        <v>7263</v>
      </c>
      <c r="I30" s="89">
        <v>0</v>
      </c>
      <c r="J30" s="91"/>
      <c r="K30" s="88">
        <v>25</v>
      </c>
      <c r="L30" s="89">
        <v>16</v>
      </c>
      <c r="M30" s="89">
        <v>39</v>
      </c>
      <c r="N30" s="89">
        <v>7</v>
      </c>
      <c r="O30" s="89">
        <v>62</v>
      </c>
      <c r="P30" s="92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88">
        <v>26</v>
      </c>
      <c r="B31" s="89">
        <v>2712</v>
      </c>
      <c r="C31" s="89">
        <v>0</v>
      </c>
      <c r="D31" s="89">
        <v>2240</v>
      </c>
      <c r="E31" s="89">
        <v>466</v>
      </c>
      <c r="F31" s="89">
        <v>528</v>
      </c>
      <c r="G31" s="89">
        <v>917</v>
      </c>
      <c r="H31" s="89">
        <v>6863</v>
      </c>
      <c r="I31" s="89">
        <v>0</v>
      </c>
      <c r="J31" s="91"/>
      <c r="K31" s="88">
        <v>26</v>
      </c>
      <c r="L31" s="89">
        <v>22</v>
      </c>
      <c r="M31" s="89">
        <v>29</v>
      </c>
      <c r="N31" s="89">
        <v>11</v>
      </c>
      <c r="O31" s="89">
        <v>62</v>
      </c>
      <c r="P31" s="92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88">
        <v>27</v>
      </c>
      <c r="B32" s="89">
        <v>3776</v>
      </c>
      <c r="C32" s="89">
        <v>0</v>
      </c>
      <c r="D32" s="89">
        <v>2529</v>
      </c>
      <c r="E32" s="89">
        <v>517</v>
      </c>
      <c r="F32" s="89">
        <v>585</v>
      </c>
      <c r="G32" s="89">
        <v>1300</v>
      </c>
      <c r="H32" s="89">
        <v>8707</v>
      </c>
      <c r="I32" s="89">
        <v>0</v>
      </c>
      <c r="J32" s="91"/>
      <c r="K32" s="88">
        <v>27</v>
      </c>
      <c r="L32" s="89">
        <v>29</v>
      </c>
      <c r="M32" s="89">
        <v>30</v>
      </c>
      <c r="N32" s="89">
        <v>10</v>
      </c>
      <c r="O32" s="89">
        <v>69</v>
      </c>
      <c r="P32" s="92">
        <v>6135</v>
      </c>
    </row>
    <row r="33" spans="1:16" ht="15.6" thickTop="1" thickBot="1" x14ac:dyDescent="0.35">
      <c r="A33" s="88">
        <v>28</v>
      </c>
      <c r="B33" s="89">
        <v>2602</v>
      </c>
      <c r="C33" s="89">
        <v>0</v>
      </c>
      <c r="D33" s="89">
        <v>1673</v>
      </c>
      <c r="E33" s="89">
        <v>298</v>
      </c>
      <c r="F33" s="89">
        <v>381</v>
      </c>
      <c r="G33" s="89">
        <v>666</v>
      </c>
      <c r="H33" s="89">
        <v>5620</v>
      </c>
      <c r="I33" s="89">
        <v>0</v>
      </c>
      <c r="J33" s="91"/>
      <c r="K33" s="88">
        <v>28</v>
      </c>
      <c r="L33" s="89">
        <v>22</v>
      </c>
      <c r="M33" s="89">
        <v>32</v>
      </c>
      <c r="N33" s="89">
        <v>2</v>
      </c>
      <c r="O33" s="89">
        <v>56</v>
      </c>
      <c r="P33" s="92">
        <v>6135</v>
      </c>
    </row>
    <row r="34" spans="1:16" ht="15.6" thickTop="1" thickBot="1" x14ac:dyDescent="0.35">
      <c r="A34" s="88">
        <v>29</v>
      </c>
      <c r="B34" s="89">
        <v>3829</v>
      </c>
      <c r="C34" s="89">
        <v>0</v>
      </c>
      <c r="D34" s="89">
        <v>2114</v>
      </c>
      <c r="E34" s="89">
        <v>466</v>
      </c>
      <c r="F34" s="89">
        <v>591</v>
      </c>
      <c r="G34" s="89">
        <v>1174</v>
      </c>
      <c r="H34" s="89">
        <v>8174</v>
      </c>
      <c r="I34" s="89">
        <v>0</v>
      </c>
      <c r="J34" s="91"/>
      <c r="K34" s="88">
        <v>29</v>
      </c>
      <c r="L34" s="89">
        <v>24</v>
      </c>
      <c r="M34" s="89">
        <v>8</v>
      </c>
      <c r="N34" s="89">
        <v>10</v>
      </c>
      <c r="O34" s="89">
        <v>42</v>
      </c>
      <c r="P34" s="92">
        <v>6135</v>
      </c>
    </row>
    <row r="35" spans="1:16" ht="15.6" thickTop="1" thickBot="1" x14ac:dyDescent="0.35">
      <c r="A35" s="88">
        <v>30</v>
      </c>
      <c r="B35" s="89">
        <v>5536</v>
      </c>
      <c r="C35" s="89">
        <v>0</v>
      </c>
      <c r="D35" s="89">
        <v>2202</v>
      </c>
      <c r="E35" s="89">
        <v>470</v>
      </c>
      <c r="F35" s="89">
        <v>498</v>
      </c>
      <c r="G35" s="89">
        <v>1391</v>
      </c>
      <c r="H35" s="89">
        <v>10097</v>
      </c>
      <c r="I35" s="89">
        <v>0</v>
      </c>
      <c r="J35" s="91"/>
      <c r="K35" s="88">
        <v>30</v>
      </c>
      <c r="L35" s="89">
        <v>32</v>
      </c>
      <c r="M35" s="89">
        <v>28</v>
      </c>
      <c r="N35" s="89">
        <v>10</v>
      </c>
      <c r="O35" s="89">
        <v>70</v>
      </c>
      <c r="P35" s="92">
        <v>6135</v>
      </c>
    </row>
    <row r="36" spans="1:16" ht="15.6" thickTop="1" thickBot="1" x14ac:dyDescent="0.35">
      <c r="A36" s="88">
        <v>31</v>
      </c>
      <c r="B36" s="89">
        <v>3461</v>
      </c>
      <c r="C36" s="89">
        <v>0</v>
      </c>
      <c r="D36" s="89">
        <v>1790</v>
      </c>
      <c r="E36" s="89">
        <v>452</v>
      </c>
      <c r="F36" s="89">
        <v>412</v>
      </c>
      <c r="G36" s="89">
        <v>859</v>
      </c>
      <c r="H36" s="89">
        <v>6974</v>
      </c>
      <c r="I36" s="89">
        <v>0</v>
      </c>
      <c r="J36" s="91"/>
      <c r="K36" s="88">
        <v>31</v>
      </c>
      <c r="L36" s="94">
        <v>23</v>
      </c>
      <c r="M36" s="94">
        <v>13</v>
      </c>
      <c r="N36" s="94">
        <v>4</v>
      </c>
      <c r="O36" s="89">
        <v>40</v>
      </c>
      <c r="P36" s="92">
        <v>6135</v>
      </c>
    </row>
    <row r="37" spans="1:16" ht="15" thickTop="1" x14ac:dyDescent="0.3">
      <c r="A37" s="55" t="s">
        <v>19</v>
      </c>
      <c r="B37" s="57">
        <v>102658</v>
      </c>
      <c r="C37" s="57">
        <v>0</v>
      </c>
      <c r="D37" s="57">
        <v>48269</v>
      </c>
      <c r="E37" s="57">
        <v>9053</v>
      </c>
      <c r="F37" s="57">
        <v>10592</v>
      </c>
      <c r="G37" s="57">
        <v>18043</v>
      </c>
      <c r="H37" s="57">
        <v>188615</v>
      </c>
      <c r="I37" s="57">
        <v>0</v>
      </c>
      <c r="J37" s="57"/>
      <c r="K37" s="57"/>
      <c r="L37" s="57">
        <v>457</v>
      </c>
      <c r="M37" s="57">
        <v>651</v>
      </c>
      <c r="N37" s="57">
        <v>137</v>
      </c>
      <c r="O37" s="155">
        <v>1245</v>
      </c>
      <c r="P37" s="57">
        <v>190185</v>
      </c>
    </row>
    <row r="38" spans="1:16" x14ac:dyDescent="0.3">
      <c r="A38" s="55" t="s">
        <v>19</v>
      </c>
      <c r="B38" s="173">
        <v>102658</v>
      </c>
      <c r="C38" s="173"/>
      <c r="D38" s="57">
        <v>48269</v>
      </c>
      <c r="E38" s="57">
        <v>9053</v>
      </c>
      <c r="F38" s="57">
        <v>10592</v>
      </c>
      <c r="G38" s="57">
        <v>18043</v>
      </c>
      <c r="H38" s="155">
        <v>188615</v>
      </c>
      <c r="I38" s="57">
        <v>0</v>
      </c>
      <c r="J38" s="64"/>
      <c r="K38" s="55"/>
      <c r="L38" s="65" t="s">
        <v>20</v>
      </c>
      <c r="M38" s="65" t="s">
        <v>21</v>
      </c>
      <c r="N38" s="65" t="s">
        <v>20</v>
      </c>
      <c r="O38" s="65" t="s">
        <v>21</v>
      </c>
      <c r="P38" s="58"/>
    </row>
    <row r="39" spans="1:16" x14ac:dyDescent="0.3">
      <c r="A39" s="66" t="s">
        <v>22</v>
      </c>
      <c r="B39" s="68"/>
      <c r="C39" s="68"/>
      <c r="D39" s="68"/>
      <c r="E39" s="68"/>
      <c r="F39" s="68"/>
      <c r="G39" s="68"/>
      <c r="H39" s="68"/>
      <c r="I39" s="58"/>
      <c r="J39" s="58"/>
      <c r="K39" s="58"/>
      <c r="L39" s="71"/>
      <c r="M39" s="58"/>
      <c r="N39" s="58"/>
      <c r="O39" s="58"/>
      <c r="P39" s="58"/>
    </row>
    <row r="40" spans="1:16" x14ac:dyDescent="0.3">
      <c r="A40" s="76"/>
      <c r="B40" s="77"/>
      <c r="C40" s="77"/>
      <c r="D40" s="77"/>
      <c r="E40" s="77"/>
      <c r="F40" s="77"/>
      <c r="G40" s="77"/>
      <c r="H40" s="77"/>
      <c r="I40" s="77"/>
      <c r="J40" s="71"/>
      <c r="K40" s="26"/>
      <c r="L40" s="25"/>
      <c r="M40" s="58"/>
      <c r="N40" s="58"/>
      <c r="O40" s="58"/>
      <c r="P40" s="58"/>
    </row>
    <row r="41" spans="1:16" x14ac:dyDescent="0.3">
      <c r="A41" s="67"/>
      <c r="B41" s="58"/>
      <c r="C41" s="58"/>
      <c r="D41" s="58"/>
      <c r="E41" s="58"/>
      <c r="F41" s="58"/>
      <c r="G41" s="58"/>
      <c r="H41" s="67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26"/>
      <c r="L42" s="25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7"/>
      <c r="J43" s="67"/>
      <c r="K43" s="58"/>
      <c r="L43" s="58"/>
      <c r="M43" s="58"/>
      <c r="N43" s="58"/>
      <c r="O43" s="58"/>
      <c r="P43" s="58"/>
    </row>
    <row r="45" spans="1:16" x14ac:dyDescent="0.3">
      <c r="A45" s="75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75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F2C2-7901-4E4A-B20E-49BFD6AEE9FC}">
  <dimension ref="A1:Z45"/>
  <sheetViews>
    <sheetView workbookViewId="0">
      <selection activeCell="D43" sqref="D43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27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96">
        <v>1</v>
      </c>
      <c r="B6" s="97">
        <v>3395</v>
      </c>
      <c r="C6" s="97">
        <v>0</v>
      </c>
      <c r="D6" s="97">
        <v>2090</v>
      </c>
      <c r="E6" s="97">
        <v>502</v>
      </c>
      <c r="F6" s="97">
        <v>465</v>
      </c>
      <c r="G6" s="97">
        <v>868</v>
      </c>
      <c r="H6" s="97">
        <v>7320</v>
      </c>
      <c r="I6" s="97">
        <v>0</v>
      </c>
      <c r="J6" s="98"/>
      <c r="K6" s="96">
        <v>1</v>
      </c>
      <c r="L6" s="97">
        <v>15</v>
      </c>
      <c r="M6" s="97">
        <v>27</v>
      </c>
      <c r="N6" s="97">
        <v>12</v>
      </c>
      <c r="O6" s="97">
        <v>54</v>
      </c>
      <c r="P6" s="100">
        <v>6135</v>
      </c>
      <c r="Q6" s="58"/>
      <c r="R6" s="58"/>
      <c r="S6" s="58"/>
    </row>
    <row r="7" spans="1:26" ht="15.6" thickTop="1" thickBot="1" x14ac:dyDescent="0.35">
      <c r="A7" s="96">
        <v>2</v>
      </c>
      <c r="B7" s="97">
        <v>2914</v>
      </c>
      <c r="C7" s="97">
        <v>0</v>
      </c>
      <c r="D7" s="97">
        <v>1982</v>
      </c>
      <c r="E7" s="97">
        <v>394</v>
      </c>
      <c r="F7" s="97">
        <v>452</v>
      </c>
      <c r="G7" s="97">
        <v>770</v>
      </c>
      <c r="H7" s="97">
        <v>6512</v>
      </c>
      <c r="I7" s="97">
        <v>0</v>
      </c>
      <c r="J7" s="98"/>
      <c r="K7" s="96">
        <v>2</v>
      </c>
      <c r="L7" s="97">
        <v>19</v>
      </c>
      <c r="M7" s="97">
        <v>17</v>
      </c>
      <c r="N7" s="97">
        <v>8</v>
      </c>
      <c r="O7" s="97">
        <v>44</v>
      </c>
      <c r="P7" s="100">
        <v>6135</v>
      </c>
      <c r="Q7" s="58"/>
      <c r="R7" s="58"/>
      <c r="S7" s="58"/>
    </row>
    <row r="8" spans="1:26" ht="15.6" thickTop="1" thickBot="1" x14ac:dyDescent="0.35">
      <c r="A8" s="96">
        <v>3</v>
      </c>
      <c r="B8" s="97">
        <v>3809</v>
      </c>
      <c r="C8" s="97">
        <v>0</v>
      </c>
      <c r="D8" s="97">
        <v>2062</v>
      </c>
      <c r="E8" s="97">
        <v>440</v>
      </c>
      <c r="F8" s="97">
        <v>393</v>
      </c>
      <c r="G8" s="97">
        <v>799</v>
      </c>
      <c r="H8" s="97">
        <v>7503</v>
      </c>
      <c r="I8" s="97">
        <v>0</v>
      </c>
      <c r="J8" s="98"/>
      <c r="K8" s="96">
        <v>3</v>
      </c>
      <c r="L8" s="97">
        <v>16</v>
      </c>
      <c r="M8" s="97">
        <v>12</v>
      </c>
      <c r="N8" s="97">
        <v>11</v>
      </c>
      <c r="O8" s="97">
        <v>39</v>
      </c>
      <c r="P8" s="100">
        <v>6135</v>
      </c>
      <c r="Q8" s="58"/>
      <c r="R8" s="58"/>
      <c r="S8" s="67"/>
    </row>
    <row r="9" spans="1:26" ht="15.6" thickTop="1" thickBot="1" x14ac:dyDescent="0.35">
      <c r="A9" s="96">
        <v>4</v>
      </c>
      <c r="B9" s="97">
        <v>5391</v>
      </c>
      <c r="C9" s="97">
        <v>0</v>
      </c>
      <c r="D9" s="97">
        <v>1718</v>
      </c>
      <c r="E9" s="97">
        <v>379</v>
      </c>
      <c r="F9" s="97">
        <v>347</v>
      </c>
      <c r="G9" s="97">
        <v>594</v>
      </c>
      <c r="H9" s="97">
        <v>8429</v>
      </c>
      <c r="I9" s="97">
        <v>0</v>
      </c>
      <c r="J9" s="98"/>
      <c r="K9" s="96">
        <v>4</v>
      </c>
      <c r="L9" s="97">
        <v>6</v>
      </c>
      <c r="M9" s="97">
        <v>21</v>
      </c>
      <c r="N9" s="97">
        <v>13</v>
      </c>
      <c r="O9" s="97">
        <v>40</v>
      </c>
      <c r="P9" s="100">
        <v>6135</v>
      </c>
      <c r="Q9" s="58"/>
      <c r="R9" s="58"/>
      <c r="S9" s="58"/>
    </row>
    <row r="10" spans="1:26" ht="15.6" thickTop="1" thickBot="1" x14ac:dyDescent="0.35">
      <c r="A10" s="96">
        <v>5</v>
      </c>
      <c r="B10" s="97">
        <v>7482</v>
      </c>
      <c r="C10" s="97">
        <v>0</v>
      </c>
      <c r="D10" s="97">
        <v>1542</v>
      </c>
      <c r="E10" s="97">
        <v>266</v>
      </c>
      <c r="F10" s="97">
        <v>318</v>
      </c>
      <c r="G10" s="97">
        <v>481</v>
      </c>
      <c r="H10" s="97">
        <v>10089</v>
      </c>
      <c r="I10" s="97">
        <v>0</v>
      </c>
      <c r="J10" s="98"/>
      <c r="K10" s="96">
        <v>5</v>
      </c>
      <c r="L10" s="97">
        <v>12</v>
      </c>
      <c r="M10" s="97">
        <v>17</v>
      </c>
      <c r="N10" s="97">
        <v>6</v>
      </c>
      <c r="O10" s="97">
        <v>35</v>
      </c>
      <c r="P10" s="100">
        <v>6135</v>
      </c>
      <c r="Q10" s="58"/>
      <c r="R10" s="58"/>
      <c r="S10" s="58"/>
    </row>
    <row r="11" spans="1:26" ht="15.6" thickTop="1" thickBot="1" x14ac:dyDescent="0.35">
      <c r="A11" s="96">
        <v>6</v>
      </c>
      <c r="B11" s="97">
        <v>6880</v>
      </c>
      <c r="C11" s="97">
        <v>0</v>
      </c>
      <c r="D11" s="97">
        <v>1053</v>
      </c>
      <c r="E11" s="97">
        <v>186</v>
      </c>
      <c r="F11" s="97">
        <v>240</v>
      </c>
      <c r="G11" s="97">
        <v>360</v>
      </c>
      <c r="H11" s="97">
        <v>8719</v>
      </c>
      <c r="I11" s="97">
        <v>0</v>
      </c>
      <c r="J11" s="98"/>
      <c r="K11" s="96">
        <v>6</v>
      </c>
      <c r="L11" s="97">
        <v>13</v>
      </c>
      <c r="M11" s="97">
        <v>16</v>
      </c>
      <c r="N11" s="97">
        <v>2</v>
      </c>
      <c r="O11" s="97">
        <v>31</v>
      </c>
      <c r="P11" s="100">
        <v>6135</v>
      </c>
      <c r="Q11" s="58"/>
      <c r="R11" s="58"/>
      <c r="S11" s="58"/>
    </row>
    <row r="12" spans="1:26" ht="15.6" thickTop="1" thickBot="1" x14ac:dyDescent="0.35">
      <c r="A12" s="96">
        <v>7</v>
      </c>
      <c r="B12" s="97">
        <v>8702</v>
      </c>
      <c r="C12" s="97">
        <v>0</v>
      </c>
      <c r="D12" s="97">
        <v>1105</v>
      </c>
      <c r="E12" s="97">
        <v>161</v>
      </c>
      <c r="F12" s="97">
        <v>164</v>
      </c>
      <c r="G12" s="97">
        <v>400</v>
      </c>
      <c r="H12" s="97">
        <v>10532</v>
      </c>
      <c r="I12" s="97">
        <v>0</v>
      </c>
      <c r="J12" s="99"/>
      <c r="K12" s="96">
        <v>7</v>
      </c>
      <c r="L12" s="97">
        <v>6</v>
      </c>
      <c r="M12" s="97">
        <v>10</v>
      </c>
      <c r="N12" s="97">
        <v>2</v>
      </c>
      <c r="O12" s="97">
        <v>18</v>
      </c>
      <c r="P12" s="100">
        <v>6135</v>
      </c>
      <c r="Q12" s="58"/>
      <c r="R12" s="58"/>
      <c r="S12" s="58"/>
    </row>
    <row r="13" spans="1:26" ht="15.6" thickTop="1" thickBot="1" x14ac:dyDescent="0.35">
      <c r="A13" s="96">
        <v>8</v>
      </c>
      <c r="B13" s="97">
        <v>4102</v>
      </c>
      <c r="C13" s="97">
        <v>0</v>
      </c>
      <c r="D13" s="97">
        <v>1319</v>
      </c>
      <c r="E13" s="97">
        <v>249</v>
      </c>
      <c r="F13" s="97">
        <v>203</v>
      </c>
      <c r="G13" s="97">
        <v>389</v>
      </c>
      <c r="H13" s="97">
        <v>6262</v>
      </c>
      <c r="I13" s="97">
        <v>0</v>
      </c>
      <c r="J13" s="99"/>
      <c r="K13" s="96">
        <v>8</v>
      </c>
      <c r="L13" s="97">
        <v>8</v>
      </c>
      <c r="M13" s="97">
        <v>16</v>
      </c>
      <c r="N13" s="97">
        <v>2</v>
      </c>
      <c r="O13" s="97">
        <v>26</v>
      </c>
      <c r="P13" s="100">
        <v>6135</v>
      </c>
      <c r="Q13" s="58"/>
      <c r="R13" s="58"/>
      <c r="S13" s="58"/>
    </row>
    <row r="14" spans="1:26" ht="15.6" thickTop="1" thickBot="1" x14ac:dyDescent="0.35">
      <c r="A14" s="96">
        <v>9</v>
      </c>
      <c r="B14" s="97">
        <v>2719</v>
      </c>
      <c r="C14" s="97">
        <v>0</v>
      </c>
      <c r="D14" s="97">
        <v>1674</v>
      </c>
      <c r="E14" s="97">
        <v>267</v>
      </c>
      <c r="F14" s="97">
        <v>329</v>
      </c>
      <c r="G14" s="97">
        <v>453</v>
      </c>
      <c r="H14" s="97">
        <v>5442</v>
      </c>
      <c r="I14" s="97">
        <v>0</v>
      </c>
      <c r="J14" s="99"/>
      <c r="K14" s="96">
        <v>9</v>
      </c>
      <c r="L14" s="97">
        <v>9</v>
      </c>
      <c r="M14" s="97">
        <v>36</v>
      </c>
      <c r="N14" s="97">
        <v>3</v>
      </c>
      <c r="O14" s="97">
        <v>48</v>
      </c>
      <c r="P14" s="101">
        <v>6135</v>
      </c>
      <c r="Q14" s="70"/>
      <c r="R14" s="70"/>
      <c r="S14" s="70"/>
    </row>
    <row r="15" spans="1:26" ht="15.6" thickTop="1" thickBot="1" x14ac:dyDescent="0.35">
      <c r="A15" s="96">
        <v>10</v>
      </c>
      <c r="B15" s="97">
        <v>4027</v>
      </c>
      <c r="C15" s="97">
        <v>0</v>
      </c>
      <c r="D15" s="97">
        <v>1827</v>
      </c>
      <c r="E15" s="97">
        <v>265</v>
      </c>
      <c r="F15" s="97">
        <v>314</v>
      </c>
      <c r="G15" s="97">
        <v>575</v>
      </c>
      <c r="H15" s="97">
        <v>7008</v>
      </c>
      <c r="I15" s="97">
        <v>0</v>
      </c>
      <c r="J15" s="99"/>
      <c r="K15" s="96">
        <v>10</v>
      </c>
      <c r="L15" s="97">
        <v>11</v>
      </c>
      <c r="M15" s="97">
        <v>24</v>
      </c>
      <c r="N15" s="97">
        <v>6</v>
      </c>
      <c r="O15" s="97">
        <v>41</v>
      </c>
      <c r="P15" s="100">
        <v>6135</v>
      </c>
      <c r="Q15" s="58"/>
      <c r="R15" s="58"/>
      <c r="S15" s="58"/>
    </row>
    <row r="16" spans="1:26" ht="15.6" thickTop="1" thickBot="1" x14ac:dyDescent="0.35">
      <c r="A16" s="96">
        <v>11</v>
      </c>
      <c r="B16" s="97">
        <v>6068</v>
      </c>
      <c r="C16" s="97">
        <v>0</v>
      </c>
      <c r="D16" s="97">
        <v>1580</v>
      </c>
      <c r="E16" s="97">
        <v>247</v>
      </c>
      <c r="F16" s="97">
        <v>306</v>
      </c>
      <c r="G16" s="97">
        <v>463</v>
      </c>
      <c r="H16" s="97">
        <v>8664</v>
      </c>
      <c r="I16" s="97">
        <v>0</v>
      </c>
      <c r="J16" s="99"/>
      <c r="K16" s="96">
        <v>11</v>
      </c>
      <c r="L16" s="97">
        <v>10</v>
      </c>
      <c r="M16" s="97">
        <v>8</v>
      </c>
      <c r="N16" s="97">
        <v>26</v>
      </c>
      <c r="O16" s="97">
        <v>44</v>
      </c>
      <c r="P16" s="100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96">
        <v>12</v>
      </c>
      <c r="B17" s="97">
        <v>9441</v>
      </c>
      <c r="C17" s="97">
        <v>0</v>
      </c>
      <c r="D17" s="97">
        <v>1618</v>
      </c>
      <c r="E17" s="97">
        <v>230</v>
      </c>
      <c r="F17" s="97">
        <v>324</v>
      </c>
      <c r="G17" s="97">
        <v>410</v>
      </c>
      <c r="H17" s="97">
        <v>12023</v>
      </c>
      <c r="I17" s="97">
        <v>0</v>
      </c>
      <c r="J17" s="99"/>
      <c r="K17" s="96">
        <v>12</v>
      </c>
      <c r="L17" s="97">
        <v>9</v>
      </c>
      <c r="M17" s="97">
        <v>33</v>
      </c>
      <c r="N17" s="97">
        <v>5</v>
      </c>
      <c r="O17" s="97">
        <v>47</v>
      </c>
      <c r="P17" s="100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96">
        <v>13</v>
      </c>
      <c r="B18" s="97">
        <v>7691</v>
      </c>
      <c r="C18" s="97">
        <v>0</v>
      </c>
      <c r="D18" s="97">
        <v>1103</v>
      </c>
      <c r="E18" s="97">
        <v>149</v>
      </c>
      <c r="F18" s="97">
        <v>178</v>
      </c>
      <c r="G18" s="97">
        <v>299</v>
      </c>
      <c r="H18" s="97">
        <v>9420</v>
      </c>
      <c r="I18" s="97">
        <v>0</v>
      </c>
      <c r="J18" s="99"/>
      <c r="K18" s="96">
        <v>13</v>
      </c>
      <c r="L18" s="97">
        <v>8</v>
      </c>
      <c r="M18" s="97">
        <v>14</v>
      </c>
      <c r="N18" s="97">
        <v>4</v>
      </c>
      <c r="O18" s="97">
        <v>26</v>
      </c>
      <c r="P18" s="100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96">
        <v>14</v>
      </c>
      <c r="B19" s="97">
        <v>10463</v>
      </c>
      <c r="C19" s="97">
        <v>0</v>
      </c>
      <c r="D19" s="97">
        <v>1065</v>
      </c>
      <c r="E19" s="97">
        <v>157</v>
      </c>
      <c r="F19" s="97">
        <v>167</v>
      </c>
      <c r="G19" s="97">
        <v>316</v>
      </c>
      <c r="H19" s="97">
        <v>12168</v>
      </c>
      <c r="I19" s="97">
        <v>0</v>
      </c>
      <c r="J19" s="99"/>
      <c r="K19" s="96">
        <v>14</v>
      </c>
      <c r="L19" s="97">
        <v>7</v>
      </c>
      <c r="M19" s="97">
        <v>9</v>
      </c>
      <c r="N19" s="97">
        <v>1</v>
      </c>
      <c r="O19" s="97">
        <v>17</v>
      </c>
      <c r="P19" s="100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96">
        <v>15</v>
      </c>
      <c r="B20" s="97">
        <v>4465</v>
      </c>
      <c r="C20" s="97">
        <v>0</v>
      </c>
      <c r="D20" s="97">
        <v>1281</v>
      </c>
      <c r="E20" s="97">
        <v>202</v>
      </c>
      <c r="F20" s="97">
        <v>161</v>
      </c>
      <c r="G20" s="97">
        <v>293</v>
      </c>
      <c r="H20" s="97">
        <v>6402</v>
      </c>
      <c r="I20" s="97">
        <v>0</v>
      </c>
      <c r="J20" s="99"/>
      <c r="K20" s="96">
        <v>15</v>
      </c>
      <c r="L20" s="97">
        <v>6</v>
      </c>
      <c r="M20" s="97">
        <v>19</v>
      </c>
      <c r="N20" s="97">
        <v>3</v>
      </c>
      <c r="O20" s="97">
        <v>28</v>
      </c>
      <c r="P20" s="100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96">
        <v>16</v>
      </c>
      <c r="B21" s="97">
        <v>3873</v>
      </c>
      <c r="C21" s="97">
        <v>0</v>
      </c>
      <c r="D21" s="97">
        <v>1625</v>
      </c>
      <c r="E21" s="97">
        <v>241</v>
      </c>
      <c r="F21" s="97">
        <v>263</v>
      </c>
      <c r="G21" s="97">
        <v>409</v>
      </c>
      <c r="H21" s="97">
        <v>6411</v>
      </c>
      <c r="I21" s="97">
        <v>0</v>
      </c>
      <c r="J21" s="99"/>
      <c r="K21" s="96">
        <v>16</v>
      </c>
      <c r="L21" s="97">
        <v>7</v>
      </c>
      <c r="M21" s="97">
        <v>25</v>
      </c>
      <c r="N21" s="97">
        <v>3</v>
      </c>
      <c r="O21" s="97">
        <v>35</v>
      </c>
      <c r="P21" s="100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96">
        <v>17</v>
      </c>
      <c r="B22" s="97">
        <v>3898</v>
      </c>
      <c r="C22" s="97">
        <v>0</v>
      </c>
      <c r="D22" s="97">
        <v>1742</v>
      </c>
      <c r="E22" s="97">
        <v>260</v>
      </c>
      <c r="F22" s="97">
        <v>319</v>
      </c>
      <c r="G22" s="97">
        <v>460</v>
      </c>
      <c r="H22" s="97">
        <v>6679</v>
      </c>
      <c r="I22" s="97">
        <v>0</v>
      </c>
      <c r="J22" s="99"/>
      <c r="K22" s="96">
        <v>17</v>
      </c>
      <c r="L22" s="97">
        <v>4</v>
      </c>
      <c r="M22" s="97">
        <v>21</v>
      </c>
      <c r="N22" s="97">
        <v>7</v>
      </c>
      <c r="O22" s="97">
        <v>32</v>
      </c>
      <c r="P22" s="100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96">
        <v>18</v>
      </c>
      <c r="B23" s="97">
        <v>5100</v>
      </c>
      <c r="C23" s="97">
        <v>0</v>
      </c>
      <c r="D23" s="97">
        <v>1640</v>
      </c>
      <c r="E23" s="97">
        <v>241</v>
      </c>
      <c r="F23" s="97">
        <v>296</v>
      </c>
      <c r="G23" s="97">
        <v>440</v>
      </c>
      <c r="H23" s="103">
        <v>7717</v>
      </c>
      <c r="I23" s="97">
        <v>0</v>
      </c>
      <c r="J23" s="99"/>
      <c r="K23" s="96">
        <v>18</v>
      </c>
      <c r="L23" s="97">
        <v>5</v>
      </c>
      <c r="M23" s="97">
        <v>18</v>
      </c>
      <c r="N23" s="97">
        <v>8</v>
      </c>
      <c r="O23" s="97">
        <v>31</v>
      </c>
      <c r="P23" s="100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96">
        <v>19</v>
      </c>
      <c r="B24" s="97">
        <v>6281</v>
      </c>
      <c r="C24" s="97">
        <v>0</v>
      </c>
      <c r="D24" s="97">
        <v>1504</v>
      </c>
      <c r="E24" s="97">
        <v>238</v>
      </c>
      <c r="F24" s="97">
        <v>321</v>
      </c>
      <c r="G24" s="97">
        <v>371</v>
      </c>
      <c r="H24" s="103">
        <v>8715</v>
      </c>
      <c r="I24" s="97">
        <v>0</v>
      </c>
      <c r="J24" s="99"/>
      <c r="K24" s="96">
        <v>19</v>
      </c>
      <c r="L24" s="97">
        <v>9</v>
      </c>
      <c r="M24" s="97">
        <v>30</v>
      </c>
      <c r="N24" s="97">
        <v>5</v>
      </c>
      <c r="O24" s="97">
        <v>44</v>
      </c>
      <c r="P24" s="100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96">
        <v>20</v>
      </c>
      <c r="B25" s="97">
        <v>7141</v>
      </c>
      <c r="C25" s="97">
        <v>0</v>
      </c>
      <c r="D25" s="97">
        <v>1120</v>
      </c>
      <c r="E25" s="97">
        <v>143</v>
      </c>
      <c r="F25" s="97">
        <v>176</v>
      </c>
      <c r="G25" s="97">
        <v>315</v>
      </c>
      <c r="H25" s="97">
        <v>8895</v>
      </c>
      <c r="I25" s="97">
        <v>0</v>
      </c>
      <c r="J25" s="99"/>
      <c r="K25" s="96">
        <v>20</v>
      </c>
      <c r="L25" s="97">
        <v>4</v>
      </c>
      <c r="M25" s="97">
        <v>12</v>
      </c>
      <c r="N25" s="97">
        <v>3</v>
      </c>
      <c r="O25" s="97">
        <v>19</v>
      </c>
      <c r="P25" s="100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96">
        <v>21</v>
      </c>
      <c r="B26" s="97">
        <v>4606</v>
      </c>
      <c r="C26" s="97">
        <v>0</v>
      </c>
      <c r="D26" s="97">
        <v>1273</v>
      </c>
      <c r="E26" s="97">
        <v>245</v>
      </c>
      <c r="F26" s="97">
        <v>233</v>
      </c>
      <c r="G26" s="97">
        <v>430</v>
      </c>
      <c r="H26" s="97">
        <v>6787</v>
      </c>
      <c r="I26" s="97">
        <v>0</v>
      </c>
      <c r="J26" s="99"/>
      <c r="K26" s="96">
        <v>21</v>
      </c>
      <c r="L26" s="97">
        <v>12</v>
      </c>
      <c r="M26" s="97">
        <v>16</v>
      </c>
      <c r="N26" s="97">
        <v>5</v>
      </c>
      <c r="O26" s="97">
        <v>33</v>
      </c>
      <c r="P26" s="100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96">
        <v>22</v>
      </c>
      <c r="B27" s="97">
        <v>4229</v>
      </c>
      <c r="C27" s="97">
        <v>0</v>
      </c>
      <c r="D27" s="97">
        <v>1598</v>
      </c>
      <c r="E27" s="97">
        <v>267</v>
      </c>
      <c r="F27" s="97">
        <v>313</v>
      </c>
      <c r="G27" s="97">
        <v>434</v>
      </c>
      <c r="H27" s="97">
        <v>6841</v>
      </c>
      <c r="I27" s="97">
        <v>0</v>
      </c>
      <c r="J27" s="99"/>
      <c r="K27" s="96">
        <v>22</v>
      </c>
      <c r="L27" s="97">
        <v>16</v>
      </c>
      <c r="M27" s="97">
        <v>13</v>
      </c>
      <c r="N27" s="97">
        <v>5</v>
      </c>
      <c r="O27" s="97">
        <v>34</v>
      </c>
      <c r="P27" s="100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96">
        <v>23</v>
      </c>
      <c r="B28" s="97">
        <v>4100</v>
      </c>
      <c r="C28" s="97">
        <v>0</v>
      </c>
      <c r="D28" s="97">
        <v>1689</v>
      </c>
      <c r="E28" s="97">
        <v>336</v>
      </c>
      <c r="F28" s="97">
        <v>328</v>
      </c>
      <c r="G28" s="97">
        <v>510</v>
      </c>
      <c r="H28" s="97">
        <v>6963</v>
      </c>
      <c r="I28" s="97">
        <v>0</v>
      </c>
      <c r="J28" s="99"/>
      <c r="K28" s="96">
        <v>23</v>
      </c>
      <c r="L28" s="97">
        <v>9</v>
      </c>
      <c r="M28" s="97">
        <v>29</v>
      </c>
      <c r="N28" s="97">
        <v>7</v>
      </c>
      <c r="O28" s="97">
        <v>45</v>
      </c>
      <c r="P28" s="100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96">
        <v>24</v>
      </c>
      <c r="B29" s="97">
        <v>4620</v>
      </c>
      <c r="C29" s="97">
        <v>0</v>
      </c>
      <c r="D29" s="97">
        <v>1673</v>
      </c>
      <c r="E29" s="97">
        <v>332</v>
      </c>
      <c r="F29" s="97">
        <v>317</v>
      </c>
      <c r="G29" s="97">
        <v>483</v>
      </c>
      <c r="H29" s="97">
        <v>7425</v>
      </c>
      <c r="I29" s="97">
        <v>0</v>
      </c>
      <c r="J29" s="99"/>
      <c r="K29" s="96">
        <v>24</v>
      </c>
      <c r="L29" s="97">
        <v>9</v>
      </c>
      <c r="M29" s="97">
        <v>21</v>
      </c>
      <c r="N29" s="97">
        <v>3</v>
      </c>
      <c r="O29" s="97">
        <v>33</v>
      </c>
      <c r="P29" s="100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96">
        <v>25</v>
      </c>
      <c r="B30" s="97">
        <v>5914</v>
      </c>
      <c r="C30" s="97">
        <v>0</v>
      </c>
      <c r="D30" s="97">
        <v>1579</v>
      </c>
      <c r="E30" s="97">
        <v>275</v>
      </c>
      <c r="F30" s="97">
        <v>291</v>
      </c>
      <c r="G30" s="97">
        <v>418</v>
      </c>
      <c r="H30" s="97">
        <v>8477</v>
      </c>
      <c r="I30" s="97">
        <v>0</v>
      </c>
      <c r="J30" s="99"/>
      <c r="K30" s="96">
        <v>25</v>
      </c>
      <c r="L30" s="97">
        <v>14</v>
      </c>
      <c r="M30" s="97">
        <v>17</v>
      </c>
      <c r="N30" s="97">
        <v>5</v>
      </c>
      <c r="O30" s="97">
        <v>36</v>
      </c>
      <c r="P30" s="100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96">
        <v>26</v>
      </c>
      <c r="B31" s="97">
        <v>6711</v>
      </c>
      <c r="C31" s="97">
        <v>0</v>
      </c>
      <c r="D31" s="97">
        <v>1422</v>
      </c>
      <c r="E31" s="97">
        <v>226</v>
      </c>
      <c r="F31" s="97">
        <v>299</v>
      </c>
      <c r="G31" s="97">
        <v>319</v>
      </c>
      <c r="H31" s="97">
        <v>8977</v>
      </c>
      <c r="I31" s="97">
        <v>0</v>
      </c>
      <c r="J31" s="99"/>
      <c r="K31" s="96">
        <v>26</v>
      </c>
      <c r="L31" s="97">
        <v>8</v>
      </c>
      <c r="M31" s="97">
        <v>17</v>
      </c>
      <c r="N31" s="97">
        <v>4</v>
      </c>
      <c r="O31" s="97">
        <v>29</v>
      </c>
      <c r="P31" s="100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96">
        <v>27</v>
      </c>
      <c r="B32" s="97">
        <v>8504</v>
      </c>
      <c r="C32" s="97">
        <v>0</v>
      </c>
      <c r="D32" s="97">
        <v>1202</v>
      </c>
      <c r="E32" s="97">
        <v>174</v>
      </c>
      <c r="F32" s="97">
        <v>204</v>
      </c>
      <c r="G32" s="97">
        <v>348</v>
      </c>
      <c r="H32" s="97">
        <v>10432</v>
      </c>
      <c r="I32" s="97">
        <v>0</v>
      </c>
      <c r="J32" s="99"/>
      <c r="K32" s="96">
        <v>27</v>
      </c>
      <c r="L32" s="97">
        <v>4</v>
      </c>
      <c r="M32" s="97">
        <v>9</v>
      </c>
      <c r="N32" s="97">
        <v>5</v>
      </c>
      <c r="O32" s="97">
        <v>18</v>
      </c>
      <c r="P32" s="100">
        <v>6135</v>
      </c>
    </row>
    <row r="33" spans="1:16" ht="15.6" thickTop="1" thickBot="1" x14ac:dyDescent="0.35">
      <c r="A33" s="96">
        <v>28</v>
      </c>
      <c r="B33" s="97">
        <v>5110</v>
      </c>
      <c r="C33" s="97">
        <v>0</v>
      </c>
      <c r="D33" s="97">
        <v>1664</v>
      </c>
      <c r="E33" s="97">
        <v>361</v>
      </c>
      <c r="F33" s="97">
        <v>269</v>
      </c>
      <c r="G33" s="97">
        <v>480</v>
      </c>
      <c r="H33" s="97">
        <v>7884</v>
      </c>
      <c r="I33" s="97">
        <v>0</v>
      </c>
      <c r="J33" s="99"/>
      <c r="K33" s="96">
        <v>28</v>
      </c>
      <c r="L33" s="97">
        <v>13</v>
      </c>
      <c r="M33" s="97">
        <v>14</v>
      </c>
      <c r="N33" s="97">
        <v>2</v>
      </c>
      <c r="O33" s="97">
        <v>29</v>
      </c>
      <c r="P33" s="100">
        <v>6135</v>
      </c>
    </row>
    <row r="34" spans="1:16" ht="15.6" thickTop="1" thickBot="1" x14ac:dyDescent="0.35">
      <c r="A34" s="96">
        <v>29</v>
      </c>
      <c r="B34" s="97">
        <v>4557</v>
      </c>
      <c r="C34" s="97">
        <v>0</v>
      </c>
      <c r="D34" s="97">
        <v>1829</v>
      </c>
      <c r="E34" s="97">
        <v>321</v>
      </c>
      <c r="F34" s="97">
        <v>344</v>
      </c>
      <c r="G34" s="97">
        <v>563</v>
      </c>
      <c r="H34" s="97">
        <v>7614</v>
      </c>
      <c r="I34" s="97">
        <v>0</v>
      </c>
      <c r="J34" s="99"/>
      <c r="K34" s="96">
        <v>29</v>
      </c>
      <c r="L34" s="97">
        <v>14</v>
      </c>
      <c r="M34" s="97">
        <v>21</v>
      </c>
      <c r="N34" s="97">
        <v>4</v>
      </c>
      <c r="O34" s="97">
        <v>39</v>
      </c>
      <c r="P34" s="100">
        <v>6135</v>
      </c>
    </row>
    <row r="35" spans="1:16" ht="15.6" thickTop="1" thickBot="1" x14ac:dyDescent="0.35">
      <c r="A35" s="96">
        <v>30</v>
      </c>
      <c r="B35" s="97">
        <v>4830</v>
      </c>
      <c r="C35" s="97">
        <v>0</v>
      </c>
      <c r="D35" s="97">
        <v>1766</v>
      </c>
      <c r="E35" s="97">
        <v>302</v>
      </c>
      <c r="F35" s="97">
        <v>327</v>
      </c>
      <c r="G35" s="97">
        <v>554</v>
      </c>
      <c r="H35" s="97">
        <v>7779</v>
      </c>
      <c r="I35" s="97">
        <v>0</v>
      </c>
      <c r="J35" s="99"/>
      <c r="K35" s="96">
        <v>30</v>
      </c>
      <c r="L35" s="97">
        <v>10</v>
      </c>
      <c r="M35" s="97">
        <v>16</v>
      </c>
      <c r="N35" s="97">
        <v>5</v>
      </c>
      <c r="O35" s="97">
        <v>31</v>
      </c>
      <c r="P35" s="100">
        <v>6135</v>
      </c>
    </row>
    <row r="36" spans="1:16" ht="15.6" thickTop="1" thickBot="1" x14ac:dyDescent="0.35">
      <c r="A36" s="96">
        <v>31</v>
      </c>
      <c r="B36" s="97"/>
      <c r="C36" s="97"/>
      <c r="D36" s="97"/>
      <c r="E36" s="97"/>
      <c r="F36" s="97"/>
      <c r="G36" s="97"/>
      <c r="H36" s="97">
        <v>0</v>
      </c>
      <c r="I36" s="97">
        <v>0</v>
      </c>
      <c r="J36" s="99"/>
      <c r="K36" s="96">
        <v>31</v>
      </c>
      <c r="L36" s="102"/>
      <c r="M36" s="102"/>
      <c r="N36" s="102"/>
      <c r="O36" s="97"/>
      <c r="P36" s="100">
        <v>6135</v>
      </c>
    </row>
    <row r="37" spans="1:16" ht="15" thickTop="1" x14ac:dyDescent="0.3">
      <c r="A37" s="55" t="s">
        <v>19</v>
      </c>
      <c r="B37" s="57"/>
      <c r="C37" s="57"/>
      <c r="D37" s="57"/>
      <c r="E37" s="57"/>
      <c r="F37" s="57"/>
      <c r="G37" s="57"/>
      <c r="H37" s="155">
        <v>244089</v>
      </c>
      <c r="I37" s="57">
        <v>0</v>
      </c>
      <c r="J37" s="57"/>
      <c r="K37" s="57"/>
      <c r="L37" s="57">
        <v>293</v>
      </c>
      <c r="M37" s="57">
        <v>558</v>
      </c>
      <c r="N37" s="57">
        <v>175</v>
      </c>
      <c r="O37" s="155">
        <v>1026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E9C5-61E4-49F2-B85C-8668D95BFD36}">
  <dimension ref="A1:Z45"/>
  <sheetViews>
    <sheetView workbookViewId="0">
      <selection activeCell="E14" sqref="E14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28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04">
        <v>1</v>
      </c>
      <c r="B6" s="105">
        <v>5693</v>
      </c>
      <c r="C6" s="105">
        <v>0</v>
      </c>
      <c r="D6" s="105">
        <v>1745</v>
      </c>
      <c r="E6" s="105">
        <v>336</v>
      </c>
      <c r="F6" s="105">
        <v>321</v>
      </c>
      <c r="G6" s="105">
        <v>533</v>
      </c>
      <c r="H6" s="105">
        <v>8628</v>
      </c>
      <c r="I6" s="105">
        <v>0</v>
      </c>
      <c r="J6" s="106"/>
      <c r="K6" s="104">
        <v>1</v>
      </c>
      <c r="L6" s="105">
        <v>2</v>
      </c>
      <c r="M6" s="105">
        <v>14</v>
      </c>
      <c r="N6" s="105">
        <v>2</v>
      </c>
      <c r="O6" s="105">
        <v>18</v>
      </c>
      <c r="P6" s="108">
        <v>6135</v>
      </c>
      <c r="Q6" s="58"/>
      <c r="R6" s="58"/>
      <c r="S6" s="58"/>
    </row>
    <row r="7" spans="1:26" ht="15.6" thickTop="1" thickBot="1" x14ac:dyDescent="0.35">
      <c r="A7" s="104">
        <v>2</v>
      </c>
      <c r="B7" s="105">
        <v>8653</v>
      </c>
      <c r="C7" s="105">
        <v>0</v>
      </c>
      <c r="D7" s="105">
        <v>1572</v>
      </c>
      <c r="E7" s="105">
        <v>228</v>
      </c>
      <c r="F7" s="105">
        <v>310</v>
      </c>
      <c r="G7" s="105">
        <v>382</v>
      </c>
      <c r="H7" s="105">
        <v>11145</v>
      </c>
      <c r="I7" s="105">
        <v>0</v>
      </c>
      <c r="J7" s="106"/>
      <c r="K7" s="104">
        <v>2</v>
      </c>
      <c r="L7" s="105">
        <v>5</v>
      </c>
      <c r="M7" s="105">
        <v>11</v>
      </c>
      <c r="N7" s="105">
        <v>7</v>
      </c>
      <c r="O7" s="105">
        <v>23</v>
      </c>
      <c r="P7" s="108">
        <v>6135</v>
      </c>
      <c r="Q7" s="58"/>
      <c r="R7" s="58"/>
      <c r="S7" s="58"/>
    </row>
    <row r="8" spans="1:26" ht="15.6" thickTop="1" thickBot="1" x14ac:dyDescent="0.35">
      <c r="A8" s="104">
        <v>3</v>
      </c>
      <c r="B8" s="105">
        <v>10966</v>
      </c>
      <c r="C8" s="105">
        <v>0</v>
      </c>
      <c r="D8" s="105">
        <v>1324</v>
      </c>
      <c r="E8" s="105">
        <v>192</v>
      </c>
      <c r="F8" s="105">
        <v>268</v>
      </c>
      <c r="G8" s="105">
        <v>354</v>
      </c>
      <c r="H8" s="105">
        <v>13104</v>
      </c>
      <c r="I8" s="105">
        <v>0</v>
      </c>
      <c r="J8" s="106"/>
      <c r="K8" s="104">
        <v>3</v>
      </c>
      <c r="L8" s="105">
        <v>4</v>
      </c>
      <c r="M8" s="105">
        <v>14</v>
      </c>
      <c r="N8" s="105">
        <v>9</v>
      </c>
      <c r="O8" s="105">
        <v>27</v>
      </c>
      <c r="P8" s="108">
        <v>6135</v>
      </c>
      <c r="Q8" s="58"/>
      <c r="R8" s="58"/>
      <c r="S8" s="67"/>
    </row>
    <row r="9" spans="1:26" ht="15.6" thickTop="1" thickBot="1" x14ac:dyDescent="0.35">
      <c r="A9" s="104">
        <v>4</v>
      </c>
      <c r="B9" s="105">
        <v>10957</v>
      </c>
      <c r="C9" s="105">
        <v>0</v>
      </c>
      <c r="D9" s="105">
        <v>1346</v>
      </c>
      <c r="E9" s="105">
        <v>167</v>
      </c>
      <c r="F9" s="105">
        <v>208</v>
      </c>
      <c r="G9" s="105">
        <v>352</v>
      </c>
      <c r="H9" s="105">
        <v>13030</v>
      </c>
      <c r="I9" s="105">
        <v>0</v>
      </c>
      <c r="J9" s="106"/>
      <c r="K9" s="104">
        <v>4</v>
      </c>
      <c r="L9" s="105">
        <v>6</v>
      </c>
      <c r="M9" s="105">
        <v>17</v>
      </c>
      <c r="N9" s="105">
        <v>2</v>
      </c>
      <c r="O9" s="105">
        <v>25</v>
      </c>
      <c r="P9" s="108">
        <v>6135</v>
      </c>
      <c r="Q9" s="58"/>
      <c r="R9" s="58"/>
      <c r="S9" s="58"/>
    </row>
    <row r="10" spans="1:26" ht="15.6" thickTop="1" thickBot="1" x14ac:dyDescent="0.35">
      <c r="A10" s="104">
        <v>5</v>
      </c>
      <c r="B10" s="105">
        <v>13462</v>
      </c>
      <c r="C10" s="105">
        <v>0</v>
      </c>
      <c r="D10" s="105">
        <v>797</v>
      </c>
      <c r="E10" s="105">
        <v>64</v>
      </c>
      <c r="F10" s="105">
        <v>66</v>
      </c>
      <c r="G10" s="105">
        <v>129</v>
      </c>
      <c r="H10" s="105">
        <v>14518</v>
      </c>
      <c r="I10" s="105">
        <v>0</v>
      </c>
      <c r="J10" s="106"/>
      <c r="K10" s="104">
        <v>5</v>
      </c>
      <c r="L10" s="105">
        <v>1</v>
      </c>
      <c r="M10" s="105">
        <v>5</v>
      </c>
      <c r="N10" s="105">
        <v>0</v>
      </c>
      <c r="O10" s="105">
        <v>6</v>
      </c>
      <c r="P10" s="108">
        <v>6135</v>
      </c>
      <c r="Q10" s="58"/>
      <c r="R10" s="58"/>
      <c r="S10" s="58"/>
    </row>
    <row r="11" spans="1:26" ht="15.6" thickTop="1" thickBot="1" x14ac:dyDescent="0.35">
      <c r="A11" s="104">
        <v>6</v>
      </c>
      <c r="B11" s="105">
        <v>6002</v>
      </c>
      <c r="C11" s="105">
        <v>0</v>
      </c>
      <c r="D11" s="105">
        <v>1393</v>
      </c>
      <c r="E11" s="105">
        <v>284</v>
      </c>
      <c r="F11" s="105">
        <v>211</v>
      </c>
      <c r="G11" s="105">
        <v>474</v>
      </c>
      <c r="H11" s="105">
        <v>8364</v>
      </c>
      <c r="I11" s="105">
        <v>0</v>
      </c>
      <c r="J11" s="106"/>
      <c r="K11" s="104">
        <v>6</v>
      </c>
      <c r="L11" s="105">
        <v>9</v>
      </c>
      <c r="M11" s="105">
        <v>21</v>
      </c>
      <c r="N11" s="105">
        <v>5</v>
      </c>
      <c r="O11" s="105">
        <v>35</v>
      </c>
      <c r="P11" s="108">
        <v>6135</v>
      </c>
      <c r="Q11" s="58"/>
      <c r="R11" s="58"/>
      <c r="S11" s="58"/>
    </row>
    <row r="12" spans="1:26" ht="15.6" thickTop="1" thickBot="1" x14ac:dyDescent="0.35">
      <c r="A12" s="104">
        <v>7</v>
      </c>
      <c r="B12" s="105">
        <v>4795</v>
      </c>
      <c r="C12" s="105">
        <v>0</v>
      </c>
      <c r="D12" s="105">
        <v>1668</v>
      </c>
      <c r="E12" s="105">
        <v>280</v>
      </c>
      <c r="F12" s="105">
        <v>309</v>
      </c>
      <c r="G12" s="105">
        <v>474</v>
      </c>
      <c r="H12" s="105">
        <v>7526</v>
      </c>
      <c r="I12" s="105">
        <v>0</v>
      </c>
      <c r="J12" s="107"/>
      <c r="K12" s="104">
        <v>7</v>
      </c>
      <c r="L12" s="105">
        <v>5</v>
      </c>
      <c r="M12" s="105">
        <v>11</v>
      </c>
      <c r="N12" s="105">
        <v>6</v>
      </c>
      <c r="O12" s="105">
        <v>22</v>
      </c>
      <c r="P12" s="108">
        <v>6135</v>
      </c>
      <c r="Q12" s="58"/>
      <c r="R12" s="58"/>
      <c r="S12" s="58"/>
    </row>
    <row r="13" spans="1:26" ht="15.6" thickTop="1" thickBot="1" x14ac:dyDescent="0.35">
      <c r="A13" s="104">
        <v>8</v>
      </c>
      <c r="B13" s="105">
        <v>4655</v>
      </c>
      <c r="C13" s="105">
        <v>0</v>
      </c>
      <c r="D13" s="105">
        <v>1740</v>
      </c>
      <c r="E13" s="105">
        <v>305</v>
      </c>
      <c r="F13" s="105">
        <v>299</v>
      </c>
      <c r="G13" s="105">
        <v>493</v>
      </c>
      <c r="H13" s="105">
        <v>7492</v>
      </c>
      <c r="I13" s="105">
        <v>0</v>
      </c>
      <c r="J13" s="107"/>
      <c r="K13" s="104">
        <v>8</v>
      </c>
      <c r="L13" s="105">
        <v>4</v>
      </c>
      <c r="M13" s="105">
        <v>20</v>
      </c>
      <c r="N13" s="105">
        <v>4</v>
      </c>
      <c r="O13" s="105">
        <v>28</v>
      </c>
      <c r="P13" s="108">
        <v>6135</v>
      </c>
      <c r="Q13" s="58"/>
      <c r="R13" s="58"/>
      <c r="S13" s="58"/>
    </row>
    <row r="14" spans="1:26" ht="15.6" thickTop="1" thickBot="1" x14ac:dyDescent="0.35">
      <c r="A14" s="104">
        <v>9</v>
      </c>
      <c r="B14" s="105">
        <v>5878</v>
      </c>
      <c r="C14" s="105">
        <v>0</v>
      </c>
      <c r="D14" s="105">
        <v>1562</v>
      </c>
      <c r="E14" s="105">
        <v>280</v>
      </c>
      <c r="F14" s="105">
        <v>280</v>
      </c>
      <c r="G14" s="105">
        <v>483</v>
      </c>
      <c r="H14" s="105">
        <v>8483</v>
      </c>
      <c r="I14" s="105">
        <v>0</v>
      </c>
      <c r="J14" s="107"/>
      <c r="K14" s="104">
        <v>9</v>
      </c>
      <c r="L14" s="105">
        <v>11</v>
      </c>
      <c r="M14" s="105">
        <v>20</v>
      </c>
      <c r="N14" s="105">
        <v>4</v>
      </c>
      <c r="O14" s="105">
        <v>35</v>
      </c>
      <c r="P14" s="109">
        <v>6135</v>
      </c>
      <c r="Q14" s="70"/>
      <c r="R14" s="70"/>
      <c r="S14" s="70"/>
    </row>
    <row r="15" spans="1:26" ht="15.6" thickTop="1" thickBot="1" x14ac:dyDescent="0.35">
      <c r="A15" s="104">
        <v>10</v>
      </c>
      <c r="B15" s="105">
        <v>6764</v>
      </c>
      <c r="C15" s="105">
        <v>0</v>
      </c>
      <c r="D15" s="105">
        <v>1371</v>
      </c>
      <c r="E15" s="105">
        <v>234</v>
      </c>
      <c r="F15" s="105">
        <v>255</v>
      </c>
      <c r="G15" s="105">
        <v>406</v>
      </c>
      <c r="H15" s="105">
        <v>9030</v>
      </c>
      <c r="I15" s="105">
        <v>0</v>
      </c>
      <c r="J15" s="107"/>
      <c r="K15" s="104">
        <v>10</v>
      </c>
      <c r="L15" s="105">
        <v>6</v>
      </c>
      <c r="M15" s="105">
        <v>8</v>
      </c>
      <c r="N15" s="105">
        <v>4</v>
      </c>
      <c r="O15" s="105">
        <v>18</v>
      </c>
      <c r="P15" s="108">
        <v>6135</v>
      </c>
      <c r="Q15" s="58"/>
      <c r="R15" s="58"/>
      <c r="S15" s="58"/>
    </row>
    <row r="16" spans="1:26" ht="15.6" thickTop="1" thickBot="1" x14ac:dyDescent="0.35">
      <c r="A16" s="104">
        <v>11</v>
      </c>
      <c r="B16" s="105">
        <v>8379</v>
      </c>
      <c r="C16" s="105">
        <v>0</v>
      </c>
      <c r="D16" s="105">
        <v>1129</v>
      </c>
      <c r="E16" s="105">
        <v>148</v>
      </c>
      <c r="F16" s="105">
        <v>187</v>
      </c>
      <c r="G16" s="105">
        <v>287</v>
      </c>
      <c r="H16" s="105">
        <v>10130</v>
      </c>
      <c r="I16" s="105">
        <v>0</v>
      </c>
      <c r="J16" s="107"/>
      <c r="K16" s="104">
        <v>11</v>
      </c>
      <c r="L16" s="105">
        <v>5</v>
      </c>
      <c r="M16" s="105">
        <v>10</v>
      </c>
      <c r="N16" s="105">
        <v>5</v>
      </c>
      <c r="O16" s="105">
        <v>20</v>
      </c>
      <c r="P16" s="108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04">
        <v>12</v>
      </c>
      <c r="B17" s="105">
        <v>4504</v>
      </c>
      <c r="C17" s="105">
        <v>0</v>
      </c>
      <c r="D17" s="105">
        <v>1272</v>
      </c>
      <c r="E17" s="105">
        <v>304</v>
      </c>
      <c r="F17" s="105">
        <v>236</v>
      </c>
      <c r="G17" s="105">
        <v>477</v>
      </c>
      <c r="H17" s="105">
        <v>6793</v>
      </c>
      <c r="I17" s="105">
        <v>0</v>
      </c>
      <c r="J17" s="107"/>
      <c r="K17" s="104">
        <v>12</v>
      </c>
      <c r="L17" s="105">
        <v>6</v>
      </c>
      <c r="M17" s="105">
        <v>9</v>
      </c>
      <c r="N17" s="105">
        <v>4</v>
      </c>
      <c r="O17" s="105">
        <v>19</v>
      </c>
      <c r="P17" s="108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04">
        <v>13</v>
      </c>
      <c r="B18" s="105">
        <v>4019</v>
      </c>
      <c r="C18" s="105">
        <v>0</v>
      </c>
      <c r="D18" s="105">
        <v>1572</v>
      </c>
      <c r="E18" s="105">
        <v>268</v>
      </c>
      <c r="F18" s="105">
        <v>254</v>
      </c>
      <c r="G18" s="105">
        <v>472</v>
      </c>
      <c r="H18" s="105">
        <v>6585</v>
      </c>
      <c r="I18" s="105">
        <v>0</v>
      </c>
      <c r="J18" s="107"/>
      <c r="K18" s="104">
        <v>13</v>
      </c>
      <c r="L18" s="105">
        <v>4</v>
      </c>
      <c r="M18" s="105">
        <v>16</v>
      </c>
      <c r="N18" s="105">
        <v>3</v>
      </c>
      <c r="O18" s="105">
        <v>23</v>
      </c>
      <c r="P18" s="108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04">
        <v>14</v>
      </c>
      <c r="B19" s="105">
        <v>4111</v>
      </c>
      <c r="C19" s="105">
        <v>0</v>
      </c>
      <c r="D19" s="105">
        <v>1635</v>
      </c>
      <c r="E19" s="105">
        <v>300</v>
      </c>
      <c r="F19" s="105">
        <v>306</v>
      </c>
      <c r="G19" s="105">
        <v>543</v>
      </c>
      <c r="H19" s="105">
        <v>6895</v>
      </c>
      <c r="I19" s="105">
        <v>0</v>
      </c>
      <c r="J19" s="107"/>
      <c r="K19" s="104">
        <v>14</v>
      </c>
      <c r="L19" s="105">
        <v>14</v>
      </c>
      <c r="M19" s="105">
        <v>27</v>
      </c>
      <c r="N19" s="105">
        <v>6</v>
      </c>
      <c r="O19" s="105">
        <v>47</v>
      </c>
      <c r="P19" s="108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04">
        <v>15</v>
      </c>
      <c r="B20" s="105">
        <v>4549</v>
      </c>
      <c r="C20" s="105">
        <v>0</v>
      </c>
      <c r="D20" s="105">
        <v>1690</v>
      </c>
      <c r="E20" s="105">
        <v>277</v>
      </c>
      <c r="F20" s="105">
        <v>283</v>
      </c>
      <c r="G20" s="105">
        <v>520</v>
      </c>
      <c r="H20" s="105">
        <v>7319</v>
      </c>
      <c r="I20" s="105">
        <v>0</v>
      </c>
      <c r="J20" s="107"/>
      <c r="K20" s="104">
        <v>15</v>
      </c>
      <c r="L20" s="105">
        <v>8</v>
      </c>
      <c r="M20" s="105">
        <v>22</v>
      </c>
      <c r="N20" s="105">
        <v>7</v>
      </c>
      <c r="O20" s="105">
        <v>37</v>
      </c>
      <c r="P20" s="108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04">
        <v>16</v>
      </c>
      <c r="B21" s="105">
        <v>6677</v>
      </c>
      <c r="C21" s="105">
        <v>0</v>
      </c>
      <c r="D21" s="105">
        <v>1635</v>
      </c>
      <c r="E21" s="105">
        <v>318</v>
      </c>
      <c r="F21" s="105">
        <v>268</v>
      </c>
      <c r="G21" s="105">
        <v>502</v>
      </c>
      <c r="H21" s="105">
        <v>9400</v>
      </c>
      <c r="I21" s="105">
        <v>0</v>
      </c>
      <c r="J21" s="107"/>
      <c r="K21" s="104">
        <v>16</v>
      </c>
      <c r="L21" s="105">
        <v>8</v>
      </c>
      <c r="M21" s="105">
        <v>15</v>
      </c>
      <c r="N21" s="105">
        <v>10</v>
      </c>
      <c r="O21" s="105">
        <v>33</v>
      </c>
      <c r="P21" s="108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04">
        <v>17</v>
      </c>
      <c r="B22" s="105">
        <v>8411</v>
      </c>
      <c r="C22" s="105">
        <v>0</v>
      </c>
      <c r="D22" s="105">
        <v>1406</v>
      </c>
      <c r="E22" s="105">
        <v>271</v>
      </c>
      <c r="F22" s="105">
        <v>266</v>
      </c>
      <c r="G22" s="105">
        <v>413</v>
      </c>
      <c r="H22" s="105">
        <v>10767</v>
      </c>
      <c r="I22" s="105">
        <v>0</v>
      </c>
      <c r="J22" s="107"/>
      <c r="K22" s="104">
        <v>17</v>
      </c>
      <c r="L22" s="105">
        <v>5</v>
      </c>
      <c r="M22" s="105">
        <v>12</v>
      </c>
      <c r="N22" s="105">
        <v>3</v>
      </c>
      <c r="O22" s="105">
        <v>20</v>
      </c>
      <c r="P22" s="108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04">
        <v>18</v>
      </c>
      <c r="B23" s="105">
        <v>8296</v>
      </c>
      <c r="C23" s="105">
        <v>0</v>
      </c>
      <c r="D23" s="105">
        <v>1301</v>
      </c>
      <c r="E23" s="105">
        <v>200</v>
      </c>
      <c r="F23" s="105">
        <v>185</v>
      </c>
      <c r="G23" s="105">
        <v>401</v>
      </c>
      <c r="H23" s="111">
        <v>10383</v>
      </c>
      <c r="I23" s="105">
        <v>0</v>
      </c>
      <c r="J23" s="107"/>
      <c r="K23" s="104">
        <v>18</v>
      </c>
      <c r="L23" s="105">
        <v>6</v>
      </c>
      <c r="M23" s="105">
        <v>13</v>
      </c>
      <c r="N23" s="105">
        <v>4</v>
      </c>
      <c r="O23" s="105">
        <v>23</v>
      </c>
      <c r="P23" s="108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04">
        <v>19</v>
      </c>
      <c r="B24" s="105">
        <v>5771</v>
      </c>
      <c r="C24" s="105">
        <v>0</v>
      </c>
      <c r="D24" s="105">
        <v>1255</v>
      </c>
      <c r="E24" s="105">
        <v>297</v>
      </c>
      <c r="F24" s="105">
        <v>223</v>
      </c>
      <c r="G24" s="105">
        <v>389</v>
      </c>
      <c r="H24" s="111">
        <v>7935</v>
      </c>
      <c r="I24" s="105">
        <v>0</v>
      </c>
      <c r="J24" s="107"/>
      <c r="K24" s="104">
        <v>19</v>
      </c>
      <c r="L24" s="105">
        <v>6</v>
      </c>
      <c r="M24" s="105">
        <v>15</v>
      </c>
      <c r="N24" s="105">
        <v>4</v>
      </c>
      <c r="O24" s="105">
        <v>25</v>
      </c>
      <c r="P24" s="108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04">
        <v>20</v>
      </c>
      <c r="B25" s="105">
        <v>5499</v>
      </c>
      <c r="C25" s="105">
        <v>0</v>
      </c>
      <c r="D25" s="105">
        <v>754</v>
      </c>
      <c r="E25" s="105">
        <v>66</v>
      </c>
      <c r="F25" s="105">
        <v>105</v>
      </c>
      <c r="G25" s="105">
        <v>105</v>
      </c>
      <c r="H25" s="105">
        <v>6529</v>
      </c>
      <c r="I25" s="105">
        <v>0</v>
      </c>
      <c r="J25" s="107"/>
      <c r="K25" s="104">
        <v>20</v>
      </c>
      <c r="L25" s="105">
        <v>8</v>
      </c>
      <c r="M25" s="105">
        <v>2</v>
      </c>
      <c r="N25" s="105">
        <v>1</v>
      </c>
      <c r="O25" s="105">
        <v>11</v>
      </c>
      <c r="P25" s="108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04">
        <v>21</v>
      </c>
      <c r="B26" s="105">
        <v>4618</v>
      </c>
      <c r="C26" s="105">
        <v>0</v>
      </c>
      <c r="D26" s="105">
        <v>1581</v>
      </c>
      <c r="E26" s="105">
        <v>274</v>
      </c>
      <c r="F26" s="105">
        <v>243</v>
      </c>
      <c r="G26" s="105">
        <v>594</v>
      </c>
      <c r="H26" s="105">
        <v>7310</v>
      </c>
      <c r="I26" s="105">
        <v>0</v>
      </c>
      <c r="J26" s="107"/>
      <c r="K26" s="104">
        <v>21</v>
      </c>
      <c r="L26" s="105">
        <v>4</v>
      </c>
      <c r="M26" s="105">
        <v>19</v>
      </c>
      <c r="N26" s="105">
        <v>5</v>
      </c>
      <c r="O26" s="105">
        <v>28</v>
      </c>
      <c r="P26" s="108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04">
        <v>22</v>
      </c>
      <c r="B27" s="105">
        <v>4192</v>
      </c>
      <c r="C27" s="105">
        <v>0</v>
      </c>
      <c r="D27" s="105">
        <v>1679</v>
      </c>
      <c r="E27" s="105">
        <v>319</v>
      </c>
      <c r="F27" s="105">
        <v>331</v>
      </c>
      <c r="G27" s="105">
        <v>545</v>
      </c>
      <c r="H27" s="105">
        <v>7066</v>
      </c>
      <c r="I27" s="105">
        <v>0</v>
      </c>
      <c r="J27" s="107"/>
      <c r="K27" s="104">
        <v>22</v>
      </c>
      <c r="L27" s="105">
        <v>3</v>
      </c>
      <c r="M27" s="105">
        <v>10</v>
      </c>
      <c r="N27" s="105">
        <v>5</v>
      </c>
      <c r="O27" s="105">
        <v>18</v>
      </c>
      <c r="P27" s="108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04">
        <v>23</v>
      </c>
      <c r="B28" s="105">
        <v>5588</v>
      </c>
      <c r="C28" s="105">
        <v>0</v>
      </c>
      <c r="D28" s="105">
        <v>1583</v>
      </c>
      <c r="E28" s="105">
        <v>353</v>
      </c>
      <c r="F28" s="105">
        <v>286</v>
      </c>
      <c r="G28" s="105">
        <v>467</v>
      </c>
      <c r="H28" s="105">
        <v>8277</v>
      </c>
      <c r="I28" s="105">
        <v>0</v>
      </c>
      <c r="J28" s="107"/>
      <c r="K28" s="104">
        <v>23</v>
      </c>
      <c r="L28" s="105">
        <v>12</v>
      </c>
      <c r="M28" s="105">
        <v>23</v>
      </c>
      <c r="N28" s="105">
        <v>6</v>
      </c>
      <c r="O28" s="105">
        <v>41</v>
      </c>
      <c r="P28" s="108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04">
        <v>24</v>
      </c>
      <c r="B29" s="105">
        <v>6545</v>
      </c>
      <c r="C29" s="105">
        <v>0</v>
      </c>
      <c r="D29" s="105">
        <v>1522</v>
      </c>
      <c r="E29" s="105">
        <v>232</v>
      </c>
      <c r="F29" s="105">
        <v>296</v>
      </c>
      <c r="G29" s="105">
        <v>418</v>
      </c>
      <c r="H29" s="105">
        <v>9013</v>
      </c>
      <c r="I29" s="105">
        <v>0</v>
      </c>
      <c r="J29" s="107"/>
      <c r="K29" s="104">
        <v>24</v>
      </c>
      <c r="L29" s="105">
        <v>5</v>
      </c>
      <c r="M29" s="105">
        <v>18</v>
      </c>
      <c r="N29" s="105">
        <v>5</v>
      </c>
      <c r="O29" s="105">
        <v>28</v>
      </c>
      <c r="P29" s="108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04">
        <v>25</v>
      </c>
      <c r="B30" s="105">
        <v>8062</v>
      </c>
      <c r="C30" s="105">
        <v>0</v>
      </c>
      <c r="D30" s="105">
        <v>1086</v>
      </c>
      <c r="E30" s="105">
        <v>165</v>
      </c>
      <c r="F30" s="105">
        <v>142</v>
      </c>
      <c r="G30" s="105">
        <v>329</v>
      </c>
      <c r="H30" s="105">
        <v>9784</v>
      </c>
      <c r="I30" s="105">
        <v>0</v>
      </c>
      <c r="J30" s="107"/>
      <c r="K30" s="104">
        <v>25</v>
      </c>
      <c r="L30" s="105">
        <v>5</v>
      </c>
      <c r="M30" s="105">
        <v>5</v>
      </c>
      <c r="N30" s="105">
        <v>1</v>
      </c>
      <c r="O30" s="105">
        <v>11</v>
      </c>
      <c r="P30" s="108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04">
        <v>26</v>
      </c>
      <c r="B31" s="105">
        <v>4391</v>
      </c>
      <c r="C31" s="105">
        <v>0</v>
      </c>
      <c r="D31" s="105">
        <v>1294</v>
      </c>
      <c r="E31" s="105">
        <v>299</v>
      </c>
      <c r="F31" s="105">
        <v>227</v>
      </c>
      <c r="G31" s="105">
        <v>495</v>
      </c>
      <c r="H31" s="105">
        <v>6706</v>
      </c>
      <c r="I31" s="105">
        <v>0</v>
      </c>
      <c r="J31" s="107"/>
      <c r="K31" s="104">
        <v>26</v>
      </c>
      <c r="L31" s="105">
        <v>4</v>
      </c>
      <c r="M31" s="105">
        <v>9</v>
      </c>
      <c r="N31" s="105">
        <v>1</v>
      </c>
      <c r="O31" s="105">
        <v>14</v>
      </c>
      <c r="P31" s="108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04">
        <v>27</v>
      </c>
      <c r="B32" s="105">
        <v>3898</v>
      </c>
      <c r="C32" s="105">
        <v>0</v>
      </c>
      <c r="D32" s="105">
        <v>1613</v>
      </c>
      <c r="E32" s="105">
        <v>272</v>
      </c>
      <c r="F32" s="105">
        <v>288</v>
      </c>
      <c r="G32" s="105">
        <v>426</v>
      </c>
      <c r="H32" s="105">
        <v>6497</v>
      </c>
      <c r="I32" s="105">
        <v>0</v>
      </c>
      <c r="J32" s="107"/>
      <c r="K32" s="104">
        <v>27</v>
      </c>
      <c r="L32" s="105">
        <v>4</v>
      </c>
      <c r="M32" s="105">
        <v>24</v>
      </c>
      <c r="N32" s="105">
        <v>8</v>
      </c>
      <c r="O32" s="105">
        <v>36</v>
      </c>
      <c r="P32" s="108">
        <v>6135</v>
      </c>
    </row>
    <row r="33" spans="1:16" ht="15.6" thickTop="1" thickBot="1" x14ac:dyDescent="0.35">
      <c r="A33" s="104">
        <v>28</v>
      </c>
      <c r="B33" s="105">
        <v>3921</v>
      </c>
      <c r="C33" s="105">
        <v>0</v>
      </c>
      <c r="D33" s="105">
        <v>1656</v>
      </c>
      <c r="E33" s="105">
        <v>310</v>
      </c>
      <c r="F33" s="105">
        <v>346</v>
      </c>
      <c r="G33" s="105">
        <v>532</v>
      </c>
      <c r="H33" s="105">
        <v>6765</v>
      </c>
      <c r="I33" s="105">
        <v>0</v>
      </c>
      <c r="J33" s="107"/>
      <c r="K33" s="104">
        <v>28</v>
      </c>
      <c r="L33" s="105">
        <v>4</v>
      </c>
      <c r="M33" s="105">
        <v>22</v>
      </c>
      <c r="N33" s="105">
        <v>8</v>
      </c>
      <c r="O33" s="105">
        <v>34</v>
      </c>
      <c r="P33" s="108">
        <v>6135</v>
      </c>
    </row>
    <row r="34" spans="1:16" ht="15.6" thickTop="1" thickBot="1" x14ac:dyDescent="0.35">
      <c r="A34" s="104">
        <v>29</v>
      </c>
      <c r="B34" s="105">
        <v>4423</v>
      </c>
      <c r="C34" s="105">
        <v>0</v>
      </c>
      <c r="D34" s="105">
        <v>1755</v>
      </c>
      <c r="E34" s="105">
        <v>291</v>
      </c>
      <c r="F34" s="105">
        <v>300</v>
      </c>
      <c r="G34" s="105">
        <v>440</v>
      </c>
      <c r="H34" s="105">
        <v>7209</v>
      </c>
      <c r="I34" s="105">
        <v>0</v>
      </c>
      <c r="J34" s="107"/>
      <c r="K34" s="104">
        <v>29</v>
      </c>
      <c r="L34" s="105">
        <v>0</v>
      </c>
      <c r="M34" s="105">
        <v>12</v>
      </c>
      <c r="N34" s="105">
        <v>7</v>
      </c>
      <c r="O34" s="105">
        <v>19</v>
      </c>
      <c r="P34" s="108">
        <v>6135</v>
      </c>
    </row>
    <row r="35" spans="1:16" ht="15.6" thickTop="1" thickBot="1" x14ac:dyDescent="0.35">
      <c r="A35" s="104">
        <v>30</v>
      </c>
      <c r="B35" s="105">
        <v>5892</v>
      </c>
      <c r="C35" s="105">
        <v>0</v>
      </c>
      <c r="D35" s="105">
        <v>1474</v>
      </c>
      <c r="E35" s="105">
        <v>258</v>
      </c>
      <c r="F35" s="105">
        <v>260</v>
      </c>
      <c r="G35" s="105">
        <v>422</v>
      </c>
      <c r="H35" s="105">
        <v>8306</v>
      </c>
      <c r="I35" s="105">
        <v>0</v>
      </c>
      <c r="J35" s="107"/>
      <c r="K35" s="104">
        <v>30</v>
      </c>
      <c r="L35" s="105">
        <v>7</v>
      </c>
      <c r="M35" s="105">
        <v>20</v>
      </c>
      <c r="N35" s="105">
        <v>5</v>
      </c>
      <c r="O35" s="105">
        <v>32</v>
      </c>
      <c r="P35" s="108">
        <v>6135</v>
      </c>
    </row>
    <row r="36" spans="1:16" ht="15.6" thickTop="1" thickBot="1" x14ac:dyDescent="0.35">
      <c r="A36" s="104">
        <v>31</v>
      </c>
      <c r="B36" s="105">
        <v>6602</v>
      </c>
      <c r="C36" s="105">
        <v>0</v>
      </c>
      <c r="D36" s="105">
        <v>1475</v>
      </c>
      <c r="E36" s="105">
        <v>230</v>
      </c>
      <c r="F36" s="105">
        <v>263</v>
      </c>
      <c r="G36" s="105">
        <v>408</v>
      </c>
      <c r="H36" s="105">
        <v>8978</v>
      </c>
      <c r="I36" s="105">
        <v>0</v>
      </c>
      <c r="J36" s="107"/>
      <c r="K36" s="104">
        <v>31</v>
      </c>
      <c r="L36" s="110">
        <v>6</v>
      </c>
      <c r="M36" s="110">
        <v>11</v>
      </c>
      <c r="N36" s="110">
        <v>2</v>
      </c>
      <c r="O36" s="105">
        <v>19</v>
      </c>
      <c r="P36" s="108">
        <v>6135</v>
      </c>
    </row>
    <row r="37" spans="1:16" ht="15" thickTop="1" x14ac:dyDescent="0.3">
      <c r="A37" s="55" t="s">
        <v>19</v>
      </c>
      <c r="B37" s="57">
        <v>196173</v>
      </c>
      <c r="C37" s="57"/>
      <c r="D37" s="57">
        <v>44885</v>
      </c>
      <c r="E37" s="57">
        <v>7822</v>
      </c>
      <c r="F37" s="57">
        <v>7822</v>
      </c>
      <c r="G37" s="57">
        <v>13265</v>
      </c>
      <c r="H37" s="155">
        <v>269967</v>
      </c>
      <c r="I37" s="57">
        <v>0</v>
      </c>
      <c r="J37" s="57"/>
      <c r="K37" s="57"/>
      <c r="L37" s="57">
        <v>177</v>
      </c>
      <c r="M37" s="57">
        <v>455</v>
      </c>
      <c r="N37" s="57">
        <v>143</v>
      </c>
      <c r="O37" s="155">
        <v>775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C08B-A579-44E8-A653-771CF285CB8F}">
  <dimension ref="A1:Z45"/>
  <sheetViews>
    <sheetView workbookViewId="0">
      <selection activeCell="J9" sqref="J9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29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12">
        <v>1</v>
      </c>
      <c r="B6" s="113">
        <v>8488</v>
      </c>
      <c r="C6" s="113">
        <v>0</v>
      </c>
      <c r="D6" s="113">
        <v>1132</v>
      </c>
      <c r="E6" s="113">
        <v>149</v>
      </c>
      <c r="F6" s="113">
        <v>150</v>
      </c>
      <c r="G6" s="113">
        <v>305</v>
      </c>
      <c r="H6" s="113">
        <v>10224</v>
      </c>
      <c r="I6" s="113">
        <v>0</v>
      </c>
      <c r="J6" s="114"/>
      <c r="K6" s="112">
        <v>1</v>
      </c>
      <c r="L6" s="113">
        <v>4</v>
      </c>
      <c r="M6" s="113">
        <v>10</v>
      </c>
      <c r="N6" s="113">
        <v>3</v>
      </c>
      <c r="O6" s="113">
        <v>17</v>
      </c>
      <c r="P6" s="116">
        <v>6135</v>
      </c>
      <c r="Q6" s="58"/>
      <c r="R6" s="58"/>
      <c r="S6" s="58"/>
    </row>
    <row r="7" spans="1:26" ht="15.6" thickTop="1" thickBot="1" x14ac:dyDescent="0.35">
      <c r="A7" s="112">
        <v>2</v>
      </c>
      <c r="B7" s="113">
        <v>4530</v>
      </c>
      <c r="C7" s="113">
        <v>0</v>
      </c>
      <c r="D7" s="113">
        <v>1343</v>
      </c>
      <c r="E7" s="113">
        <v>279</v>
      </c>
      <c r="F7" s="113">
        <v>188</v>
      </c>
      <c r="G7" s="113">
        <v>418</v>
      </c>
      <c r="H7" s="113">
        <v>6758</v>
      </c>
      <c r="I7" s="113">
        <v>0</v>
      </c>
      <c r="J7" s="114"/>
      <c r="K7" s="112">
        <v>2</v>
      </c>
      <c r="L7" s="113">
        <v>9</v>
      </c>
      <c r="M7" s="113">
        <v>20</v>
      </c>
      <c r="N7" s="113">
        <v>5</v>
      </c>
      <c r="O7" s="113">
        <v>34</v>
      </c>
      <c r="P7" s="116">
        <v>6135</v>
      </c>
      <c r="Q7" s="58"/>
      <c r="R7" s="58"/>
      <c r="S7" s="58"/>
    </row>
    <row r="8" spans="1:26" ht="15.6" thickTop="1" thickBot="1" x14ac:dyDescent="0.35">
      <c r="A8" s="112">
        <v>3</v>
      </c>
      <c r="B8" s="113">
        <v>3856</v>
      </c>
      <c r="C8" s="113">
        <v>0</v>
      </c>
      <c r="D8" s="113">
        <v>1570</v>
      </c>
      <c r="E8" s="113">
        <v>250</v>
      </c>
      <c r="F8" s="113">
        <v>247</v>
      </c>
      <c r="G8" s="113">
        <v>458</v>
      </c>
      <c r="H8" s="113">
        <v>6381</v>
      </c>
      <c r="I8" s="113">
        <v>0</v>
      </c>
      <c r="J8" s="114"/>
      <c r="K8" s="112">
        <v>3</v>
      </c>
      <c r="L8" s="113">
        <v>8</v>
      </c>
      <c r="M8" s="113">
        <v>19</v>
      </c>
      <c r="N8" s="113">
        <v>4</v>
      </c>
      <c r="O8" s="113">
        <v>31</v>
      </c>
      <c r="P8" s="116">
        <v>6135</v>
      </c>
      <c r="Q8" s="58"/>
      <c r="R8" s="58"/>
      <c r="S8" s="67"/>
    </row>
    <row r="9" spans="1:26" ht="15.6" thickTop="1" thickBot="1" x14ac:dyDescent="0.35">
      <c r="A9" s="112">
        <v>4</v>
      </c>
      <c r="B9" s="113">
        <v>3837</v>
      </c>
      <c r="C9" s="113">
        <v>0</v>
      </c>
      <c r="D9" s="113">
        <v>1685</v>
      </c>
      <c r="E9" s="113">
        <v>253</v>
      </c>
      <c r="F9" s="113">
        <v>281</v>
      </c>
      <c r="G9" s="113">
        <v>502</v>
      </c>
      <c r="H9" s="113">
        <v>6558</v>
      </c>
      <c r="I9" s="113">
        <v>0</v>
      </c>
      <c r="J9" s="114"/>
      <c r="K9" s="112">
        <v>4</v>
      </c>
      <c r="L9" s="113">
        <v>2</v>
      </c>
      <c r="M9" s="113">
        <v>14</v>
      </c>
      <c r="N9" s="113">
        <v>12</v>
      </c>
      <c r="O9" s="113">
        <v>28</v>
      </c>
      <c r="P9" s="116">
        <v>6135</v>
      </c>
      <c r="Q9" s="58"/>
      <c r="R9" s="58"/>
      <c r="S9" s="58"/>
    </row>
    <row r="10" spans="1:26" ht="15.6" thickTop="1" thickBot="1" x14ac:dyDescent="0.35">
      <c r="A10" s="112">
        <v>5</v>
      </c>
      <c r="B10" s="113">
        <v>4448</v>
      </c>
      <c r="C10" s="113">
        <v>0</v>
      </c>
      <c r="D10" s="113">
        <v>1591</v>
      </c>
      <c r="E10" s="113">
        <v>268</v>
      </c>
      <c r="F10" s="113">
        <v>244</v>
      </c>
      <c r="G10" s="113">
        <v>527</v>
      </c>
      <c r="H10" s="113">
        <v>7078</v>
      </c>
      <c r="I10" s="113">
        <v>0</v>
      </c>
      <c r="J10" s="114"/>
      <c r="K10" s="112">
        <v>5</v>
      </c>
      <c r="L10" s="113">
        <v>5</v>
      </c>
      <c r="M10" s="113">
        <v>22</v>
      </c>
      <c r="N10" s="113">
        <v>5</v>
      </c>
      <c r="O10" s="113">
        <v>32</v>
      </c>
      <c r="P10" s="116">
        <v>6135</v>
      </c>
      <c r="Q10" s="58"/>
      <c r="R10" s="58"/>
      <c r="S10" s="58"/>
    </row>
    <row r="11" spans="1:26" ht="15.6" thickTop="1" thickBot="1" x14ac:dyDescent="0.35">
      <c r="A11" s="112">
        <v>6</v>
      </c>
      <c r="B11" s="113">
        <v>6676</v>
      </c>
      <c r="C11" s="113">
        <v>0</v>
      </c>
      <c r="D11" s="113">
        <v>1520</v>
      </c>
      <c r="E11" s="113">
        <v>267</v>
      </c>
      <c r="F11" s="113">
        <v>252</v>
      </c>
      <c r="G11" s="113">
        <v>447</v>
      </c>
      <c r="H11" s="113">
        <v>9162</v>
      </c>
      <c r="I11" s="113">
        <v>0</v>
      </c>
      <c r="J11" s="114"/>
      <c r="K11" s="112">
        <v>6</v>
      </c>
      <c r="L11" s="113">
        <v>3</v>
      </c>
      <c r="M11" s="113">
        <v>19</v>
      </c>
      <c r="N11" s="113">
        <v>2</v>
      </c>
      <c r="O11" s="113">
        <v>24</v>
      </c>
      <c r="P11" s="116">
        <v>6135</v>
      </c>
      <c r="Q11" s="58"/>
      <c r="R11" s="58"/>
      <c r="S11" s="58"/>
    </row>
    <row r="12" spans="1:26" ht="15.6" thickTop="1" thickBot="1" x14ac:dyDescent="0.35">
      <c r="A12" s="112">
        <v>7</v>
      </c>
      <c r="B12" s="113">
        <v>7633</v>
      </c>
      <c r="C12" s="113">
        <v>0</v>
      </c>
      <c r="D12" s="113">
        <v>1297</v>
      </c>
      <c r="E12" s="113">
        <v>195</v>
      </c>
      <c r="F12" s="113">
        <v>221</v>
      </c>
      <c r="G12" s="113">
        <v>394</v>
      </c>
      <c r="H12" s="113">
        <v>9740</v>
      </c>
      <c r="I12" s="113">
        <v>0</v>
      </c>
      <c r="J12" s="115"/>
      <c r="K12" s="112">
        <v>7</v>
      </c>
      <c r="L12" s="113">
        <v>11</v>
      </c>
      <c r="M12" s="113">
        <v>21</v>
      </c>
      <c r="N12" s="113">
        <v>6</v>
      </c>
      <c r="O12" s="113">
        <v>38</v>
      </c>
      <c r="P12" s="116">
        <v>6135</v>
      </c>
      <c r="Q12" s="58"/>
      <c r="R12" s="58"/>
      <c r="S12" s="58"/>
    </row>
    <row r="13" spans="1:26" ht="15.6" thickTop="1" thickBot="1" x14ac:dyDescent="0.35">
      <c r="A13" s="112">
        <v>8</v>
      </c>
      <c r="B13" s="113">
        <v>9578</v>
      </c>
      <c r="C13" s="113">
        <v>0</v>
      </c>
      <c r="D13" s="113">
        <v>1027</v>
      </c>
      <c r="E13" s="113">
        <v>148</v>
      </c>
      <c r="F13" s="113">
        <v>135</v>
      </c>
      <c r="G13" s="113">
        <v>323</v>
      </c>
      <c r="H13" s="113">
        <v>11211</v>
      </c>
      <c r="I13" s="113">
        <v>0</v>
      </c>
      <c r="J13" s="115"/>
      <c r="K13" s="112">
        <v>8</v>
      </c>
      <c r="L13" s="113">
        <v>4</v>
      </c>
      <c r="M13" s="113">
        <v>20</v>
      </c>
      <c r="N13" s="113">
        <v>2</v>
      </c>
      <c r="O13" s="113">
        <v>26</v>
      </c>
      <c r="P13" s="116">
        <v>6135</v>
      </c>
      <c r="Q13" s="58"/>
      <c r="R13" s="58"/>
      <c r="S13" s="58"/>
    </row>
    <row r="14" spans="1:26" ht="15.6" thickTop="1" thickBot="1" x14ac:dyDescent="0.35">
      <c r="A14" s="112">
        <v>9</v>
      </c>
      <c r="B14" s="113">
        <v>4538</v>
      </c>
      <c r="C14" s="113">
        <v>0</v>
      </c>
      <c r="D14" s="113">
        <v>1212</v>
      </c>
      <c r="E14" s="113">
        <v>219</v>
      </c>
      <c r="F14" s="113">
        <v>189</v>
      </c>
      <c r="G14" s="113">
        <v>392</v>
      </c>
      <c r="H14" s="113">
        <v>6550</v>
      </c>
      <c r="I14" s="113">
        <v>0</v>
      </c>
      <c r="J14" s="115"/>
      <c r="K14" s="112">
        <v>9</v>
      </c>
      <c r="L14" s="113">
        <v>3</v>
      </c>
      <c r="M14" s="113">
        <v>12</v>
      </c>
      <c r="N14" s="113">
        <v>2</v>
      </c>
      <c r="O14" s="113">
        <v>17</v>
      </c>
      <c r="P14" s="117">
        <v>6135</v>
      </c>
      <c r="Q14" s="70"/>
      <c r="R14" s="70"/>
      <c r="S14" s="70"/>
    </row>
    <row r="15" spans="1:26" ht="15.6" thickTop="1" thickBot="1" x14ac:dyDescent="0.35">
      <c r="A15" s="112">
        <v>10</v>
      </c>
      <c r="B15" s="113">
        <v>3945</v>
      </c>
      <c r="C15" s="113">
        <v>0</v>
      </c>
      <c r="D15" s="113">
        <v>1539</v>
      </c>
      <c r="E15" s="113">
        <v>264</v>
      </c>
      <c r="F15" s="113">
        <v>284</v>
      </c>
      <c r="G15" s="113">
        <v>518</v>
      </c>
      <c r="H15" s="113">
        <v>6550</v>
      </c>
      <c r="I15" s="113">
        <v>0</v>
      </c>
      <c r="J15" s="115"/>
      <c r="K15" s="112">
        <v>10</v>
      </c>
      <c r="L15" s="113">
        <v>3</v>
      </c>
      <c r="M15" s="113">
        <v>26</v>
      </c>
      <c r="N15" s="113">
        <v>6</v>
      </c>
      <c r="O15" s="113">
        <v>35</v>
      </c>
      <c r="P15" s="116">
        <v>6135</v>
      </c>
      <c r="Q15" s="58"/>
      <c r="R15" s="58"/>
      <c r="S15" s="58"/>
    </row>
    <row r="16" spans="1:26" ht="15.6" thickTop="1" thickBot="1" x14ac:dyDescent="0.35">
      <c r="A16" s="112">
        <v>11</v>
      </c>
      <c r="B16" s="113">
        <v>3996</v>
      </c>
      <c r="C16" s="113">
        <v>0</v>
      </c>
      <c r="D16" s="113">
        <v>1671</v>
      </c>
      <c r="E16" s="113">
        <v>323</v>
      </c>
      <c r="F16" s="113">
        <v>290</v>
      </c>
      <c r="G16" s="113">
        <v>543</v>
      </c>
      <c r="H16" s="113">
        <v>6823</v>
      </c>
      <c r="I16" s="113">
        <v>0</v>
      </c>
      <c r="J16" s="115"/>
      <c r="K16" s="112">
        <v>11</v>
      </c>
      <c r="L16" s="113">
        <v>7</v>
      </c>
      <c r="M16" s="113">
        <v>9</v>
      </c>
      <c r="N16" s="113">
        <v>4</v>
      </c>
      <c r="O16" s="113">
        <v>20</v>
      </c>
      <c r="P16" s="116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12">
        <v>12</v>
      </c>
      <c r="B17" s="113">
        <v>4894</v>
      </c>
      <c r="C17" s="113">
        <v>0</v>
      </c>
      <c r="D17" s="113">
        <v>1745</v>
      </c>
      <c r="E17" s="113">
        <v>325</v>
      </c>
      <c r="F17" s="113">
        <v>291</v>
      </c>
      <c r="G17" s="113">
        <v>522</v>
      </c>
      <c r="H17" s="113">
        <v>7777</v>
      </c>
      <c r="I17" s="113">
        <v>0</v>
      </c>
      <c r="J17" s="115"/>
      <c r="K17" s="112">
        <v>12</v>
      </c>
      <c r="L17" s="113">
        <v>5</v>
      </c>
      <c r="M17" s="113">
        <v>34</v>
      </c>
      <c r="N17" s="113">
        <v>5</v>
      </c>
      <c r="O17" s="113">
        <v>44</v>
      </c>
      <c r="P17" s="11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12">
        <v>13</v>
      </c>
      <c r="B18" s="113">
        <v>9119</v>
      </c>
      <c r="C18" s="113">
        <v>0</v>
      </c>
      <c r="D18" s="113">
        <v>1610</v>
      </c>
      <c r="E18" s="113">
        <v>254</v>
      </c>
      <c r="F18" s="113">
        <v>259</v>
      </c>
      <c r="G18" s="113">
        <v>425</v>
      </c>
      <c r="H18" s="113">
        <v>11667</v>
      </c>
      <c r="I18" s="113">
        <v>0</v>
      </c>
      <c r="J18" s="115"/>
      <c r="K18" s="112">
        <v>13</v>
      </c>
      <c r="L18" s="113">
        <v>12</v>
      </c>
      <c r="M18" s="113">
        <v>20</v>
      </c>
      <c r="N18" s="113">
        <v>5</v>
      </c>
      <c r="O18" s="113">
        <v>37</v>
      </c>
      <c r="P18" s="11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12">
        <v>14</v>
      </c>
      <c r="B19" s="113">
        <v>12152</v>
      </c>
      <c r="C19" s="113">
        <v>0</v>
      </c>
      <c r="D19" s="113">
        <v>1393</v>
      </c>
      <c r="E19" s="113">
        <v>156</v>
      </c>
      <c r="F19" s="113">
        <v>239</v>
      </c>
      <c r="G19" s="113">
        <v>340</v>
      </c>
      <c r="H19" s="113">
        <v>14280</v>
      </c>
      <c r="I19" s="113">
        <v>0</v>
      </c>
      <c r="J19" s="115"/>
      <c r="K19" s="112">
        <v>14</v>
      </c>
      <c r="L19" s="113">
        <v>4</v>
      </c>
      <c r="M19" s="113">
        <v>17</v>
      </c>
      <c r="N19" s="113">
        <v>2</v>
      </c>
      <c r="O19" s="113">
        <v>23</v>
      </c>
      <c r="P19" s="11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12">
        <v>15</v>
      </c>
      <c r="B20" s="113">
        <v>9785</v>
      </c>
      <c r="C20" s="113">
        <v>0</v>
      </c>
      <c r="D20" s="113">
        <v>1117</v>
      </c>
      <c r="E20" s="113">
        <v>168</v>
      </c>
      <c r="F20" s="113">
        <v>191</v>
      </c>
      <c r="G20" s="113">
        <v>336</v>
      </c>
      <c r="H20" s="113">
        <v>11597</v>
      </c>
      <c r="I20" s="113">
        <v>0</v>
      </c>
      <c r="J20" s="115"/>
      <c r="K20" s="112">
        <v>15</v>
      </c>
      <c r="L20" s="113">
        <v>6</v>
      </c>
      <c r="M20" s="113">
        <v>4</v>
      </c>
      <c r="N20" s="113">
        <v>3</v>
      </c>
      <c r="O20" s="113">
        <v>13</v>
      </c>
      <c r="P20" s="11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12">
        <v>16</v>
      </c>
      <c r="B21" s="113">
        <v>15500</v>
      </c>
      <c r="C21" s="113">
        <v>0</v>
      </c>
      <c r="D21" s="113">
        <v>801</v>
      </c>
      <c r="E21" s="113">
        <v>72</v>
      </c>
      <c r="F21" s="113">
        <v>76</v>
      </c>
      <c r="G21" s="113">
        <v>156</v>
      </c>
      <c r="H21" s="113">
        <v>16605</v>
      </c>
      <c r="I21" s="113">
        <v>0</v>
      </c>
      <c r="J21" s="115"/>
      <c r="K21" s="112">
        <v>16</v>
      </c>
      <c r="L21" s="113">
        <v>1</v>
      </c>
      <c r="M21" s="113">
        <v>2</v>
      </c>
      <c r="N21" s="113">
        <v>0</v>
      </c>
      <c r="O21" s="113">
        <v>3</v>
      </c>
      <c r="P21" s="11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12">
        <v>17</v>
      </c>
      <c r="B22" s="113">
        <v>5650</v>
      </c>
      <c r="C22" s="113">
        <v>0</v>
      </c>
      <c r="D22" s="113">
        <v>1420</v>
      </c>
      <c r="E22" s="113">
        <v>282</v>
      </c>
      <c r="F22" s="113">
        <v>198</v>
      </c>
      <c r="G22" s="113">
        <v>483</v>
      </c>
      <c r="H22" s="113">
        <v>8033</v>
      </c>
      <c r="I22" s="113">
        <v>0</v>
      </c>
      <c r="J22" s="115"/>
      <c r="K22" s="112">
        <v>17</v>
      </c>
      <c r="L22" s="113">
        <v>7</v>
      </c>
      <c r="M22" s="113">
        <v>15</v>
      </c>
      <c r="N22" s="113">
        <v>2</v>
      </c>
      <c r="O22" s="113">
        <v>24</v>
      </c>
      <c r="P22" s="116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12">
        <v>18</v>
      </c>
      <c r="B23" s="113">
        <v>4302</v>
      </c>
      <c r="C23" s="113">
        <v>0</v>
      </c>
      <c r="D23" s="113">
        <v>1682</v>
      </c>
      <c r="E23" s="113">
        <v>264</v>
      </c>
      <c r="F23" s="113">
        <v>277</v>
      </c>
      <c r="G23" s="113">
        <v>467</v>
      </c>
      <c r="H23" s="119">
        <v>6992</v>
      </c>
      <c r="I23" s="113">
        <v>0</v>
      </c>
      <c r="J23" s="115"/>
      <c r="K23" s="112">
        <v>18</v>
      </c>
      <c r="L23" s="113">
        <v>5</v>
      </c>
      <c r="M23" s="113">
        <v>18</v>
      </c>
      <c r="N23" s="113">
        <v>5</v>
      </c>
      <c r="O23" s="113">
        <v>28</v>
      </c>
      <c r="P23" s="11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12">
        <v>19</v>
      </c>
      <c r="B24" s="113">
        <v>4040</v>
      </c>
      <c r="C24" s="113">
        <v>0</v>
      </c>
      <c r="D24" s="113">
        <v>1640</v>
      </c>
      <c r="E24" s="113">
        <v>321</v>
      </c>
      <c r="F24" s="113">
        <v>288</v>
      </c>
      <c r="G24" s="113">
        <v>553</v>
      </c>
      <c r="H24" s="119">
        <v>6842</v>
      </c>
      <c r="I24" s="113">
        <v>0</v>
      </c>
      <c r="J24" s="115"/>
      <c r="K24" s="112">
        <v>19</v>
      </c>
      <c r="L24" s="113">
        <v>6</v>
      </c>
      <c r="M24" s="113">
        <v>28</v>
      </c>
      <c r="N24" s="113">
        <v>3</v>
      </c>
      <c r="O24" s="113">
        <v>37</v>
      </c>
      <c r="P24" s="11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12">
        <v>20</v>
      </c>
      <c r="B25" s="113">
        <v>5435</v>
      </c>
      <c r="C25" s="113">
        <v>0</v>
      </c>
      <c r="D25" s="113">
        <v>1683</v>
      </c>
      <c r="E25" s="113">
        <v>296</v>
      </c>
      <c r="F25" s="113">
        <v>280</v>
      </c>
      <c r="G25" s="113">
        <v>487</v>
      </c>
      <c r="H25" s="113">
        <v>8181</v>
      </c>
      <c r="I25" s="113">
        <v>0</v>
      </c>
      <c r="J25" s="115"/>
      <c r="K25" s="112">
        <v>20</v>
      </c>
      <c r="L25" s="113">
        <v>11</v>
      </c>
      <c r="M25" s="113">
        <v>27</v>
      </c>
      <c r="N25" s="113">
        <v>2</v>
      </c>
      <c r="O25" s="113">
        <v>40</v>
      </c>
      <c r="P25" s="11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12">
        <v>21</v>
      </c>
      <c r="B26" s="113">
        <v>5902</v>
      </c>
      <c r="C26" s="113">
        <v>0</v>
      </c>
      <c r="D26" s="113">
        <v>1493</v>
      </c>
      <c r="E26" s="113">
        <v>248</v>
      </c>
      <c r="F26" s="113">
        <v>273</v>
      </c>
      <c r="G26" s="113">
        <v>394</v>
      </c>
      <c r="H26" s="113">
        <v>8310</v>
      </c>
      <c r="I26" s="113">
        <v>0</v>
      </c>
      <c r="J26" s="115"/>
      <c r="K26" s="112">
        <v>21</v>
      </c>
      <c r="L26" s="113">
        <v>4</v>
      </c>
      <c r="M26" s="113">
        <v>15</v>
      </c>
      <c r="N26" s="113">
        <v>10</v>
      </c>
      <c r="O26" s="113">
        <v>29</v>
      </c>
      <c r="P26" s="11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12">
        <v>22</v>
      </c>
      <c r="B27" s="113">
        <v>7073</v>
      </c>
      <c r="C27" s="113">
        <v>0</v>
      </c>
      <c r="D27" s="113">
        <v>1098</v>
      </c>
      <c r="E27" s="113">
        <v>146</v>
      </c>
      <c r="F27" s="113">
        <v>163</v>
      </c>
      <c r="G27" s="113">
        <v>314</v>
      </c>
      <c r="H27" s="113">
        <v>8794</v>
      </c>
      <c r="I27" s="113">
        <v>0</v>
      </c>
      <c r="J27" s="115"/>
      <c r="K27" s="112">
        <v>22</v>
      </c>
      <c r="L27" s="113">
        <v>4</v>
      </c>
      <c r="M27" s="113">
        <v>13</v>
      </c>
      <c r="N27" s="113">
        <v>1</v>
      </c>
      <c r="O27" s="113">
        <v>18</v>
      </c>
      <c r="P27" s="11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12">
        <v>23</v>
      </c>
      <c r="B28" s="113">
        <v>4038</v>
      </c>
      <c r="C28" s="113">
        <v>0</v>
      </c>
      <c r="D28" s="113">
        <v>1231</v>
      </c>
      <c r="E28" s="113">
        <v>322</v>
      </c>
      <c r="F28" s="113">
        <v>214</v>
      </c>
      <c r="G28" s="113">
        <v>482</v>
      </c>
      <c r="H28" s="113">
        <v>6287</v>
      </c>
      <c r="I28" s="113">
        <v>0</v>
      </c>
      <c r="J28" s="115"/>
      <c r="K28" s="112">
        <v>23</v>
      </c>
      <c r="L28" s="113">
        <v>7</v>
      </c>
      <c r="M28" s="113">
        <v>12</v>
      </c>
      <c r="N28" s="113">
        <v>4</v>
      </c>
      <c r="O28" s="113">
        <v>23</v>
      </c>
      <c r="P28" s="11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12">
        <v>24</v>
      </c>
      <c r="B29" s="113">
        <v>3731</v>
      </c>
      <c r="C29" s="113">
        <v>0</v>
      </c>
      <c r="D29" s="113">
        <v>1633</v>
      </c>
      <c r="E29" s="113">
        <v>311</v>
      </c>
      <c r="F29" s="113">
        <v>264</v>
      </c>
      <c r="G29" s="113">
        <v>484</v>
      </c>
      <c r="H29" s="113">
        <v>6423</v>
      </c>
      <c r="I29" s="113">
        <v>0</v>
      </c>
      <c r="J29" s="115"/>
      <c r="K29" s="112">
        <v>24</v>
      </c>
      <c r="L29" s="113">
        <v>8</v>
      </c>
      <c r="M29" s="113">
        <v>32</v>
      </c>
      <c r="N29" s="113">
        <v>5</v>
      </c>
      <c r="O29" s="113">
        <v>45</v>
      </c>
      <c r="P29" s="11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12">
        <v>25</v>
      </c>
      <c r="B30" s="113">
        <v>3697</v>
      </c>
      <c r="C30" s="113">
        <v>0</v>
      </c>
      <c r="D30" s="113">
        <v>1602</v>
      </c>
      <c r="E30" s="113">
        <v>311</v>
      </c>
      <c r="F30" s="113">
        <v>269</v>
      </c>
      <c r="G30" s="113">
        <v>575</v>
      </c>
      <c r="H30" s="113">
        <v>6454</v>
      </c>
      <c r="I30" s="113">
        <v>0</v>
      </c>
      <c r="J30" s="115"/>
      <c r="K30" s="112">
        <v>25</v>
      </c>
      <c r="L30" s="113">
        <v>5</v>
      </c>
      <c r="M30" s="113">
        <v>33</v>
      </c>
      <c r="N30" s="113">
        <v>9</v>
      </c>
      <c r="O30" s="113">
        <v>47</v>
      </c>
      <c r="P30" s="11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12">
        <v>26</v>
      </c>
      <c r="B31" s="113">
        <v>3847</v>
      </c>
      <c r="C31" s="113">
        <v>0</v>
      </c>
      <c r="D31" s="113">
        <v>1650</v>
      </c>
      <c r="E31" s="113">
        <v>335</v>
      </c>
      <c r="F31" s="113">
        <v>285</v>
      </c>
      <c r="G31" s="113">
        <v>499</v>
      </c>
      <c r="H31" s="113">
        <v>6616</v>
      </c>
      <c r="I31" s="113">
        <v>0</v>
      </c>
      <c r="J31" s="115"/>
      <c r="K31" s="112">
        <v>26</v>
      </c>
      <c r="L31" s="113">
        <v>3</v>
      </c>
      <c r="M31" s="113">
        <v>6</v>
      </c>
      <c r="N31" s="113">
        <v>6</v>
      </c>
      <c r="O31" s="113">
        <v>15</v>
      </c>
      <c r="P31" s="11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12">
        <v>27</v>
      </c>
      <c r="B32" s="113">
        <v>5660</v>
      </c>
      <c r="C32" s="113">
        <v>0</v>
      </c>
      <c r="D32" s="113">
        <v>1603</v>
      </c>
      <c r="E32" s="113">
        <v>305</v>
      </c>
      <c r="F32" s="113">
        <v>298</v>
      </c>
      <c r="G32" s="113">
        <v>521</v>
      </c>
      <c r="H32" s="113">
        <v>8387</v>
      </c>
      <c r="I32" s="113">
        <v>0</v>
      </c>
      <c r="J32" s="115"/>
      <c r="K32" s="112">
        <v>27</v>
      </c>
      <c r="L32" s="113">
        <v>7</v>
      </c>
      <c r="M32" s="113">
        <v>14</v>
      </c>
      <c r="N32" s="113">
        <v>10</v>
      </c>
      <c r="O32" s="113">
        <v>31</v>
      </c>
      <c r="P32" s="116">
        <v>6135</v>
      </c>
    </row>
    <row r="33" spans="1:16" ht="15.6" thickTop="1" thickBot="1" x14ac:dyDescent="0.35">
      <c r="A33" s="112">
        <v>28</v>
      </c>
      <c r="B33" s="113">
        <v>5991</v>
      </c>
      <c r="C33" s="113">
        <v>0</v>
      </c>
      <c r="D33" s="113">
        <v>1343</v>
      </c>
      <c r="E33" s="113">
        <v>257</v>
      </c>
      <c r="F33" s="113">
        <v>261</v>
      </c>
      <c r="G33" s="113">
        <v>412</v>
      </c>
      <c r="H33" s="113">
        <v>8264</v>
      </c>
      <c r="I33" s="113">
        <v>0</v>
      </c>
      <c r="J33" s="115"/>
      <c r="K33" s="112">
        <v>28</v>
      </c>
      <c r="L33" s="113">
        <v>11</v>
      </c>
      <c r="M33" s="113">
        <v>8</v>
      </c>
      <c r="N33" s="113">
        <v>4</v>
      </c>
      <c r="O33" s="113">
        <v>23</v>
      </c>
      <c r="P33" s="116">
        <v>6135</v>
      </c>
    </row>
    <row r="34" spans="1:16" ht="15.6" thickTop="1" thickBot="1" x14ac:dyDescent="0.35">
      <c r="A34" s="112">
        <v>29</v>
      </c>
      <c r="B34" s="113">
        <v>7697</v>
      </c>
      <c r="C34" s="113">
        <v>0</v>
      </c>
      <c r="D34" s="113">
        <v>1141</v>
      </c>
      <c r="E34" s="113">
        <v>178</v>
      </c>
      <c r="F34" s="113">
        <v>162</v>
      </c>
      <c r="G34" s="113">
        <v>295</v>
      </c>
      <c r="H34" s="113">
        <v>9473</v>
      </c>
      <c r="I34" s="113">
        <v>0</v>
      </c>
      <c r="J34" s="115"/>
      <c r="K34" s="112">
        <v>29</v>
      </c>
      <c r="L34" s="113">
        <v>3</v>
      </c>
      <c r="M34" s="113">
        <v>5</v>
      </c>
      <c r="N34" s="113">
        <v>2</v>
      </c>
      <c r="O34" s="113">
        <v>10</v>
      </c>
      <c r="P34" s="116">
        <v>6135</v>
      </c>
    </row>
    <row r="35" spans="1:16" ht="15.6" thickTop="1" thickBot="1" x14ac:dyDescent="0.35">
      <c r="A35" s="112">
        <v>30</v>
      </c>
      <c r="B35" s="113">
        <v>4001</v>
      </c>
      <c r="C35" s="113">
        <v>0</v>
      </c>
      <c r="D35" s="113">
        <v>1228</v>
      </c>
      <c r="E35" s="113">
        <v>331</v>
      </c>
      <c r="F35" s="113">
        <v>202</v>
      </c>
      <c r="G35" s="113">
        <v>492</v>
      </c>
      <c r="H35" s="113">
        <v>6254</v>
      </c>
      <c r="I35" s="113">
        <v>0</v>
      </c>
      <c r="J35" s="115"/>
      <c r="K35" s="112">
        <v>30</v>
      </c>
      <c r="L35" s="113">
        <v>2</v>
      </c>
      <c r="M35" s="113">
        <v>5</v>
      </c>
      <c r="N35" s="113">
        <v>4</v>
      </c>
      <c r="O35" s="113">
        <v>11</v>
      </c>
      <c r="P35" s="116">
        <v>6135</v>
      </c>
    </row>
    <row r="36" spans="1:16" ht="15.6" thickTop="1" thickBot="1" x14ac:dyDescent="0.35">
      <c r="A36" s="112">
        <v>31</v>
      </c>
      <c r="B36" s="113">
        <v>3592</v>
      </c>
      <c r="C36" s="113">
        <v>0</v>
      </c>
      <c r="D36" s="113">
        <v>1464</v>
      </c>
      <c r="E36" s="113">
        <v>278</v>
      </c>
      <c r="F36" s="113">
        <v>272</v>
      </c>
      <c r="G36" s="113">
        <v>429</v>
      </c>
      <c r="H36" s="113">
        <v>6035</v>
      </c>
      <c r="I36" s="113">
        <v>0</v>
      </c>
      <c r="J36" s="115"/>
      <c r="K36" s="112">
        <v>31</v>
      </c>
      <c r="L36" s="118">
        <v>3</v>
      </c>
      <c r="M36" s="118">
        <v>25</v>
      </c>
      <c r="N36" s="118">
        <v>2</v>
      </c>
      <c r="O36" s="113">
        <v>30</v>
      </c>
      <c r="P36" s="116">
        <v>6135</v>
      </c>
    </row>
    <row r="37" spans="1:16" ht="15" thickTop="1" x14ac:dyDescent="0.3">
      <c r="A37" s="55" t="s">
        <v>19</v>
      </c>
      <c r="B37" s="57">
        <v>187631</v>
      </c>
      <c r="C37" s="57">
        <v>0</v>
      </c>
      <c r="D37" s="57">
        <v>44164</v>
      </c>
      <c r="E37" s="57">
        <v>7775</v>
      </c>
      <c r="F37" s="57">
        <v>7243</v>
      </c>
      <c r="G37" s="57">
        <v>13493</v>
      </c>
      <c r="H37" s="155">
        <v>260306</v>
      </c>
      <c r="I37" s="57">
        <v>0</v>
      </c>
      <c r="J37" s="57"/>
      <c r="K37" s="57"/>
      <c r="L37" s="57">
        <v>173</v>
      </c>
      <c r="M37" s="57">
        <v>525</v>
      </c>
      <c r="N37" s="57">
        <v>135</v>
      </c>
      <c r="O37" s="155">
        <v>833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A5F4-712E-428D-A406-34AA7D63E5E4}">
  <dimension ref="A1:Z45"/>
  <sheetViews>
    <sheetView workbookViewId="0">
      <selection activeCell="J8" sqref="J8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30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20">
        <v>1</v>
      </c>
      <c r="B6" s="121">
        <v>3620</v>
      </c>
      <c r="C6" s="121">
        <v>0</v>
      </c>
      <c r="D6" s="121">
        <v>1595</v>
      </c>
      <c r="E6" s="121">
        <v>284</v>
      </c>
      <c r="F6" s="121">
        <v>291</v>
      </c>
      <c r="G6" s="121">
        <v>510</v>
      </c>
      <c r="H6" s="121">
        <v>6300</v>
      </c>
      <c r="I6" s="121">
        <v>0</v>
      </c>
      <c r="J6" s="122"/>
      <c r="K6" s="120">
        <v>1</v>
      </c>
      <c r="L6" s="121">
        <v>6</v>
      </c>
      <c r="M6" s="121">
        <v>20</v>
      </c>
      <c r="N6" s="121">
        <v>3</v>
      </c>
      <c r="O6" s="121">
        <v>29</v>
      </c>
      <c r="P6" s="124">
        <v>6135</v>
      </c>
      <c r="Q6" s="58"/>
      <c r="R6" s="58"/>
      <c r="S6" s="58"/>
    </row>
    <row r="7" spans="1:26" ht="15.6" thickTop="1" thickBot="1" x14ac:dyDescent="0.35">
      <c r="A7" s="120">
        <v>2</v>
      </c>
      <c r="B7" s="121">
        <v>3811</v>
      </c>
      <c r="C7" s="121">
        <v>0</v>
      </c>
      <c r="D7" s="121">
        <v>1639</v>
      </c>
      <c r="E7" s="121">
        <v>288</v>
      </c>
      <c r="F7" s="121">
        <v>286</v>
      </c>
      <c r="G7" s="121">
        <v>506</v>
      </c>
      <c r="H7" s="121">
        <v>6530</v>
      </c>
      <c r="I7" s="121">
        <v>0</v>
      </c>
      <c r="J7" s="122"/>
      <c r="K7" s="120">
        <v>2</v>
      </c>
      <c r="L7" s="121">
        <v>0</v>
      </c>
      <c r="M7" s="121">
        <v>17</v>
      </c>
      <c r="N7" s="121">
        <v>9</v>
      </c>
      <c r="O7" s="121">
        <v>26</v>
      </c>
      <c r="P7" s="124">
        <v>6135</v>
      </c>
      <c r="Q7" s="58"/>
      <c r="R7" s="58"/>
      <c r="S7" s="58"/>
    </row>
    <row r="8" spans="1:26" ht="15.6" thickTop="1" thickBot="1" x14ac:dyDescent="0.35">
      <c r="A8" s="120">
        <v>3</v>
      </c>
      <c r="B8" s="121">
        <v>5560</v>
      </c>
      <c r="C8" s="121">
        <v>0</v>
      </c>
      <c r="D8" s="121">
        <v>1500</v>
      </c>
      <c r="E8" s="121">
        <v>283</v>
      </c>
      <c r="F8" s="121">
        <v>287</v>
      </c>
      <c r="G8" s="121">
        <v>467</v>
      </c>
      <c r="H8" s="121">
        <v>8097</v>
      </c>
      <c r="I8" s="121">
        <v>0</v>
      </c>
      <c r="J8" s="122"/>
      <c r="K8" s="120">
        <v>3</v>
      </c>
      <c r="L8" s="121">
        <v>6</v>
      </c>
      <c r="M8" s="121">
        <v>25</v>
      </c>
      <c r="N8" s="121">
        <v>11</v>
      </c>
      <c r="O8" s="121">
        <v>42</v>
      </c>
      <c r="P8" s="124">
        <v>6135</v>
      </c>
      <c r="Q8" s="58"/>
      <c r="R8" s="58"/>
      <c r="S8" s="67"/>
    </row>
    <row r="9" spans="1:26" ht="15.6" thickTop="1" thickBot="1" x14ac:dyDescent="0.35">
      <c r="A9" s="120">
        <v>4</v>
      </c>
      <c r="B9" s="121">
        <v>5955</v>
      </c>
      <c r="C9" s="121">
        <v>0</v>
      </c>
      <c r="D9" s="121">
        <v>1418</v>
      </c>
      <c r="E9" s="121">
        <v>231</v>
      </c>
      <c r="F9" s="121">
        <v>295</v>
      </c>
      <c r="G9" s="121">
        <v>391</v>
      </c>
      <c r="H9" s="121">
        <v>8290</v>
      </c>
      <c r="I9" s="121">
        <v>0</v>
      </c>
      <c r="J9" s="122"/>
      <c r="K9" s="120">
        <v>4</v>
      </c>
      <c r="L9" s="121">
        <v>5</v>
      </c>
      <c r="M9" s="121">
        <v>24</v>
      </c>
      <c r="N9" s="121">
        <v>6</v>
      </c>
      <c r="O9" s="121">
        <v>35</v>
      </c>
      <c r="P9" s="124">
        <v>6135</v>
      </c>
      <c r="Q9" s="58"/>
      <c r="R9" s="58"/>
      <c r="S9" s="58"/>
    </row>
    <row r="10" spans="1:26" ht="15.6" thickTop="1" thickBot="1" x14ac:dyDescent="0.35">
      <c r="A10" s="120">
        <v>5</v>
      </c>
      <c r="B10" s="121">
        <v>7555</v>
      </c>
      <c r="C10" s="121">
        <v>0</v>
      </c>
      <c r="D10" s="121">
        <v>1070</v>
      </c>
      <c r="E10" s="121">
        <v>116</v>
      </c>
      <c r="F10" s="121">
        <v>135</v>
      </c>
      <c r="G10" s="121">
        <v>289</v>
      </c>
      <c r="H10" s="121">
        <v>9165</v>
      </c>
      <c r="I10" s="121">
        <v>0</v>
      </c>
      <c r="J10" s="122"/>
      <c r="K10" s="120">
        <v>5</v>
      </c>
      <c r="L10" s="121">
        <v>7</v>
      </c>
      <c r="M10" s="121">
        <v>6</v>
      </c>
      <c r="N10" s="121">
        <v>1</v>
      </c>
      <c r="O10" s="121">
        <v>14</v>
      </c>
      <c r="P10" s="124">
        <v>6135</v>
      </c>
      <c r="Q10" s="58"/>
      <c r="R10" s="58"/>
      <c r="S10" s="58"/>
    </row>
    <row r="11" spans="1:26" ht="15.6" thickTop="1" thickBot="1" x14ac:dyDescent="0.35">
      <c r="A11" s="120">
        <v>6</v>
      </c>
      <c r="B11" s="121">
        <v>4283</v>
      </c>
      <c r="C11" s="121">
        <v>0</v>
      </c>
      <c r="D11" s="121">
        <v>1277</v>
      </c>
      <c r="E11" s="121">
        <v>250</v>
      </c>
      <c r="F11" s="121">
        <v>241</v>
      </c>
      <c r="G11" s="121">
        <v>495</v>
      </c>
      <c r="H11" s="121">
        <v>6546</v>
      </c>
      <c r="I11" s="121">
        <v>0</v>
      </c>
      <c r="J11" s="122"/>
      <c r="K11" s="120">
        <v>6</v>
      </c>
      <c r="L11" s="121">
        <v>8</v>
      </c>
      <c r="M11" s="121">
        <v>17</v>
      </c>
      <c r="N11" s="121">
        <v>3</v>
      </c>
      <c r="O11" s="121">
        <v>28</v>
      </c>
      <c r="P11" s="124">
        <v>6135</v>
      </c>
      <c r="Q11" s="58"/>
      <c r="R11" s="58"/>
      <c r="S11" s="58"/>
    </row>
    <row r="12" spans="1:26" ht="15.6" thickTop="1" thickBot="1" x14ac:dyDescent="0.35">
      <c r="A12" s="120">
        <v>7</v>
      </c>
      <c r="B12" s="121">
        <v>3779</v>
      </c>
      <c r="C12" s="121">
        <v>0</v>
      </c>
      <c r="D12" s="121">
        <v>1525</v>
      </c>
      <c r="E12" s="121">
        <v>259</v>
      </c>
      <c r="F12" s="121">
        <v>266</v>
      </c>
      <c r="G12" s="121">
        <v>461</v>
      </c>
      <c r="H12" s="121">
        <v>6290</v>
      </c>
      <c r="I12" s="121">
        <v>0</v>
      </c>
      <c r="J12" s="123"/>
      <c r="K12" s="120">
        <v>7</v>
      </c>
      <c r="L12" s="121">
        <v>4</v>
      </c>
      <c r="M12" s="121">
        <v>9</v>
      </c>
      <c r="N12" s="121">
        <v>6</v>
      </c>
      <c r="O12" s="121">
        <v>19</v>
      </c>
      <c r="P12" s="124">
        <v>6135</v>
      </c>
      <c r="Q12" s="58"/>
      <c r="R12" s="58"/>
      <c r="S12" s="58"/>
    </row>
    <row r="13" spans="1:26" ht="15.6" thickTop="1" thickBot="1" x14ac:dyDescent="0.35">
      <c r="A13" s="120">
        <v>8</v>
      </c>
      <c r="B13" s="121">
        <v>3746</v>
      </c>
      <c r="C13" s="121">
        <v>0</v>
      </c>
      <c r="D13" s="121">
        <v>1629</v>
      </c>
      <c r="E13" s="121">
        <v>260</v>
      </c>
      <c r="F13" s="121">
        <v>316</v>
      </c>
      <c r="G13" s="121">
        <v>516</v>
      </c>
      <c r="H13" s="121">
        <v>6467</v>
      </c>
      <c r="I13" s="121">
        <v>0</v>
      </c>
      <c r="J13" s="123"/>
      <c r="K13" s="120">
        <v>8</v>
      </c>
      <c r="L13" s="121">
        <v>7</v>
      </c>
      <c r="M13" s="121">
        <v>11</v>
      </c>
      <c r="N13" s="121">
        <v>3</v>
      </c>
      <c r="O13" s="121">
        <v>21</v>
      </c>
      <c r="P13" s="124">
        <v>6135</v>
      </c>
      <c r="Q13" s="58"/>
      <c r="R13" s="58"/>
      <c r="S13" s="58"/>
    </row>
    <row r="14" spans="1:26" ht="15.6" thickTop="1" thickBot="1" x14ac:dyDescent="0.35">
      <c r="A14" s="120">
        <v>9</v>
      </c>
      <c r="B14" s="121">
        <v>3980</v>
      </c>
      <c r="C14" s="121">
        <v>0</v>
      </c>
      <c r="D14" s="121">
        <v>1685</v>
      </c>
      <c r="E14" s="121">
        <v>243</v>
      </c>
      <c r="F14" s="121">
        <v>303</v>
      </c>
      <c r="G14" s="121">
        <v>452</v>
      </c>
      <c r="H14" s="121">
        <v>6663</v>
      </c>
      <c r="I14" s="121">
        <v>0</v>
      </c>
      <c r="J14" s="123"/>
      <c r="K14" s="120">
        <v>9</v>
      </c>
      <c r="L14" s="121">
        <v>2</v>
      </c>
      <c r="M14" s="121">
        <v>24</v>
      </c>
      <c r="N14" s="121">
        <v>10</v>
      </c>
      <c r="O14" s="121">
        <v>36</v>
      </c>
      <c r="P14" s="125">
        <v>6135</v>
      </c>
      <c r="Q14" s="70"/>
      <c r="R14" s="70"/>
      <c r="S14" s="70"/>
    </row>
    <row r="15" spans="1:26" ht="15.6" thickTop="1" thickBot="1" x14ac:dyDescent="0.35">
      <c r="A15" s="120">
        <v>10</v>
      </c>
      <c r="B15" s="121">
        <v>5851</v>
      </c>
      <c r="C15" s="121">
        <v>0</v>
      </c>
      <c r="D15" s="121">
        <v>1527</v>
      </c>
      <c r="E15" s="121">
        <v>250</v>
      </c>
      <c r="F15" s="121">
        <v>259</v>
      </c>
      <c r="G15" s="121">
        <v>469</v>
      </c>
      <c r="H15" s="121">
        <v>8356</v>
      </c>
      <c r="I15" s="121">
        <v>0</v>
      </c>
      <c r="J15" s="123"/>
      <c r="K15" s="120">
        <v>10</v>
      </c>
      <c r="L15" s="121">
        <v>7</v>
      </c>
      <c r="M15" s="121">
        <v>10</v>
      </c>
      <c r="N15" s="121">
        <v>7</v>
      </c>
      <c r="O15" s="121">
        <v>24</v>
      </c>
      <c r="P15" s="124">
        <v>6135</v>
      </c>
      <c r="Q15" s="58"/>
      <c r="R15" s="58"/>
      <c r="S15" s="58"/>
    </row>
    <row r="16" spans="1:26" ht="15.6" thickTop="1" thickBot="1" x14ac:dyDescent="0.35">
      <c r="A16" s="120">
        <v>11</v>
      </c>
      <c r="B16" s="121">
        <v>6649</v>
      </c>
      <c r="C16" s="121">
        <v>0</v>
      </c>
      <c r="D16" s="121">
        <v>1430</v>
      </c>
      <c r="E16" s="121">
        <v>223</v>
      </c>
      <c r="F16" s="121">
        <v>247</v>
      </c>
      <c r="G16" s="121">
        <v>399</v>
      </c>
      <c r="H16" s="121">
        <v>8948</v>
      </c>
      <c r="I16" s="121">
        <v>0</v>
      </c>
      <c r="J16" s="123"/>
      <c r="K16" s="120">
        <v>11</v>
      </c>
      <c r="L16" s="121">
        <v>6</v>
      </c>
      <c r="M16" s="121">
        <v>26</v>
      </c>
      <c r="N16" s="121">
        <v>7</v>
      </c>
      <c r="O16" s="121">
        <v>39</v>
      </c>
      <c r="P16" s="124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20">
        <v>12</v>
      </c>
      <c r="B17" s="121">
        <v>8516</v>
      </c>
      <c r="C17" s="121">
        <v>0</v>
      </c>
      <c r="D17" s="121">
        <v>1080</v>
      </c>
      <c r="E17" s="121">
        <v>125</v>
      </c>
      <c r="F17" s="121">
        <v>160</v>
      </c>
      <c r="G17" s="121">
        <v>293</v>
      </c>
      <c r="H17" s="121">
        <v>10174</v>
      </c>
      <c r="I17" s="121">
        <v>0</v>
      </c>
      <c r="J17" s="123"/>
      <c r="K17" s="120">
        <v>12</v>
      </c>
      <c r="L17" s="121">
        <v>0</v>
      </c>
      <c r="M17" s="121">
        <v>10</v>
      </c>
      <c r="N17" s="121">
        <v>6</v>
      </c>
      <c r="O17" s="121">
        <v>16</v>
      </c>
      <c r="P17" s="124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20">
        <v>13</v>
      </c>
      <c r="B18" s="121">
        <v>4640</v>
      </c>
      <c r="C18" s="121">
        <v>0</v>
      </c>
      <c r="D18" s="121">
        <v>1246</v>
      </c>
      <c r="E18" s="121">
        <v>266</v>
      </c>
      <c r="F18" s="121">
        <v>231</v>
      </c>
      <c r="G18" s="121">
        <v>482</v>
      </c>
      <c r="H18" s="121">
        <v>6865</v>
      </c>
      <c r="I18" s="121">
        <v>0</v>
      </c>
      <c r="J18" s="123"/>
      <c r="K18" s="120">
        <v>13</v>
      </c>
      <c r="L18" s="121">
        <v>2</v>
      </c>
      <c r="M18" s="121">
        <v>6</v>
      </c>
      <c r="N18" s="121">
        <v>2</v>
      </c>
      <c r="O18" s="121">
        <v>10</v>
      </c>
      <c r="P18" s="124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20">
        <v>14</v>
      </c>
      <c r="B19" s="121">
        <v>3840</v>
      </c>
      <c r="C19" s="121">
        <v>0</v>
      </c>
      <c r="D19" s="121">
        <v>1615</v>
      </c>
      <c r="E19" s="121">
        <v>222</v>
      </c>
      <c r="F19" s="121">
        <v>263</v>
      </c>
      <c r="G19" s="121">
        <v>514</v>
      </c>
      <c r="H19" s="121">
        <v>6454</v>
      </c>
      <c r="I19" s="121">
        <v>0</v>
      </c>
      <c r="J19" s="123"/>
      <c r="K19" s="120">
        <v>14</v>
      </c>
      <c r="L19" s="121">
        <v>3</v>
      </c>
      <c r="M19" s="121">
        <v>26</v>
      </c>
      <c r="N19" s="121">
        <v>5</v>
      </c>
      <c r="O19" s="121">
        <v>34</v>
      </c>
      <c r="P19" s="124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20">
        <v>15</v>
      </c>
      <c r="B20" s="121">
        <v>3792</v>
      </c>
      <c r="C20" s="121">
        <v>0</v>
      </c>
      <c r="D20" s="121">
        <v>1613</v>
      </c>
      <c r="E20" s="121">
        <v>276</v>
      </c>
      <c r="F20" s="121">
        <v>300</v>
      </c>
      <c r="G20" s="121">
        <v>552</v>
      </c>
      <c r="H20" s="121">
        <v>6533</v>
      </c>
      <c r="I20" s="121">
        <v>0</v>
      </c>
      <c r="J20" s="123"/>
      <c r="K20" s="120">
        <v>15</v>
      </c>
      <c r="L20" s="121">
        <v>7</v>
      </c>
      <c r="M20" s="121">
        <v>21</v>
      </c>
      <c r="N20" s="121">
        <v>4</v>
      </c>
      <c r="O20" s="121">
        <v>32</v>
      </c>
      <c r="P20" s="124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20">
        <v>16</v>
      </c>
      <c r="B21" s="121">
        <v>4288</v>
      </c>
      <c r="C21" s="121">
        <v>0</v>
      </c>
      <c r="D21" s="121">
        <v>1675</v>
      </c>
      <c r="E21" s="121">
        <v>299</v>
      </c>
      <c r="F21" s="121">
        <v>287</v>
      </c>
      <c r="G21" s="121">
        <v>460</v>
      </c>
      <c r="H21" s="121">
        <v>7009</v>
      </c>
      <c r="I21" s="121">
        <v>0</v>
      </c>
      <c r="J21" s="123"/>
      <c r="K21" s="120">
        <v>16</v>
      </c>
      <c r="L21" s="121">
        <v>5</v>
      </c>
      <c r="M21" s="121">
        <v>26</v>
      </c>
      <c r="N21" s="121">
        <v>11</v>
      </c>
      <c r="O21" s="121">
        <v>42</v>
      </c>
      <c r="P21" s="124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20">
        <v>17</v>
      </c>
      <c r="B22" s="121">
        <v>5872</v>
      </c>
      <c r="C22" s="121">
        <v>0</v>
      </c>
      <c r="D22" s="121">
        <v>1463</v>
      </c>
      <c r="E22" s="121">
        <v>282</v>
      </c>
      <c r="F22" s="121">
        <v>274</v>
      </c>
      <c r="G22" s="121">
        <v>459</v>
      </c>
      <c r="H22" s="121">
        <v>8350</v>
      </c>
      <c r="I22" s="121">
        <v>0</v>
      </c>
      <c r="J22" s="123"/>
      <c r="K22" s="120">
        <v>17</v>
      </c>
      <c r="L22" s="121">
        <v>5</v>
      </c>
      <c r="M22" s="121">
        <v>22</v>
      </c>
      <c r="N22" s="121">
        <v>9</v>
      </c>
      <c r="O22" s="121">
        <v>36</v>
      </c>
      <c r="P22" s="124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20">
        <v>18</v>
      </c>
      <c r="B23" s="121">
        <v>6701</v>
      </c>
      <c r="C23" s="121">
        <v>0</v>
      </c>
      <c r="D23" s="121">
        <v>1471</v>
      </c>
      <c r="E23" s="121">
        <v>251</v>
      </c>
      <c r="F23" s="121">
        <v>278</v>
      </c>
      <c r="G23" s="121">
        <v>419</v>
      </c>
      <c r="H23" s="127">
        <v>9120</v>
      </c>
      <c r="I23" s="121">
        <v>0</v>
      </c>
      <c r="J23" s="123"/>
      <c r="K23" s="120">
        <v>18</v>
      </c>
      <c r="L23" s="121">
        <v>12</v>
      </c>
      <c r="M23" s="121">
        <v>22</v>
      </c>
      <c r="N23" s="121">
        <v>4</v>
      </c>
      <c r="O23" s="121">
        <v>38</v>
      </c>
      <c r="P23" s="124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20">
        <v>19</v>
      </c>
      <c r="B24" s="121">
        <v>8844</v>
      </c>
      <c r="C24" s="121">
        <v>0</v>
      </c>
      <c r="D24" s="121">
        <v>1050</v>
      </c>
      <c r="E24" s="121">
        <v>133</v>
      </c>
      <c r="F24" s="121">
        <v>170</v>
      </c>
      <c r="G24" s="121">
        <v>292</v>
      </c>
      <c r="H24" s="127">
        <v>10489</v>
      </c>
      <c r="I24" s="121">
        <v>0</v>
      </c>
      <c r="J24" s="123"/>
      <c r="K24" s="120">
        <v>19</v>
      </c>
      <c r="L24" s="121">
        <v>10</v>
      </c>
      <c r="M24" s="121">
        <v>6</v>
      </c>
      <c r="N24" s="121">
        <v>1</v>
      </c>
      <c r="O24" s="121">
        <v>17</v>
      </c>
      <c r="P24" s="124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20">
        <v>20</v>
      </c>
      <c r="B25" s="121">
        <v>4600</v>
      </c>
      <c r="C25" s="121">
        <v>0</v>
      </c>
      <c r="D25" s="121">
        <v>1350</v>
      </c>
      <c r="E25" s="121">
        <v>249</v>
      </c>
      <c r="F25" s="121">
        <v>233</v>
      </c>
      <c r="G25" s="121">
        <v>494</v>
      </c>
      <c r="H25" s="121">
        <v>6926</v>
      </c>
      <c r="I25" s="121">
        <v>0</v>
      </c>
      <c r="J25" s="123"/>
      <c r="K25" s="120">
        <v>20</v>
      </c>
      <c r="L25" s="121">
        <v>4</v>
      </c>
      <c r="M25" s="121">
        <v>13</v>
      </c>
      <c r="N25" s="121">
        <v>4</v>
      </c>
      <c r="O25" s="121">
        <v>21</v>
      </c>
      <c r="P25" s="124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20">
        <v>21</v>
      </c>
      <c r="B26" s="121">
        <v>3820</v>
      </c>
      <c r="C26" s="121">
        <v>0</v>
      </c>
      <c r="D26" s="121">
        <v>1501</v>
      </c>
      <c r="E26" s="121">
        <v>256</v>
      </c>
      <c r="F26" s="121">
        <v>259</v>
      </c>
      <c r="G26" s="121">
        <v>491</v>
      </c>
      <c r="H26" s="121">
        <v>6327</v>
      </c>
      <c r="I26" s="121">
        <v>0</v>
      </c>
      <c r="J26" s="123"/>
      <c r="K26" s="120">
        <v>21</v>
      </c>
      <c r="L26" s="121">
        <v>6</v>
      </c>
      <c r="M26" s="121">
        <v>14</v>
      </c>
      <c r="N26" s="121">
        <v>5</v>
      </c>
      <c r="O26" s="121">
        <v>25</v>
      </c>
      <c r="P26" s="124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20">
        <v>22</v>
      </c>
      <c r="B27" s="121">
        <v>3753</v>
      </c>
      <c r="C27" s="121">
        <v>0</v>
      </c>
      <c r="D27" s="121">
        <v>1588</v>
      </c>
      <c r="E27" s="121">
        <v>261</v>
      </c>
      <c r="F27" s="121">
        <v>285</v>
      </c>
      <c r="G27" s="121">
        <v>475</v>
      </c>
      <c r="H27" s="121">
        <v>6362</v>
      </c>
      <c r="I27" s="121">
        <v>0</v>
      </c>
      <c r="J27" s="123"/>
      <c r="K27" s="120">
        <v>22</v>
      </c>
      <c r="L27" s="121">
        <v>2</v>
      </c>
      <c r="M27" s="121">
        <v>18</v>
      </c>
      <c r="N27" s="121">
        <v>8</v>
      </c>
      <c r="O27" s="121">
        <v>28</v>
      </c>
      <c r="P27" s="124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20">
        <v>23</v>
      </c>
      <c r="B28" s="121">
        <v>4229</v>
      </c>
      <c r="C28" s="121">
        <v>0</v>
      </c>
      <c r="D28" s="121">
        <v>1672</v>
      </c>
      <c r="E28" s="121">
        <v>273</v>
      </c>
      <c r="F28" s="121">
        <v>295</v>
      </c>
      <c r="G28" s="121">
        <v>491</v>
      </c>
      <c r="H28" s="121">
        <v>6960</v>
      </c>
      <c r="I28" s="121">
        <v>0</v>
      </c>
      <c r="J28" s="123"/>
      <c r="K28" s="120">
        <v>23</v>
      </c>
      <c r="L28" s="121">
        <v>3</v>
      </c>
      <c r="M28" s="121">
        <v>20</v>
      </c>
      <c r="N28" s="121">
        <v>4</v>
      </c>
      <c r="O28" s="121">
        <v>27</v>
      </c>
      <c r="P28" s="124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20">
        <v>24</v>
      </c>
      <c r="B29" s="121">
        <v>5922</v>
      </c>
      <c r="C29" s="121">
        <v>0</v>
      </c>
      <c r="D29" s="121">
        <v>1515</v>
      </c>
      <c r="E29" s="121">
        <v>263</v>
      </c>
      <c r="F29" s="121">
        <v>258</v>
      </c>
      <c r="G29" s="121">
        <v>451</v>
      </c>
      <c r="H29" s="121">
        <v>8409</v>
      </c>
      <c r="I29" s="121">
        <v>0</v>
      </c>
      <c r="J29" s="123"/>
      <c r="K29" s="120">
        <v>24</v>
      </c>
      <c r="L29" s="121">
        <v>9</v>
      </c>
      <c r="M29" s="121">
        <v>22</v>
      </c>
      <c r="N29" s="121">
        <v>9</v>
      </c>
      <c r="O29" s="121">
        <v>40</v>
      </c>
      <c r="P29" s="124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20">
        <v>25</v>
      </c>
      <c r="B30" s="121">
        <v>6478</v>
      </c>
      <c r="C30" s="121">
        <v>0</v>
      </c>
      <c r="D30" s="121">
        <v>1489</v>
      </c>
      <c r="E30" s="121">
        <v>193</v>
      </c>
      <c r="F30" s="121">
        <v>280</v>
      </c>
      <c r="G30" s="121">
        <v>378</v>
      </c>
      <c r="H30" s="121">
        <v>8818</v>
      </c>
      <c r="I30" s="121">
        <v>0</v>
      </c>
      <c r="J30" s="123"/>
      <c r="K30" s="120">
        <v>25</v>
      </c>
      <c r="L30" s="121">
        <v>2</v>
      </c>
      <c r="M30" s="121">
        <v>4</v>
      </c>
      <c r="N30" s="121">
        <v>9</v>
      </c>
      <c r="O30" s="121">
        <v>15</v>
      </c>
      <c r="P30" s="124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20">
        <v>26</v>
      </c>
      <c r="B31" s="121">
        <v>8569</v>
      </c>
      <c r="C31" s="121">
        <v>0</v>
      </c>
      <c r="D31" s="121">
        <v>1111</v>
      </c>
      <c r="E31" s="121">
        <v>122</v>
      </c>
      <c r="F31" s="121">
        <v>153</v>
      </c>
      <c r="G31" s="121">
        <v>301</v>
      </c>
      <c r="H31" s="121">
        <v>10256</v>
      </c>
      <c r="I31" s="121">
        <v>0</v>
      </c>
      <c r="J31" s="123"/>
      <c r="K31" s="120">
        <v>26</v>
      </c>
      <c r="L31" s="121">
        <v>2</v>
      </c>
      <c r="M31" s="121">
        <v>15</v>
      </c>
      <c r="N31" s="121">
        <v>2</v>
      </c>
      <c r="O31" s="121">
        <v>19</v>
      </c>
      <c r="P31" s="124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20">
        <v>27</v>
      </c>
      <c r="B32" s="121">
        <v>4365</v>
      </c>
      <c r="C32" s="121">
        <v>0</v>
      </c>
      <c r="D32" s="121">
        <v>1263</v>
      </c>
      <c r="E32" s="121">
        <v>247</v>
      </c>
      <c r="F32" s="121">
        <v>205</v>
      </c>
      <c r="G32" s="121">
        <v>465</v>
      </c>
      <c r="H32" s="121">
        <v>6545</v>
      </c>
      <c r="I32" s="121">
        <v>0</v>
      </c>
      <c r="J32" s="123"/>
      <c r="K32" s="120">
        <v>27</v>
      </c>
      <c r="L32" s="121">
        <v>4</v>
      </c>
      <c r="M32" s="121">
        <v>12</v>
      </c>
      <c r="N32" s="121">
        <v>1</v>
      </c>
      <c r="O32" s="121">
        <v>17</v>
      </c>
      <c r="P32" s="124">
        <v>6135</v>
      </c>
    </row>
    <row r="33" spans="1:16" ht="15.6" thickTop="1" thickBot="1" x14ac:dyDescent="0.35">
      <c r="A33" s="120">
        <v>28</v>
      </c>
      <c r="B33" s="121">
        <v>3742</v>
      </c>
      <c r="C33" s="121">
        <v>0</v>
      </c>
      <c r="D33" s="121">
        <v>1619</v>
      </c>
      <c r="E33" s="121">
        <v>223</v>
      </c>
      <c r="F33" s="121">
        <v>281</v>
      </c>
      <c r="G33" s="121">
        <v>472</v>
      </c>
      <c r="H33" s="121">
        <v>6337</v>
      </c>
      <c r="I33" s="121">
        <v>0</v>
      </c>
      <c r="J33" s="123"/>
      <c r="K33" s="120">
        <v>28</v>
      </c>
      <c r="L33" s="121">
        <v>7</v>
      </c>
      <c r="M33" s="121">
        <v>8</v>
      </c>
      <c r="N33" s="121">
        <v>10</v>
      </c>
      <c r="O33" s="121">
        <v>25</v>
      </c>
      <c r="P33" s="124">
        <v>6135</v>
      </c>
    </row>
    <row r="34" spans="1:16" ht="15.6" thickTop="1" thickBot="1" x14ac:dyDescent="0.35">
      <c r="A34" s="120">
        <v>29</v>
      </c>
      <c r="B34" s="121">
        <v>3957</v>
      </c>
      <c r="C34" s="121">
        <v>0</v>
      </c>
      <c r="D34" s="121">
        <v>1717</v>
      </c>
      <c r="E34" s="121">
        <v>257</v>
      </c>
      <c r="F34" s="121">
        <v>341</v>
      </c>
      <c r="G34" s="121">
        <v>517</v>
      </c>
      <c r="H34" s="121">
        <v>6789</v>
      </c>
      <c r="I34" s="121">
        <v>0</v>
      </c>
      <c r="J34" s="123"/>
      <c r="K34" s="120">
        <v>29</v>
      </c>
      <c r="L34" s="121">
        <v>7</v>
      </c>
      <c r="M34" s="121">
        <v>24</v>
      </c>
      <c r="N34" s="121">
        <v>6</v>
      </c>
      <c r="O34" s="121">
        <v>37</v>
      </c>
      <c r="P34" s="124">
        <v>6135</v>
      </c>
    </row>
    <row r="35" spans="1:16" ht="15.6" thickTop="1" thickBot="1" x14ac:dyDescent="0.35">
      <c r="A35" s="120">
        <v>30</v>
      </c>
      <c r="B35" s="121">
        <v>4068</v>
      </c>
      <c r="C35" s="121">
        <v>0</v>
      </c>
      <c r="D35" s="121">
        <v>1626</v>
      </c>
      <c r="E35" s="121">
        <v>260</v>
      </c>
      <c r="F35" s="121">
        <v>277</v>
      </c>
      <c r="G35" s="121">
        <v>449</v>
      </c>
      <c r="H35" s="121">
        <v>6680</v>
      </c>
      <c r="I35" s="121">
        <v>0</v>
      </c>
      <c r="J35" s="123"/>
      <c r="K35" s="120">
        <v>30</v>
      </c>
      <c r="L35" s="121">
        <v>3</v>
      </c>
      <c r="M35" s="121">
        <v>16</v>
      </c>
      <c r="N35" s="121">
        <v>6</v>
      </c>
      <c r="O35" s="121">
        <v>25</v>
      </c>
      <c r="P35" s="124">
        <v>6135</v>
      </c>
    </row>
    <row r="36" spans="1:16" ht="15.6" thickTop="1" thickBot="1" x14ac:dyDescent="0.35">
      <c r="A36" s="120">
        <v>31</v>
      </c>
      <c r="B36" s="121"/>
      <c r="C36" s="121"/>
      <c r="D36" s="121"/>
      <c r="E36" s="121"/>
      <c r="F36" s="121"/>
      <c r="G36" s="121"/>
      <c r="H36" s="121">
        <v>0</v>
      </c>
      <c r="I36" s="121">
        <v>0</v>
      </c>
      <c r="J36" s="123"/>
      <c r="K36" s="120">
        <v>31</v>
      </c>
      <c r="L36" s="126"/>
      <c r="M36" s="126"/>
      <c r="N36" s="126"/>
      <c r="O36" s="121">
        <v>0</v>
      </c>
      <c r="P36" s="124">
        <v>6135</v>
      </c>
    </row>
    <row r="37" spans="1:16" ht="15" thickTop="1" x14ac:dyDescent="0.3">
      <c r="A37" s="55" t="s">
        <v>19</v>
      </c>
      <c r="B37" s="57">
        <v>154785</v>
      </c>
      <c r="C37" s="57">
        <v>0</v>
      </c>
      <c r="D37" s="57">
        <v>43959</v>
      </c>
      <c r="E37" s="57">
        <v>7145</v>
      </c>
      <c r="F37" s="57">
        <v>7756</v>
      </c>
      <c r="G37" s="57">
        <v>13410</v>
      </c>
      <c r="H37" s="155">
        <v>227055</v>
      </c>
      <c r="I37" s="57">
        <v>0</v>
      </c>
      <c r="J37" s="57"/>
      <c r="K37" s="57"/>
      <c r="L37" s="57">
        <v>151</v>
      </c>
      <c r="M37" s="57">
        <v>494</v>
      </c>
      <c r="N37" s="57">
        <v>172</v>
      </c>
      <c r="O37" s="155">
        <v>817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5F3B-7A73-4E4B-9ABD-A02307973457}">
  <dimension ref="A1:Z45"/>
  <sheetViews>
    <sheetView topLeftCell="A18" workbookViewId="0">
      <selection activeCell="D9" sqref="D9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31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28">
        <v>1</v>
      </c>
      <c r="B6" s="129">
        <v>5833</v>
      </c>
      <c r="C6" s="129">
        <v>0</v>
      </c>
      <c r="D6" s="129">
        <v>1492</v>
      </c>
      <c r="E6" s="129">
        <v>262</v>
      </c>
      <c r="F6" s="129">
        <v>257</v>
      </c>
      <c r="G6" s="129">
        <v>372</v>
      </c>
      <c r="H6" s="129">
        <v>8216</v>
      </c>
      <c r="I6" s="129">
        <v>0</v>
      </c>
      <c r="J6" s="130"/>
      <c r="K6" s="128">
        <v>1</v>
      </c>
      <c r="L6" s="129">
        <v>10</v>
      </c>
      <c r="M6" s="129">
        <v>26</v>
      </c>
      <c r="N6" s="129">
        <v>3</v>
      </c>
      <c r="O6" s="129">
        <v>39</v>
      </c>
      <c r="P6" s="132">
        <v>6135</v>
      </c>
      <c r="Q6" s="58"/>
      <c r="R6" s="58"/>
      <c r="S6" s="58"/>
    </row>
    <row r="7" spans="1:26" ht="15.6" thickTop="1" thickBot="1" x14ac:dyDescent="0.35">
      <c r="A7" s="128">
        <v>2</v>
      </c>
      <c r="B7" s="129">
        <v>6668</v>
      </c>
      <c r="C7" s="129">
        <v>0</v>
      </c>
      <c r="D7" s="129">
        <v>1423</v>
      </c>
      <c r="E7" s="129">
        <v>172</v>
      </c>
      <c r="F7" s="129">
        <v>254</v>
      </c>
      <c r="G7" s="129">
        <v>325</v>
      </c>
      <c r="H7" s="129">
        <v>8842</v>
      </c>
      <c r="I7" s="129">
        <v>0</v>
      </c>
      <c r="J7" s="130"/>
      <c r="K7" s="128">
        <v>2</v>
      </c>
      <c r="L7" s="129">
        <v>2</v>
      </c>
      <c r="M7" s="129">
        <v>12</v>
      </c>
      <c r="N7" s="129">
        <v>11</v>
      </c>
      <c r="O7" s="129">
        <v>25</v>
      </c>
      <c r="P7" s="132">
        <v>6135</v>
      </c>
      <c r="Q7" s="58"/>
      <c r="R7" s="58"/>
      <c r="S7" s="58"/>
    </row>
    <row r="8" spans="1:26" ht="15.6" thickTop="1" thickBot="1" x14ac:dyDescent="0.35">
      <c r="A8" s="128">
        <v>3</v>
      </c>
      <c r="B8" s="129">
        <v>8317</v>
      </c>
      <c r="C8" s="129">
        <v>0</v>
      </c>
      <c r="D8" s="129">
        <v>998</v>
      </c>
      <c r="E8" s="129">
        <v>111</v>
      </c>
      <c r="F8" s="129">
        <v>164</v>
      </c>
      <c r="G8" s="129">
        <v>221</v>
      </c>
      <c r="H8" s="129">
        <v>9811</v>
      </c>
      <c r="I8" s="129">
        <v>0</v>
      </c>
      <c r="J8" s="130"/>
      <c r="K8" s="128">
        <v>3</v>
      </c>
      <c r="L8" s="129">
        <v>4</v>
      </c>
      <c r="M8" s="129">
        <v>5</v>
      </c>
      <c r="N8" s="129">
        <v>5</v>
      </c>
      <c r="O8" s="129">
        <v>14</v>
      </c>
      <c r="P8" s="132">
        <v>6135</v>
      </c>
      <c r="Q8" s="58"/>
      <c r="R8" s="58"/>
      <c r="S8" s="67"/>
    </row>
    <row r="9" spans="1:26" ht="15.6" thickTop="1" thickBot="1" x14ac:dyDescent="0.35">
      <c r="A9" s="128">
        <v>4</v>
      </c>
      <c r="B9" s="129">
        <v>4203</v>
      </c>
      <c r="C9" s="129">
        <v>0</v>
      </c>
      <c r="D9" s="129">
        <v>1222</v>
      </c>
      <c r="E9" s="129">
        <v>224</v>
      </c>
      <c r="F9" s="129">
        <v>219</v>
      </c>
      <c r="G9" s="129">
        <v>403</v>
      </c>
      <c r="H9" s="129">
        <v>6271</v>
      </c>
      <c r="I9" s="129">
        <v>0</v>
      </c>
      <c r="J9" s="130"/>
      <c r="K9" s="128">
        <v>4</v>
      </c>
      <c r="L9" s="129">
        <v>2</v>
      </c>
      <c r="M9" s="129">
        <v>12</v>
      </c>
      <c r="N9" s="129">
        <v>2</v>
      </c>
      <c r="O9" s="129">
        <v>16</v>
      </c>
      <c r="P9" s="132">
        <v>6135</v>
      </c>
      <c r="Q9" s="58"/>
      <c r="R9" s="58"/>
      <c r="S9" s="58"/>
    </row>
    <row r="10" spans="1:26" ht="15.6" thickTop="1" thickBot="1" x14ac:dyDescent="0.35">
      <c r="A10" s="128">
        <v>5</v>
      </c>
      <c r="B10" s="129">
        <v>3692</v>
      </c>
      <c r="C10" s="129">
        <v>0</v>
      </c>
      <c r="D10" s="129">
        <v>1455</v>
      </c>
      <c r="E10" s="129">
        <v>245</v>
      </c>
      <c r="F10" s="129">
        <v>272</v>
      </c>
      <c r="G10" s="129">
        <v>373</v>
      </c>
      <c r="H10" s="129">
        <v>6037</v>
      </c>
      <c r="I10" s="129">
        <v>0</v>
      </c>
      <c r="J10" s="130"/>
      <c r="K10" s="128">
        <v>5</v>
      </c>
      <c r="L10" s="129">
        <v>2</v>
      </c>
      <c r="M10" s="129">
        <v>14</v>
      </c>
      <c r="N10" s="129">
        <v>2</v>
      </c>
      <c r="O10" s="129">
        <v>18</v>
      </c>
      <c r="P10" s="132">
        <v>6135</v>
      </c>
      <c r="Q10" s="58"/>
      <c r="R10" s="58"/>
      <c r="S10" s="58"/>
    </row>
    <row r="11" spans="1:26" ht="15.6" thickTop="1" thickBot="1" x14ac:dyDescent="0.35">
      <c r="A11" s="128">
        <v>6</v>
      </c>
      <c r="B11" s="129">
        <v>3828</v>
      </c>
      <c r="C11" s="129">
        <v>0</v>
      </c>
      <c r="D11" s="129">
        <v>1603</v>
      </c>
      <c r="E11" s="129">
        <v>263</v>
      </c>
      <c r="F11" s="129">
        <v>302</v>
      </c>
      <c r="G11" s="129">
        <v>403</v>
      </c>
      <c r="H11" s="129">
        <v>6399</v>
      </c>
      <c r="I11" s="129">
        <v>0</v>
      </c>
      <c r="J11" s="130"/>
      <c r="K11" s="128">
        <v>6</v>
      </c>
      <c r="L11" s="129">
        <v>5</v>
      </c>
      <c r="M11" s="129">
        <v>18</v>
      </c>
      <c r="N11" s="129">
        <v>4</v>
      </c>
      <c r="O11" s="129">
        <v>27</v>
      </c>
      <c r="P11" s="132">
        <v>6135</v>
      </c>
      <c r="Q11" s="58"/>
      <c r="R11" s="58"/>
      <c r="S11" s="58"/>
    </row>
    <row r="12" spans="1:26" ht="15.6" thickTop="1" thickBot="1" x14ac:dyDescent="0.35">
      <c r="A12" s="128">
        <v>7</v>
      </c>
      <c r="B12" s="129">
        <v>4208</v>
      </c>
      <c r="C12" s="129">
        <v>0</v>
      </c>
      <c r="D12" s="129">
        <v>1666</v>
      </c>
      <c r="E12" s="129">
        <v>255</v>
      </c>
      <c r="F12" s="129">
        <v>316</v>
      </c>
      <c r="G12" s="129">
        <v>439</v>
      </c>
      <c r="H12" s="129">
        <v>6884</v>
      </c>
      <c r="I12" s="129">
        <v>0</v>
      </c>
      <c r="J12" s="131"/>
      <c r="K12" s="128">
        <v>7</v>
      </c>
      <c r="L12" s="129">
        <v>3</v>
      </c>
      <c r="M12" s="129">
        <v>28</v>
      </c>
      <c r="N12" s="129">
        <v>9</v>
      </c>
      <c r="O12" s="129">
        <v>40</v>
      </c>
      <c r="P12" s="132">
        <v>6135</v>
      </c>
      <c r="Q12" s="58"/>
      <c r="R12" s="58"/>
      <c r="S12" s="58"/>
    </row>
    <row r="13" spans="1:26" ht="15.6" thickTop="1" thickBot="1" x14ac:dyDescent="0.35">
      <c r="A13" s="128">
        <v>8</v>
      </c>
      <c r="B13" s="129">
        <v>6367</v>
      </c>
      <c r="C13" s="129">
        <v>0</v>
      </c>
      <c r="D13" s="129">
        <v>1352</v>
      </c>
      <c r="E13" s="129">
        <v>205</v>
      </c>
      <c r="F13" s="129">
        <v>239</v>
      </c>
      <c r="G13" s="129">
        <v>379</v>
      </c>
      <c r="H13" s="129">
        <v>8542</v>
      </c>
      <c r="I13" s="129">
        <v>0</v>
      </c>
      <c r="J13" s="131"/>
      <c r="K13" s="128">
        <v>8</v>
      </c>
      <c r="L13" s="129">
        <v>3</v>
      </c>
      <c r="M13" s="129">
        <v>17</v>
      </c>
      <c r="N13" s="129">
        <v>1</v>
      </c>
      <c r="O13" s="129">
        <v>21</v>
      </c>
      <c r="P13" s="132">
        <v>6135</v>
      </c>
      <c r="Q13" s="58"/>
      <c r="R13" s="58"/>
      <c r="S13" s="58"/>
    </row>
    <row r="14" spans="1:26" ht="15.6" thickTop="1" thickBot="1" x14ac:dyDescent="0.35">
      <c r="A14" s="128">
        <v>9</v>
      </c>
      <c r="B14" s="129">
        <v>8500</v>
      </c>
      <c r="C14" s="129">
        <v>0</v>
      </c>
      <c r="D14" s="129">
        <v>1353</v>
      </c>
      <c r="E14" s="129">
        <v>173</v>
      </c>
      <c r="F14" s="129">
        <v>244</v>
      </c>
      <c r="G14" s="129">
        <v>262</v>
      </c>
      <c r="H14" s="129">
        <v>10532</v>
      </c>
      <c r="I14" s="129">
        <v>0</v>
      </c>
      <c r="J14" s="131"/>
      <c r="K14" s="128">
        <v>9</v>
      </c>
      <c r="L14" s="129">
        <v>0</v>
      </c>
      <c r="M14" s="129">
        <v>18</v>
      </c>
      <c r="N14" s="129">
        <v>3</v>
      </c>
      <c r="O14" s="129">
        <v>21</v>
      </c>
      <c r="P14" s="133">
        <v>6135</v>
      </c>
      <c r="Q14" s="70"/>
      <c r="R14" s="70"/>
      <c r="S14" s="70"/>
    </row>
    <row r="15" spans="1:26" ht="15.6" thickTop="1" thickBot="1" x14ac:dyDescent="0.35">
      <c r="A15" s="128">
        <v>10</v>
      </c>
      <c r="B15" s="129">
        <v>8026</v>
      </c>
      <c r="C15" s="129">
        <v>0</v>
      </c>
      <c r="D15" s="129">
        <v>1294</v>
      </c>
      <c r="E15" s="129">
        <v>252</v>
      </c>
      <c r="F15" s="129">
        <v>235</v>
      </c>
      <c r="G15" s="129">
        <v>381</v>
      </c>
      <c r="H15" s="129">
        <v>10188</v>
      </c>
      <c r="I15" s="129">
        <v>0</v>
      </c>
      <c r="J15" s="131"/>
      <c r="K15" s="128">
        <v>10</v>
      </c>
      <c r="L15" s="129">
        <v>6</v>
      </c>
      <c r="M15" s="129">
        <v>6</v>
      </c>
      <c r="N15" s="129">
        <v>4</v>
      </c>
      <c r="O15" s="129">
        <v>16</v>
      </c>
      <c r="P15" s="132">
        <v>6135</v>
      </c>
      <c r="Q15" s="58"/>
      <c r="R15" s="58"/>
      <c r="S15" s="58"/>
    </row>
    <row r="16" spans="1:26" ht="15.6" thickTop="1" thickBot="1" x14ac:dyDescent="0.35">
      <c r="A16" s="128">
        <v>11</v>
      </c>
      <c r="B16" s="129">
        <v>5365</v>
      </c>
      <c r="C16" s="129">
        <v>0</v>
      </c>
      <c r="D16" s="129">
        <v>1309</v>
      </c>
      <c r="E16" s="129">
        <v>260</v>
      </c>
      <c r="F16" s="129">
        <v>232</v>
      </c>
      <c r="G16" s="129">
        <v>444</v>
      </c>
      <c r="H16" s="129">
        <v>7610</v>
      </c>
      <c r="I16" s="129">
        <v>0</v>
      </c>
      <c r="J16" s="131"/>
      <c r="K16" s="128">
        <v>11</v>
      </c>
      <c r="L16" s="129">
        <v>5</v>
      </c>
      <c r="M16" s="129">
        <v>14</v>
      </c>
      <c r="N16" s="129">
        <v>3</v>
      </c>
      <c r="O16" s="129">
        <v>22</v>
      </c>
      <c r="P16" s="132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28">
        <v>12</v>
      </c>
      <c r="B17" s="129">
        <v>5103</v>
      </c>
      <c r="C17" s="129">
        <v>0</v>
      </c>
      <c r="D17" s="129">
        <v>1526</v>
      </c>
      <c r="E17" s="129">
        <v>285</v>
      </c>
      <c r="F17" s="129">
        <v>272</v>
      </c>
      <c r="G17" s="129">
        <v>409</v>
      </c>
      <c r="H17" s="129">
        <v>7595</v>
      </c>
      <c r="I17" s="129">
        <v>0</v>
      </c>
      <c r="J17" s="131"/>
      <c r="K17" s="128">
        <v>12</v>
      </c>
      <c r="L17" s="129">
        <v>5</v>
      </c>
      <c r="M17" s="129">
        <v>21</v>
      </c>
      <c r="N17" s="129">
        <v>10</v>
      </c>
      <c r="O17" s="129">
        <v>36</v>
      </c>
      <c r="P17" s="132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28">
        <v>13</v>
      </c>
      <c r="B18" s="129">
        <v>5503</v>
      </c>
      <c r="C18" s="129">
        <v>0</v>
      </c>
      <c r="D18" s="129">
        <v>1689</v>
      </c>
      <c r="E18" s="129">
        <v>250</v>
      </c>
      <c r="F18" s="129">
        <v>310</v>
      </c>
      <c r="G18" s="129">
        <v>460</v>
      </c>
      <c r="H18" s="129">
        <v>8212</v>
      </c>
      <c r="I18" s="129">
        <v>0</v>
      </c>
      <c r="J18" s="131"/>
      <c r="K18" s="128">
        <v>13</v>
      </c>
      <c r="L18" s="129">
        <v>5</v>
      </c>
      <c r="M18" s="129">
        <v>22</v>
      </c>
      <c r="N18" s="129">
        <v>1</v>
      </c>
      <c r="O18" s="129">
        <v>28</v>
      </c>
      <c r="P18" s="132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28">
        <v>14</v>
      </c>
      <c r="B19" s="129">
        <v>6456</v>
      </c>
      <c r="C19" s="129">
        <v>0</v>
      </c>
      <c r="D19" s="129">
        <v>1716</v>
      </c>
      <c r="E19" s="129">
        <v>246</v>
      </c>
      <c r="F19" s="129">
        <v>323</v>
      </c>
      <c r="G19" s="129">
        <v>427</v>
      </c>
      <c r="H19" s="129">
        <v>9168</v>
      </c>
      <c r="I19" s="129">
        <v>0</v>
      </c>
      <c r="J19" s="131"/>
      <c r="K19" s="128">
        <v>14</v>
      </c>
      <c r="L19" s="129">
        <v>6</v>
      </c>
      <c r="M19" s="129">
        <v>22</v>
      </c>
      <c r="N19" s="129">
        <v>6</v>
      </c>
      <c r="O19" s="129">
        <v>34</v>
      </c>
      <c r="P19" s="132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28">
        <v>15</v>
      </c>
      <c r="B20" s="129">
        <v>10258</v>
      </c>
      <c r="C20" s="129">
        <v>0</v>
      </c>
      <c r="D20" s="129">
        <v>1552</v>
      </c>
      <c r="E20" s="129">
        <v>223</v>
      </c>
      <c r="F20" s="129">
        <v>263</v>
      </c>
      <c r="G20" s="129">
        <v>401</v>
      </c>
      <c r="H20" s="129">
        <v>12697</v>
      </c>
      <c r="I20" s="129">
        <v>0</v>
      </c>
      <c r="J20" s="131"/>
      <c r="K20" s="128">
        <v>15</v>
      </c>
      <c r="L20" s="129">
        <v>11</v>
      </c>
      <c r="M20" s="129">
        <v>16</v>
      </c>
      <c r="N20" s="129">
        <v>6</v>
      </c>
      <c r="O20" s="129">
        <v>33</v>
      </c>
      <c r="P20" s="132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28">
        <v>16</v>
      </c>
      <c r="B21" s="129">
        <v>12711</v>
      </c>
      <c r="C21" s="129">
        <v>0</v>
      </c>
      <c r="D21" s="129">
        <v>1347</v>
      </c>
      <c r="E21" s="129">
        <v>132</v>
      </c>
      <c r="F21" s="129">
        <v>234</v>
      </c>
      <c r="G21" s="129">
        <v>244</v>
      </c>
      <c r="H21" s="129">
        <v>14668</v>
      </c>
      <c r="I21" s="129">
        <v>0</v>
      </c>
      <c r="J21" s="131"/>
      <c r="K21" s="128">
        <v>16</v>
      </c>
      <c r="L21" s="129">
        <v>1</v>
      </c>
      <c r="M21" s="129">
        <v>14</v>
      </c>
      <c r="N21" s="129">
        <v>3</v>
      </c>
      <c r="O21" s="129">
        <v>18</v>
      </c>
      <c r="P21" s="132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28">
        <v>17</v>
      </c>
      <c r="B22" s="129">
        <v>12066</v>
      </c>
      <c r="C22" s="129">
        <v>0</v>
      </c>
      <c r="D22" s="129">
        <v>1283</v>
      </c>
      <c r="E22" s="129">
        <v>165</v>
      </c>
      <c r="F22" s="129">
        <v>229</v>
      </c>
      <c r="G22" s="129">
        <v>431</v>
      </c>
      <c r="H22" s="129">
        <v>14174</v>
      </c>
      <c r="I22" s="129">
        <v>0</v>
      </c>
      <c r="J22" s="131"/>
      <c r="K22" s="128">
        <v>17</v>
      </c>
      <c r="L22" s="129">
        <v>2</v>
      </c>
      <c r="M22" s="129">
        <v>14</v>
      </c>
      <c r="N22" s="129">
        <v>5</v>
      </c>
      <c r="O22" s="129">
        <v>21</v>
      </c>
      <c r="P22" s="132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28">
        <v>18</v>
      </c>
      <c r="B23" s="129">
        <v>17342</v>
      </c>
      <c r="C23" s="129">
        <v>0</v>
      </c>
      <c r="D23" s="129">
        <v>919</v>
      </c>
      <c r="E23" s="129">
        <v>55</v>
      </c>
      <c r="F23" s="129">
        <v>73</v>
      </c>
      <c r="G23" s="129">
        <v>130</v>
      </c>
      <c r="H23" s="135">
        <v>18519</v>
      </c>
      <c r="I23" s="129">
        <v>0</v>
      </c>
      <c r="J23" s="131"/>
      <c r="K23" s="128">
        <v>18</v>
      </c>
      <c r="L23" s="129">
        <v>2</v>
      </c>
      <c r="M23" s="129">
        <v>4</v>
      </c>
      <c r="N23" s="129">
        <v>4</v>
      </c>
      <c r="O23" s="129">
        <v>10</v>
      </c>
      <c r="P23" s="132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28">
        <v>19</v>
      </c>
      <c r="B24" s="129">
        <v>6285</v>
      </c>
      <c r="C24" s="129">
        <v>0</v>
      </c>
      <c r="D24" s="129">
        <v>1520</v>
      </c>
      <c r="E24" s="129">
        <v>323</v>
      </c>
      <c r="F24" s="129">
        <v>272</v>
      </c>
      <c r="G24" s="129">
        <v>546</v>
      </c>
      <c r="H24" s="135">
        <v>8946</v>
      </c>
      <c r="I24" s="129">
        <v>0</v>
      </c>
      <c r="J24" s="131"/>
      <c r="K24" s="128">
        <v>19</v>
      </c>
      <c r="L24" s="129">
        <v>7</v>
      </c>
      <c r="M24" s="129">
        <v>26</v>
      </c>
      <c r="N24" s="129">
        <v>0</v>
      </c>
      <c r="O24" s="129">
        <v>33</v>
      </c>
      <c r="P24" s="132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28">
        <v>20</v>
      </c>
      <c r="B25" s="129">
        <v>4296</v>
      </c>
      <c r="C25" s="129">
        <v>0</v>
      </c>
      <c r="D25" s="129">
        <v>1742</v>
      </c>
      <c r="E25" s="129">
        <v>253</v>
      </c>
      <c r="F25" s="129">
        <v>290</v>
      </c>
      <c r="G25" s="129">
        <v>475</v>
      </c>
      <c r="H25" s="129">
        <v>7056</v>
      </c>
      <c r="I25" s="129">
        <v>0</v>
      </c>
      <c r="J25" s="131"/>
      <c r="K25" s="128">
        <v>20</v>
      </c>
      <c r="L25" s="129">
        <v>7</v>
      </c>
      <c r="M25" s="129">
        <v>24</v>
      </c>
      <c r="N25" s="129">
        <v>7</v>
      </c>
      <c r="O25" s="129">
        <v>38</v>
      </c>
      <c r="P25" s="132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28">
        <v>21</v>
      </c>
      <c r="B26" s="129">
        <v>4354</v>
      </c>
      <c r="C26" s="129">
        <v>0</v>
      </c>
      <c r="D26" s="129">
        <v>1820</v>
      </c>
      <c r="E26" s="129">
        <v>289</v>
      </c>
      <c r="F26" s="129">
        <v>325</v>
      </c>
      <c r="G26" s="129">
        <v>559</v>
      </c>
      <c r="H26" s="129">
        <v>7347</v>
      </c>
      <c r="I26" s="129">
        <v>0</v>
      </c>
      <c r="J26" s="131"/>
      <c r="K26" s="128">
        <v>21</v>
      </c>
      <c r="L26" s="129">
        <v>10</v>
      </c>
      <c r="M26" s="129">
        <v>12</v>
      </c>
      <c r="N26" s="129">
        <v>4</v>
      </c>
      <c r="O26" s="129">
        <v>26</v>
      </c>
      <c r="P26" s="132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28">
        <v>22</v>
      </c>
      <c r="B27" s="129">
        <v>5392</v>
      </c>
      <c r="C27" s="129">
        <v>0</v>
      </c>
      <c r="D27" s="129">
        <v>1708</v>
      </c>
      <c r="E27" s="129">
        <v>239</v>
      </c>
      <c r="F27" s="129">
        <v>278</v>
      </c>
      <c r="G27" s="129">
        <v>512</v>
      </c>
      <c r="H27" s="129">
        <v>8129</v>
      </c>
      <c r="I27" s="129">
        <v>0</v>
      </c>
      <c r="J27" s="131"/>
      <c r="K27" s="128">
        <v>22</v>
      </c>
      <c r="L27" s="129">
        <v>12</v>
      </c>
      <c r="M27" s="129">
        <v>19</v>
      </c>
      <c r="N27" s="129">
        <v>9</v>
      </c>
      <c r="O27" s="129">
        <v>40</v>
      </c>
      <c r="P27" s="132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28">
        <v>23</v>
      </c>
      <c r="B28" s="129">
        <v>6120</v>
      </c>
      <c r="C28" s="129">
        <v>0</v>
      </c>
      <c r="D28" s="129">
        <v>1593</v>
      </c>
      <c r="E28" s="129">
        <v>247</v>
      </c>
      <c r="F28" s="129">
        <v>302</v>
      </c>
      <c r="G28" s="129">
        <v>414</v>
      </c>
      <c r="H28" s="129">
        <v>8676</v>
      </c>
      <c r="I28" s="129">
        <v>0</v>
      </c>
      <c r="J28" s="131"/>
      <c r="K28" s="128">
        <v>23</v>
      </c>
      <c r="L28" s="129">
        <v>3</v>
      </c>
      <c r="M28" s="129">
        <v>21</v>
      </c>
      <c r="N28" s="129">
        <v>6</v>
      </c>
      <c r="O28" s="129">
        <v>30</v>
      </c>
      <c r="P28" s="132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28">
        <v>24</v>
      </c>
      <c r="B29" s="129">
        <v>7135</v>
      </c>
      <c r="C29" s="129">
        <v>0</v>
      </c>
      <c r="D29" s="129">
        <v>1319</v>
      </c>
      <c r="E29" s="129">
        <v>202</v>
      </c>
      <c r="F29" s="129">
        <v>179</v>
      </c>
      <c r="G29" s="129">
        <v>350</v>
      </c>
      <c r="H29" s="129">
        <v>9185</v>
      </c>
      <c r="I29" s="129">
        <v>0</v>
      </c>
      <c r="J29" s="131"/>
      <c r="K29" s="128">
        <v>24</v>
      </c>
      <c r="L29" s="129">
        <v>1</v>
      </c>
      <c r="M29" s="129">
        <v>10</v>
      </c>
      <c r="N29" s="129">
        <v>2</v>
      </c>
      <c r="O29" s="129">
        <v>13</v>
      </c>
      <c r="P29" s="132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28">
        <v>25</v>
      </c>
      <c r="B30" s="129">
        <v>4274</v>
      </c>
      <c r="C30" s="129">
        <v>0</v>
      </c>
      <c r="D30" s="129">
        <v>1329</v>
      </c>
      <c r="E30" s="129">
        <v>251</v>
      </c>
      <c r="F30" s="129">
        <v>250</v>
      </c>
      <c r="G30" s="129">
        <v>463</v>
      </c>
      <c r="H30" s="129">
        <v>6567</v>
      </c>
      <c r="I30" s="129">
        <v>0</v>
      </c>
      <c r="J30" s="131"/>
      <c r="K30" s="128">
        <v>25</v>
      </c>
      <c r="L30" s="129">
        <v>5</v>
      </c>
      <c r="M30" s="129">
        <v>12</v>
      </c>
      <c r="N30" s="129">
        <v>2</v>
      </c>
      <c r="O30" s="129">
        <v>19</v>
      </c>
      <c r="P30" s="132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28">
        <v>26</v>
      </c>
      <c r="B31" s="129">
        <v>3657</v>
      </c>
      <c r="C31" s="129">
        <v>0</v>
      </c>
      <c r="D31" s="129">
        <v>1598</v>
      </c>
      <c r="E31" s="129">
        <v>242</v>
      </c>
      <c r="F31" s="129">
        <v>309</v>
      </c>
      <c r="G31" s="129">
        <v>509</v>
      </c>
      <c r="H31" s="129">
        <v>6315</v>
      </c>
      <c r="I31" s="129">
        <v>0</v>
      </c>
      <c r="J31" s="131"/>
      <c r="K31" s="128">
        <v>26</v>
      </c>
      <c r="L31" s="129">
        <v>4</v>
      </c>
      <c r="M31" s="129">
        <v>24</v>
      </c>
      <c r="N31" s="129">
        <v>8</v>
      </c>
      <c r="O31" s="129">
        <v>36</v>
      </c>
      <c r="P31" s="132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28">
        <v>27</v>
      </c>
      <c r="B32" s="129">
        <v>4012</v>
      </c>
      <c r="C32" s="129">
        <v>0</v>
      </c>
      <c r="D32" s="129">
        <v>1923</v>
      </c>
      <c r="E32" s="129">
        <v>305</v>
      </c>
      <c r="F32" s="129">
        <v>380</v>
      </c>
      <c r="G32" s="129">
        <v>522</v>
      </c>
      <c r="H32" s="129">
        <v>7142</v>
      </c>
      <c r="I32" s="129">
        <v>0</v>
      </c>
      <c r="J32" s="131"/>
      <c r="K32" s="128">
        <v>27</v>
      </c>
      <c r="L32" s="129">
        <v>7</v>
      </c>
      <c r="M32" s="129">
        <v>30</v>
      </c>
      <c r="N32" s="129">
        <v>14</v>
      </c>
      <c r="O32" s="129">
        <v>51</v>
      </c>
      <c r="P32" s="132">
        <v>6135</v>
      </c>
    </row>
    <row r="33" spans="1:16" ht="15.6" thickTop="1" thickBot="1" x14ac:dyDescent="0.35">
      <c r="A33" s="128">
        <v>28</v>
      </c>
      <c r="B33" s="129">
        <v>4572</v>
      </c>
      <c r="C33" s="129">
        <v>0</v>
      </c>
      <c r="D33" s="129">
        <v>1795</v>
      </c>
      <c r="E33" s="129">
        <v>303</v>
      </c>
      <c r="F33" s="129">
        <v>296</v>
      </c>
      <c r="G33" s="129">
        <v>547</v>
      </c>
      <c r="H33" s="129">
        <v>7513</v>
      </c>
      <c r="I33" s="129">
        <v>0</v>
      </c>
      <c r="J33" s="131"/>
      <c r="K33" s="128">
        <v>28</v>
      </c>
      <c r="L33" s="129">
        <v>5</v>
      </c>
      <c r="M33" s="129">
        <v>17</v>
      </c>
      <c r="N33" s="129">
        <v>5</v>
      </c>
      <c r="O33" s="129">
        <v>27</v>
      </c>
      <c r="P33" s="132">
        <v>6135</v>
      </c>
    </row>
    <row r="34" spans="1:16" ht="15.6" thickTop="1" thickBot="1" x14ac:dyDescent="0.35">
      <c r="A34" s="128">
        <v>29</v>
      </c>
      <c r="B34" s="129">
        <v>6728</v>
      </c>
      <c r="C34" s="129">
        <v>0</v>
      </c>
      <c r="D34" s="129">
        <v>1513</v>
      </c>
      <c r="E34" s="129">
        <v>271</v>
      </c>
      <c r="F34" s="129">
        <v>299</v>
      </c>
      <c r="G34" s="129">
        <v>430</v>
      </c>
      <c r="H34" s="129">
        <v>9241</v>
      </c>
      <c r="I34" s="129">
        <v>0</v>
      </c>
      <c r="J34" s="131"/>
      <c r="K34" s="128">
        <v>29</v>
      </c>
      <c r="L34" s="129">
        <v>6</v>
      </c>
      <c r="M34" s="129">
        <v>25</v>
      </c>
      <c r="N34" s="129">
        <v>8</v>
      </c>
      <c r="O34" s="129">
        <v>39</v>
      </c>
      <c r="P34" s="132">
        <v>6135</v>
      </c>
    </row>
    <row r="35" spans="1:16" ht="15.6" thickTop="1" thickBot="1" x14ac:dyDescent="0.35">
      <c r="A35" s="128">
        <v>30</v>
      </c>
      <c r="B35" s="129">
        <v>8756</v>
      </c>
      <c r="C35" s="129">
        <v>0</v>
      </c>
      <c r="D35" s="129">
        <v>1401</v>
      </c>
      <c r="E35" s="129">
        <v>196</v>
      </c>
      <c r="F35" s="129">
        <v>306</v>
      </c>
      <c r="G35" s="129">
        <v>349</v>
      </c>
      <c r="H35" s="129">
        <v>11008</v>
      </c>
      <c r="I35" s="129">
        <v>0</v>
      </c>
      <c r="J35" s="131"/>
      <c r="K35" s="128">
        <v>30</v>
      </c>
      <c r="L35" s="129">
        <v>6</v>
      </c>
      <c r="M35" s="129">
        <v>25</v>
      </c>
      <c r="N35" s="129">
        <v>6</v>
      </c>
      <c r="O35" s="129">
        <v>37</v>
      </c>
      <c r="P35" s="132">
        <v>6135</v>
      </c>
    </row>
    <row r="36" spans="1:16" ht="15.6" thickTop="1" thickBot="1" x14ac:dyDescent="0.35">
      <c r="A36" s="128">
        <v>31</v>
      </c>
      <c r="B36" s="129">
        <v>6424</v>
      </c>
      <c r="C36" s="129">
        <v>0</v>
      </c>
      <c r="D36" s="129">
        <v>1148</v>
      </c>
      <c r="E36" s="129">
        <v>176</v>
      </c>
      <c r="F36" s="129">
        <v>186</v>
      </c>
      <c r="G36" s="129">
        <v>352</v>
      </c>
      <c r="H36" s="129">
        <v>8286</v>
      </c>
      <c r="I36" s="129">
        <v>0</v>
      </c>
      <c r="J36" s="131"/>
      <c r="K36" s="128">
        <v>31</v>
      </c>
      <c r="L36" s="134">
        <v>7</v>
      </c>
      <c r="M36" s="134">
        <v>12</v>
      </c>
      <c r="N36" s="134">
        <v>5</v>
      </c>
      <c r="O36" s="129">
        <v>24</v>
      </c>
      <c r="P36" s="132">
        <v>6135</v>
      </c>
    </row>
    <row r="37" spans="1:16" ht="15" thickTop="1" x14ac:dyDescent="0.3">
      <c r="A37" s="55" t="s">
        <v>19</v>
      </c>
      <c r="B37" s="57">
        <v>206451</v>
      </c>
      <c r="C37" s="57">
        <v>0</v>
      </c>
      <c r="D37" s="57">
        <v>45608</v>
      </c>
      <c r="E37" s="57">
        <v>7075</v>
      </c>
      <c r="F37" s="57">
        <v>8110</v>
      </c>
      <c r="G37" s="57">
        <v>12532</v>
      </c>
      <c r="H37" s="155">
        <v>279776</v>
      </c>
      <c r="I37" s="57">
        <v>0</v>
      </c>
      <c r="J37" s="57"/>
      <c r="K37" s="57"/>
      <c r="L37" s="57">
        <v>154</v>
      </c>
      <c r="M37" s="57">
        <v>540</v>
      </c>
      <c r="N37" s="57">
        <v>158</v>
      </c>
      <c r="O37" s="155">
        <v>852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80DC-A532-41AF-A4A5-B645A55943C0}">
  <dimension ref="A1:Z45"/>
  <sheetViews>
    <sheetView topLeftCell="A18" workbookViewId="0">
      <selection activeCell="D7" sqref="D7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32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36">
        <v>1</v>
      </c>
      <c r="B6" s="137">
        <v>10069</v>
      </c>
      <c r="C6" s="137">
        <v>0</v>
      </c>
      <c r="D6" s="137">
        <v>668</v>
      </c>
      <c r="E6" s="137">
        <v>35</v>
      </c>
      <c r="F6" s="137">
        <v>65</v>
      </c>
      <c r="G6" s="137">
        <v>102</v>
      </c>
      <c r="H6" s="137">
        <v>10939</v>
      </c>
      <c r="I6" s="137">
        <v>0</v>
      </c>
      <c r="J6" s="138"/>
      <c r="K6" s="136">
        <v>1</v>
      </c>
      <c r="L6" s="137">
        <v>2</v>
      </c>
      <c r="M6" s="137">
        <v>2</v>
      </c>
      <c r="N6" s="137">
        <v>1</v>
      </c>
      <c r="O6" s="137">
        <v>5</v>
      </c>
      <c r="P6" s="140">
        <v>6135</v>
      </c>
      <c r="Q6" s="58"/>
      <c r="R6" s="58"/>
      <c r="S6" s="58"/>
    </row>
    <row r="7" spans="1:26" ht="15.6" thickTop="1" thickBot="1" x14ac:dyDescent="0.35">
      <c r="A7" s="136">
        <v>2</v>
      </c>
      <c r="B7" s="137">
        <v>4718</v>
      </c>
      <c r="C7" s="137">
        <v>0</v>
      </c>
      <c r="D7" s="137">
        <v>1513</v>
      </c>
      <c r="E7" s="137">
        <v>260</v>
      </c>
      <c r="F7" s="137">
        <v>270</v>
      </c>
      <c r="G7" s="137">
        <v>477</v>
      </c>
      <c r="H7" s="137">
        <v>7238</v>
      </c>
      <c r="I7" s="137">
        <v>0</v>
      </c>
      <c r="J7" s="138"/>
      <c r="K7" s="136">
        <v>2</v>
      </c>
      <c r="L7" s="137">
        <v>1</v>
      </c>
      <c r="M7" s="137">
        <v>20</v>
      </c>
      <c r="N7" s="137">
        <v>3</v>
      </c>
      <c r="O7" s="137">
        <v>24</v>
      </c>
      <c r="P7" s="140">
        <v>6135</v>
      </c>
      <c r="Q7" s="58"/>
      <c r="R7" s="58"/>
      <c r="S7" s="58"/>
    </row>
    <row r="8" spans="1:26" ht="15.6" thickTop="1" thickBot="1" x14ac:dyDescent="0.35">
      <c r="A8" s="136">
        <v>3</v>
      </c>
      <c r="B8" s="137">
        <v>3995</v>
      </c>
      <c r="C8" s="137">
        <v>0</v>
      </c>
      <c r="D8" s="137">
        <v>1668</v>
      </c>
      <c r="E8" s="137">
        <v>210</v>
      </c>
      <c r="F8" s="137">
        <v>273</v>
      </c>
      <c r="G8" s="137">
        <v>455</v>
      </c>
      <c r="H8" s="137">
        <v>6601</v>
      </c>
      <c r="I8" s="137">
        <v>0</v>
      </c>
      <c r="J8" s="138"/>
      <c r="K8" s="136">
        <v>3</v>
      </c>
      <c r="L8" s="137">
        <v>3</v>
      </c>
      <c r="M8" s="137">
        <v>13</v>
      </c>
      <c r="N8" s="137">
        <v>3</v>
      </c>
      <c r="O8" s="137">
        <v>19</v>
      </c>
      <c r="P8" s="140">
        <v>6135</v>
      </c>
      <c r="Q8" s="58"/>
      <c r="R8" s="58"/>
      <c r="S8" s="67"/>
    </row>
    <row r="9" spans="1:26" ht="15.6" thickTop="1" thickBot="1" x14ac:dyDescent="0.35">
      <c r="A9" s="136">
        <v>4</v>
      </c>
      <c r="B9" s="137">
        <v>3955</v>
      </c>
      <c r="C9" s="137">
        <v>0</v>
      </c>
      <c r="D9" s="137">
        <v>1743</v>
      </c>
      <c r="E9" s="137">
        <v>254</v>
      </c>
      <c r="F9" s="137">
        <v>308</v>
      </c>
      <c r="G9" s="137">
        <v>471</v>
      </c>
      <c r="H9" s="137">
        <v>6731</v>
      </c>
      <c r="I9" s="137">
        <v>0</v>
      </c>
      <c r="J9" s="138"/>
      <c r="K9" s="136">
        <v>4</v>
      </c>
      <c r="L9" s="137">
        <v>5</v>
      </c>
      <c r="M9" s="137">
        <v>14</v>
      </c>
      <c r="N9" s="137">
        <v>13</v>
      </c>
      <c r="O9" s="137">
        <v>32</v>
      </c>
      <c r="P9" s="140">
        <v>6135</v>
      </c>
      <c r="Q9" s="58"/>
      <c r="R9" s="58"/>
      <c r="S9" s="58"/>
    </row>
    <row r="10" spans="1:26" ht="15.6" thickTop="1" thickBot="1" x14ac:dyDescent="0.35">
      <c r="A10" s="136">
        <v>5</v>
      </c>
      <c r="B10" s="137">
        <v>5166</v>
      </c>
      <c r="C10" s="137">
        <v>0</v>
      </c>
      <c r="D10" s="137">
        <v>1598</v>
      </c>
      <c r="E10" s="137">
        <v>248</v>
      </c>
      <c r="F10" s="137">
        <v>267</v>
      </c>
      <c r="G10" s="137">
        <v>467</v>
      </c>
      <c r="H10" s="137">
        <v>7746</v>
      </c>
      <c r="I10" s="137">
        <v>0</v>
      </c>
      <c r="J10" s="138"/>
      <c r="K10" s="136">
        <v>5</v>
      </c>
      <c r="L10" s="137">
        <v>8</v>
      </c>
      <c r="M10" s="137">
        <v>23</v>
      </c>
      <c r="N10" s="137">
        <v>6</v>
      </c>
      <c r="O10" s="137">
        <v>37</v>
      </c>
      <c r="P10" s="140">
        <v>6135</v>
      </c>
      <c r="Q10" s="58"/>
      <c r="R10" s="58"/>
      <c r="S10" s="58"/>
    </row>
    <row r="11" spans="1:26" ht="15.6" thickTop="1" thickBot="1" x14ac:dyDescent="0.35">
      <c r="A11" s="136">
        <v>6</v>
      </c>
      <c r="B11" s="137">
        <v>5744</v>
      </c>
      <c r="C11" s="137">
        <v>0</v>
      </c>
      <c r="D11" s="137">
        <v>1521</v>
      </c>
      <c r="E11" s="137">
        <v>242</v>
      </c>
      <c r="F11" s="137">
        <v>282</v>
      </c>
      <c r="G11" s="137">
        <v>402</v>
      </c>
      <c r="H11" s="137">
        <v>8191</v>
      </c>
      <c r="I11" s="137">
        <v>0</v>
      </c>
      <c r="J11" s="138"/>
      <c r="K11" s="136">
        <v>6</v>
      </c>
      <c r="L11" s="137">
        <v>7</v>
      </c>
      <c r="M11" s="137">
        <v>28</v>
      </c>
      <c r="N11" s="137">
        <v>2</v>
      </c>
      <c r="O11" s="137">
        <v>37</v>
      </c>
      <c r="P11" s="140">
        <v>6135</v>
      </c>
      <c r="Q11" s="58"/>
      <c r="R11" s="58"/>
      <c r="S11" s="58"/>
    </row>
    <row r="12" spans="1:26" ht="15.6" thickTop="1" thickBot="1" x14ac:dyDescent="0.35">
      <c r="A12" s="136">
        <v>7</v>
      </c>
      <c r="B12" s="137">
        <v>6772</v>
      </c>
      <c r="C12" s="137">
        <v>0</v>
      </c>
      <c r="D12" s="137">
        <v>1158</v>
      </c>
      <c r="E12" s="137">
        <v>146</v>
      </c>
      <c r="F12" s="137">
        <v>206</v>
      </c>
      <c r="G12" s="137">
        <v>315</v>
      </c>
      <c r="H12" s="137">
        <v>8597</v>
      </c>
      <c r="I12" s="137">
        <v>0</v>
      </c>
      <c r="J12" s="139"/>
      <c r="K12" s="136">
        <v>7</v>
      </c>
      <c r="L12" s="137">
        <v>0</v>
      </c>
      <c r="M12" s="137">
        <v>10</v>
      </c>
      <c r="N12" s="137">
        <v>2</v>
      </c>
      <c r="O12" s="137">
        <v>12</v>
      </c>
      <c r="P12" s="140">
        <v>6135</v>
      </c>
      <c r="Q12" s="58"/>
      <c r="R12" s="58"/>
      <c r="S12" s="58"/>
    </row>
    <row r="13" spans="1:26" ht="15.6" thickTop="1" thickBot="1" x14ac:dyDescent="0.35">
      <c r="A13" s="136">
        <v>8</v>
      </c>
      <c r="B13" s="137">
        <v>3987</v>
      </c>
      <c r="C13" s="137">
        <v>0</v>
      </c>
      <c r="D13" s="137">
        <v>1292</v>
      </c>
      <c r="E13" s="137">
        <v>316</v>
      </c>
      <c r="F13" s="137">
        <v>229</v>
      </c>
      <c r="G13" s="137">
        <v>410</v>
      </c>
      <c r="H13" s="137">
        <v>6234</v>
      </c>
      <c r="I13" s="137">
        <v>0</v>
      </c>
      <c r="J13" s="139"/>
      <c r="K13" s="136">
        <v>8</v>
      </c>
      <c r="L13" s="137">
        <v>3</v>
      </c>
      <c r="M13" s="137">
        <v>23</v>
      </c>
      <c r="N13" s="137">
        <v>4</v>
      </c>
      <c r="O13" s="137">
        <v>30</v>
      </c>
      <c r="P13" s="140">
        <v>6135</v>
      </c>
      <c r="Q13" s="58"/>
      <c r="R13" s="58"/>
      <c r="S13" s="58"/>
    </row>
    <row r="14" spans="1:26" ht="15.6" thickTop="1" thickBot="1" x14ac:dyDescent="0.35">
      <c r="A14" s="136">
        <v>9</v>
      </c>
      <c r="B14" s="137">
        <v>3601</v>
      </c>
      <c r="C14" s="137">
        <v>0</v>
      </c>
      <c r="D14" s="137">
        <v>1606</v>
      </c>
      <c r="E14" s="137">
        <v>273</v>
      </c>
      <c r="F14" s="137">
        <v>262</v>
      </c>
      <c r="G14" s="137">
        <v>436</v>
      </c>
      <c r="H14" s="137">
        <v>6178</v>
      </c>
      <c r="I14" s="137">
        <v>0</v>
      </c>
      <c r="J14" s="139"/>
      <c r="K14" s="136">
        <v>9</v>
      </c>
      <c r="L14" s="137">
        <v>8</v>
      </c>
      <c r="M14" s="137">
        <v>20</v>
      </c>
      <c r="N14" s="137">
        <v>6</v>
      </c>
      <c r="O14" s="137">
        <v>34</v>
      </c>
      <c r="P14" s="141">
        <v>6135</v>
      </c>
      <c r="Q14" s="70"/>
      <c r="R14" s="70"/>
      <c r="S14" s="70"/>
    </row>
    <row r="15" spans="1:26" ht="15.6" thickTop="1" thickBot="1" x14ac:dyDescent="0.35">
      <c r="A15" s="136">
        <v>10</v>
      </c>
      <c r="B15" s="137">
        <v>4011</v>
      </c>
      <c r="C15" s="137">
        <v>0</v>
      </c>
      <c r="D15" s="137">
        <v>1766</v>
      </c>
      <c r="E15" s="137">
        <v>316</v>
      </c>
      <c r="F15" s="137">
        <v>323</v>
      </c>
      <c r="G15" s="137">
        <v>548</v>
      </c>
      <c r="H15" s="137">
        <v>6964</v>
      </c>
      <c r="I15" s="137">
        <v>0</v>
      </c>
      <c r="J15" s="139"/>
      <c r="K15" s="136">
        <v>10</v>
      </c>
      <c r="L15" s="137">
        <v>3</v>
      </c>
      <c r="M15" s="137">
        <v>38</v>
      </c>
      <c r="N15" s="137">
        <v>4</v>
      </c>
      <c r="O15" s="137">
        <v>45</v>
      </c>
      <c r="P15" s="140">
        <v>6135</v>
      </c>
      <c r="Q15" s="58"/>
      <c r="R15" s="58"/>
      <c r="S15" s="58"/>
    </row>
    <row r="16" spans="1:26" ht="15.6" thickTop="1" thickBot="1" x14ac:dyDescent="0.35">
      <c r="A16" s="136">
        <v>11</v>
      </c>
      <c r="B16" s="137">
        <v>4296</v>
      </c>
      <c r="C16" s="137">
        <v>0</v>
      </c>
      <c r="D16" s="137">
        <v>1791</v>
      </c>
      <c r="E16" s="137">
        <v>290</v>
      </c>
      <c r="F16" s="137">
        <v>314</v>
      </c>
      <c r="G16" s="137">
        <v>480</v>
      </c>
      <c r="H16" s="137">
        <v>7171</v>
      </c>
      <c r="I16" s="137">
        <v>0</v>
      </c>
      <c r="J16" s="139"/>
      <c r="K16" s="136">
        <v>11</v>
      </c>
      <c r="L16" s="137">
        <v>8</v>
      </c>
      <c r="M16" s="137">
        <v>31</v>
      </c>
      <c r="N16" s="137">
        <v>6</v>
      </c>
      <c r="O16" s="137">
        <v>45</v>
      </c>
      <c r="P16" s="140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36">
        <v>12</v>
      </c>
      <c r="B17" s="137">
        <v>8238</v>
      </c>
      <c r="C17" s="137">
        <v>0</v>
      </c>
      <c r="D17" s="137">
        <v>1680</v>
      </c>
      <c r="E17" s="137">
        <v>268</v>
      </c>
      <c r="F17" s="137">
        <v>278</v>
      </c>
      <c r="G17" s="137">
        <v>428</v>
      </c>
      <c r="H17" s="137">
        <v>10892</v>
      </c>
      <c r="I17" s="137">
        <v>0</v>
      </c>
      <c r="J17" s="139"/>
      <c r="K17" s="136">
        <v>12</v>
      </c>
      <c r="L17" s="137">
        <v>4</v>
      </c>
      <c r="M17" s="137">
        <v>14</v>
      </c>
      <c r="N17" s="137">
        <v>9</v>
      </c>
      <c r="O17" s="137">
        <v>27</v>
      </c>
      <c r="P17" s="140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36">
        <v>13</v>
      </c>
      <c r="B18" s="137">
        <v>10996</v>
      </c>
      <c r="C18" s="137">
        <v>0</v>
      </c>
      <c r="D18" s="137">
        <v>1521</v>
      </c>
      <c r="E18" s="137">
        <v>243</v>
      </c>
      <c r="F18" s="137">
        <v>304</v>
      </c>
      <c r="G18" s="137">
        <v>404</v>
      </c>
      <c r="H18" s="137">
        <v>13468</v>
      </c>
      <c r="I18" s="137">
        <v>0</v>
      </c>
      <c r="J18" s="139"/>
      <c r="K18" s="136">
        <v>13</v>
      </c>
      <c r="L18" s="137">
        <v>1</v>
      </c>
      <c r="M18" s="137">
        <v>35</v>
      </c>
      <c r="N18" s="137">
        <v>2</v>
      </c>
      <c r="O18" s="137">
        <v>38</v>
      </c>
      <c r="P18" s="140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36">
        <v>14</v>
      </c>
      <c r="B19" s="137">
        <v>8483</v>
      </c>
      <c r="C19" s="137">
        <v>0</v>
      </c>
      <c r="D19" s="137">
        <v>1262</v>
      </c>
      <c r="E19" s="137">
        <v>193</v>
      </c>
      <c r="F19" s="137">
        <v>200</v>
      </c>
      <c r="G19" s="137">
        <v>382</v>
      </c>
      <c r="H19" s="137">
        <v>10520</v>
      </c>
      <c r="I19" s="137">
        <v>0</v>
      </c>
      <c r="J19" s="139"/>
      <c r="K19" s="136">
        <v>14</v>
      </c>
      <c r="L19" s="137">
        <v>3</v>
      </c>
      <c r="M19" s="137">
        <v>7</v>
      </c>
      <c r="N19" s="137">
        <v>2</v>
      </c>
      <c r="O19" s="137">
        <v>12</v>
      </c>
      <c r="P19" s="140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36">
        <v>15</v>
      </c>
      <c r="B20" s="137">
        <v>13461</v>
      </c>
      <c r="C20" s="137">
        <v>0</v>
      </c>
      <c r="D20" s="137">
        <v>771</v>
      </c>
      <c r="E20" s="137">
        <v>59</v>
      </c>
      <c r="F20" s="137">
        <v>66</v>
      </c>
      <c r="G20" s="137">
        <v>119</v>
      </c>
      <c r="H20" s="137">
        <v>14476</v>
      </c>
      <c r="I20" s="137">
        <v>0</v>
      </c>
      <c r="J20" s="139"/>
      <c r="K20" s="136">
        <v>15</v>
      </c>
      <c r="L20" s="137">
        <v>1</v>
      </c>
      <c r="M20" s="137">
        <v>6</v>
      </c>
      <c r="N20" s="137">
        <v>2</v>
      </c>
      <c r="O20" s="137">
        <v>9</v>
      </c>
      <c r="P20" s="140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36">
        <v>16</v>
      </c>
      <c r="B21" s="137">
        <v>5137</v>
      </c>
      <c r="C21" s="137">
        <v>0</v>
      </c>
      <c r="D21" s="137">
        <v>1458</v>
      </c>
      <c r="E21" s="137">
        <v>308</v>
      </c>
      <c r="F21" s="137">
        <v>237</v>
      </c>
      <c r="G21" s="137">
        <v>469</v>
      </c>
      <c r="H21" s="137">
        <v>7609</v>
      </c>
      <c r="I21" s="137">
        <v>0</v>
      </c>
      <c r="J21" s="139"/>
      <c r="K21" s="136">
        <v>16</v>
      </c>
      <c r="L21" s="137">
        <v>6</v>
      </c>
      <c r="M21" s="137">
        <v>39</v>
      </c>
      <c r="N21" s="137">
        <v>1</v>
      </c>
      <c r="O21" s="137">
        <v>46</v>
      </c>
      <c r="P21" s="140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36">
        <v>17</v>
      </c>
      <c r="B22" s="137">
        <v>4239</v>
      </c>
      <c r="C22" s="137">
        <v>0</v>
      </c>
      <c r="D22" s="137">
        <v>1849</v>
      </c>
      <c r="E22" s="137">
        <v>276</v>
      </c>
      <c r="F22" s="137">
        <v>339</v>
      </c>
      <c r="G22" s="137">
        <v>440</v>
      </c>
      <c r="H22" s="137">
        <v>7143</v>
      </c>
      <c r="I22" s="137">
        <v>0</v>
      </c>
      <c r="J22" s="139"/>
      <c r="K22" s="136">
        <v>17</v>
      </c>
      <c r="L22" s="137">
        <v>3</v>
      </c>
      <c r="M22" s="137">
        <v>36</v>
      </c>
      <c r="N22" s="137">
        <v>11</v>
      </c>
      <c r="O22" s="137">
        <v>50</v>
      </c>
      <c r="P22" s="140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36">
        <v>18</v>
      </c>
      <c r="B23" s="137">
        <v>4387</v>
      </c>
      <c r="C23" s="137">
        <v>0</v>
      </c>
      <c r="D23" s="137">
        <v>1924</v>
      </c>
      <c r="E23" s="137">
        <v>334</v>
      </c>
      <c r="F23" s="137">
        <v>364</v>
      </c>
      <c r="G23" s="137">
        <v>560</v>
      </c>
      <c r="H23" s="143">
        <v>7569</v>
      </c>
      <c r="I23" s="137">
        <v>0</v>
      </c>
      <c r="J23" s="139"/>
      <c r="K23" s="136">
        <v>18</v>
      </c>
      <c r="L23" s="137">
        <v>4</v>
      </c>
      <c r="M23" s="137">
        <v>15</v>
      </c>
      <c r="N23" s="137">
        <v>6</v>
      </c>
      <c r="O23" s="137">
        <v>25</v>
      </c>
      <c r="P23" s="140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36">
        <v>19</v>
      </c>
      <c r="B24" s="137">
        <v>5819</v>
      </c>
      <c r="C24" s="137">
        <v>0</v>
      </c>
      <c r="D24" s="137">
        <v>1828</v>
      </c>
      <c r="E24" s="137">
        <v>344</v>
      </c>
      <c r="F24" s="137">
        <v>410</v>
      </c>
      <c r="G24" s="137">
        <v>558</v>
      </c>
      <c r="H24" s="143">
        <v>8959</v>
      </c>
      <c r="I24" s="137">
        <v>0</v>
      </c>
      <c r="J24" s="139"/>
      <c r="K24" s="136">
        <v>19</v>
      </c>
      <c r="L24" s="137">
        <v>7</v>
      </c>
      <c r="M24" s="137">
        <v>29</v>
      </c>
      <c r="N24" s="137">
        <v>5</v>
      </c>
      <c r="O24" s="137">
        <v>41</v>
      </c>
      <c r="P24" s="140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36">
        <v>20</v>
      </c>
      <c r="B25" s="137">
        <v>6373</v>
      </c>
      <c r="C25" s="137">
        <v>0</v>
      </c>
      <c r="D25" s="137">
        <v>1841</v>
      </c>
      <c r="E25" s="137">
        <v>318</v>
      </c>
      <c r="F25" s="137">
        <v>435</v>
      </c>
      <c r="G25" s="137">
        <v>493</v>
      </c>
      <c r="H25" s="137">
        <v>9460</v>
      </c>
      <c r="I25" s="137">
        <v>0</v>
      </c>
      <c r="J25" s="139"/>
      <c r="K25" s="136">
        <v>20</v>
      </c>
      <c r="L25" s="137">
        <v>12</v>
      </c>
      <c r="M25" s="137">
        <v>11</v>
      </c>
      <c r="N25" s="137">
        <v>4</v>
      </c>
      <c r="O25" s="137">
        <v>27</v>
      </c>
      <c r="P25" s="140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36">
        <v>21</v>
      </c>
      <c r="B26" s="137">
        <v>7562</v>
      </c>
      <c r="C26" s="137">
        <v>0</v>
      </c>
      <c r="D26" s="137">
        <v>1564</v>
      </c>
      <c r="E26" s="137">
        <v>248</v>
      </c>
      <c r="F26" s="137">
        <v>332</v>
      </c>
      <c r="G26" s="137">
        <v>451</v>
      </c>
      <c r="H26" s="137">
        <v>10157</v>
      </c>
      <c r="I26" s="137">
        <v>0</v>
      </c>
      <c r="J26" s="139"/>
      <c r="K26" s="136">
        <v>21</v>
      </c>
      <c r="L26" s="137">
        <v>5</v>
      </c>
      <c r="M26" s="137">
        <v>10</v>
      </c>
      <c r="N26" s="137">
        <v>4</v>
      </c>
      <c r="O26" s="137">
        <v>19</v>
      </c>
      <c r="P26" s="140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36">
        <v>22</v>
      </c>
      <c r="B27" s="137">
        <v>4681</v>
      </c>
      <c r="C27" s="137">
        <v>0</v>
      </c>
      <c r="D27" s="137">
        <v>1469</v>
      </c>
      <c r="E27" s="137">
        <v>369</v>
      </c>
      <c r="F27" s="137">
        <v>323</v>
      </c>
      <c r="G27" s="137">
        <v>485</v>
      </c>
      <c r="H27" s="137">
        <v>7327</v>
      </c>
      <c r="I27" s="137">
        <v>0</v>
      </c>
      <c r="J27" s="139"/>
      <c r="K27" s="136">
        <v>22</v>
      </c>
      <c r="L27" s="137">
        <v>4</v>
      </c>
      <c r="M27" s="137">
        <v>8</v>
      </c>
      <c r="N27" s="137">
        <v>3</v>
      </c>
      <c r="O27" s="137">
        <v>15</v>
      </c>
      <c r="P27" s="140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36">
        <v>23</v>
      </c>
      <c r="B28" s="137">
        <v>4084</v>
      </c>
      <c r="C28" s="137">
        <v>0</v>
      </c>
      <c r="D28" s="137">
        <v>1756</v>
      </c>
      <c r="E28" s="137">
        <v>279</v>
      </c>
      <c r="F28" s="137">
        <v>303</v>
      </c>
      <c r="G28" s="137">
        <v>467</v>
      </c>
      <c r="H28" s="137">
        <v>6889</v>
      </c>
      <c r="I28" s="137">
        <v>0</v>
      </c>
      <c r="J28" s="139"/>
      <c r="K28" s="136">
        <v>23</v>
      </c>
      <c r="L28" s="137">
        <v>3</v>
      </c>
      <c r="M28" s="137">
        <v>21</v>
      </c>
      <c r="N28" s="137">
        <v>4</v>
      </c>
      <c r="O28" s="137">
        <v>28</v>
      </c>
      <c r="P28" s="140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36">
        <v>24</v>
      </c>
      <c r="B29" s="137">
        <v>4054</v>
      </c>
      <c r="C29" s="137">
        <v>0</v>
      </c>
      <c r="D29" s="137">
        <v>1785</v>
      </c>
      <c r="E29" s="137">
        <v>326</v>
      </c>
      <c r="F29" s="137">
        <v>339</v>
      </c>
      <c r="G29" s="137">
        <v>511</v>
      </c>
      <c r="H29" s="137">
        <v>7015</v>
      </c>
      <c r="I29" s="137">
        <v>0</v>
      </c>
      <c r="J29" s="139"/>
      <c r="K29" s="136">
        <v>24</v>
      </c>
      <c r="L29" s="137">
        <v>2</v>
      </c>
      <c r="M29" s="137">
        <v>20</v>
      </c>
      <c r="N29" s="137">
        <v>6</v>
      </c>
      <c r="O29" s="137">
        <v>28</v>
      </c>
      <c r="P29" s="140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36">
        <v>25</v>
      </c>
      <c r="B30" s="137">
        <v>4639</v>
      </c>
      <c r="C30" s="137">
        <v>0</v>
      </c>
      <c r="D30" s="137">
        <v>1900</v>
      </c>
      <c r="E30" s="137">
        <v>303</v>
      </c>
      <c r="F30" s="137">
        <v>323</v>
      </c>
      <c r="G30" s="137">
        <v>502</v>
      </c>
      <c r="H30" s="137">
        <v>7667</v>
      </c>
      <c r="I30" s="137">
        <v>0</v>
      </c>
      <c r="J30" s="139"/>
      <c r="K30" s="136">
        <v>25</v>
      </c>
      <c r="L30" s="137">
        <v>7</v>
      </c>
      <c r="M30" s="137">
        <v>13</v>
      </c>
      <c r="N30" s="137">
        <v>7</v>
      </c>
      <c r="O30" s="137">
        <v>27</v>
      </c>
      <c r="P30" s="140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36">
        <v>26</v>
      </c>
      <c r="B31" s="137">
        <v>6050</v>
      </c>
      <c r="C31" s="137">
        <v>0</v>
      </c>
      <c r="D31" s="137">
        <v>1736</v>
      </c>
      <c r="E31" s="137">
        <v>315</v>
      </c>
      <c r="F31" s="137">
        <v>304</v>
      </c>
      <c r="G31" s="137">
        <v>475</v>
      </c>
      <c r="H31" s="137">
        <v>8880</v>
      </c>
      <c r="I31" s="137">
        <v>0</v>
      </c>
      <c r="J31" s="139"/>
      <c r="K31" s="136">
        <v>26</v>
      </c>
      <c r="L31" s="137">
        <v>2</v>
      </c>
      <c r="M31" s="137">
        <v>16</v>
      </c>
      <c r="N31" s="137">
        <v>5</v>
      </c>
      <c r="O31" s="137">
        <v>23</v>
      </c>
      <c r="P31" s="140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36">
        <v>27</v>
      </c>
      <c r="B32" s="137">
        <v>6663</v>
      </c>
      <c r="C32" s="137">
        <v>0</v>
      </c>
      <c r="D32" s="137">
        <v>1623</v>
      </c>
      <c r="E32" s="137">
        <v>250</v>
      </c>
      <c r="F32" s="137">
        <v>308</v>
      </c>
      <c r="G32" s="137">
        <v>447</v>
      </c>
      <c r="H32" s="137">
        <v>9291</v>
      </c>
      <c r="I32" s="137">
        <v>0</v>
      </c>
      <c r="J32" s="139"/>
      <c r="K32" s="136">
        <v>27</v>
      </c>
      <c r="L32" s="137">
        <v>8</v>
      </c>
      <c r="M32" s="137">
        <v>30</v>
      </c>
      <c r="N32" s="137">
        <v>4</v>
      </c>
      <c r="O32" s="137">
        <v>42</v>
      </c>
      <c r="P32" s="140">
        <v>6135</v>
      </c>
    </row>
    <row r="33" spans="1:16" ht="15.6" thickTop="1" thickBot="1" x14ac:dyDescent="0.35">
      <c r="A33" s="136">
        <v>28</v>
      </c>
      <c r="B33" s="137">
        <v>7975</v>
      </c>
      <c r="C33" s="137">
        <v>0</v>
      </c>
      <c r="D33" s="137">
        <v>1414</v>
      </c>
      <c r="E33" s="137">
        <v>185</v>
      </c>
      <c r="F33" s="137">
        <v>204</v>
      </c>
      <c r="G33" s="137">
        <v>335</v>
      </c>
      <c r="H33" s="137">
        <v>10113</v>
      </c>
      <c r="I33" s="137">
        <v>0</v>
      </c>
      <c r="J33" s="139"/>
      <c r="K33" s="136">
        <v>28</v>
      </c>
      <c r="L33" s="137">
        <v>4</v>
      </c>
      <c r="M33" s="137">
        <v>12</v>
      </c>
      <c r="N33" s="137">
        <v>3</v>
      </c>
      <c r="O33" s="137">
        <v>19</v>
      </c>
      <c r="P33" s="140">
        <v>6135</v>
      </c>
    </row>
    <row r="34" spans="1:16" ht="15.6" thickTop="1" thickBot="1" x14ac:dyDescent="0.35">
      <c r="A34" s="136">
        <v>29</v>
      </c>
      <c r="B34" s="137">
        <v>4976</v>
      </c>
      <c r="C34" s="137">
        <v>0</v>
      </c>
      <c r="D34" s="137">
        <v>1384</v>
      </c>
      <c r="E34" s="137">
        <v>302</v>
      </c>
      <c r="F34" s="137">
        <v>241</v>
      </c>
      <c r="G34" s="137">
        <v>460</v>
      </c>
      <c r="H34" s="137">
        <v>7363</v>
      </c>
      <c r="I34" s="137">
        <v>0</v>
      </c>
      <c r="J34" s="139"/>
      <c r="K34" s="136">
        <v>29</v>
      </c>
      <c r="L34" s="137">
        <v>5</v>
      </c>
      <c r="M34" s="137">
        <v>8</v>
      </c>
      <c r="N34" s="137">
        <v>4</v>
      </c>
      <c r="O34" s="137">
        <v>17</v>
      </c>
      <c r="P34" s="140">
        <v>6135</v>
      </c>
    </row>
    <row r="35" spans="1:16" ht="15.6" thickTop="1" thickBot="1" x14ac:dyDescent="0.35">
      <c r="A35" s="136">
        <v>30</v>
      </c>
      <c r="B35" s="137">
        <v>4349</v>
      </c>
      <c r="C35" s="137">
        <v>0</v>
      </c>
      <c r="D35" s="137">
        <v>1408</v>
      </c>
      <c r="E35" s="137">
        <v>238</v>
      </c>
      <c r="F35" s="137">
        <v>251</v>
      </c>
      <c r="G35" s="137">
        <v>426</v>
      </c>
      <c r="H35" s="137">
        <v>6672</v>
      </c>
      <c r="I35" s="137">
        <v>0</v>
      </c>
      <c r="J35" s="139"/>
      <c r="K35" s="136">
        <v>30</v>
      </c>
      <c r="L35" s="137">
        <v>4</v>
      </c>
      <c r="M35" s="137">
        <v>11</v>
      </c>
      <c r="N35" s="137">
        <v>3</v>
      </c>
      <c r="O35" s="137">
        <v>18</v>
      </c>
      <c r="P35" s="140">
        <v>6135</v>
      </c>
    </row>
    <row r="36" spans="1:16" ht="15.6" thickTop="1" thickBot="1" x14ac:dyDescent="0.35">
      <c r="A36" s="136">
        <v>31</v>
      </c>
      <c r="B36" s="137"/>
      <c r="C36" s="137"/>
      <c r="D36" s="137"/>
      <c r="E36" s="137"/>
      <c r="F36" s="137"/>
      <c r="G36" s="137"/>
      <c r="H36" s="137">
        <v>0</v>
      </c>
      <c r="I36" s="137">
        <v>0</v>
      </c>
      <c r="J36" s="139"/>
      <c r="K36" s="136">
        <v>31</v>
      </c>
      <c r="L36" s="142"/>
      <c r="M36" s="142"/>
      <c r="N36" s="142"/>
      <c r="O36" s="137">
        <v>0</v>
      </c>
      <c r="P36" s="140">
        <v>6135</v>
      </c>
    </row>
    <row r="37" spans="1:16" ht="15" thickTop="1" x14ac:dyDescent="0.3">
      <c r="A37" s="55" t="s">
        <v>19</v>
      </c>
      <c r="B37" s="57">
        <v>178480</v>
      </c>
      <c r="C37" s="57">
        <v>0</v>
      </c>
      <c r="D37" s="57">
        <v>46497</v>
      </c>
      <c r="E37" s="57">
        <v>7748</v>
      </c>
      <c r="F37" s="57">
        <v>8360</v>
      </c>
      <c r="G37" s="57">
        <v>12975</v>
      </c>
      <c r="H37" s="155">
        <v>254060</v>
      </c>
      <c r="I37" s="57">
        <v>0</v>
      </c>
      <c r="J37" s="57"/>
      <c r="K37" s="57"/>
      <c r="L37" s="57">
        <v>133</v>
      </c>
      <c r="M37" s="57">
        <v>563</v>
      </c>
      <c r="N37" s="57">
        <v>135</v>
      </c>
      <c r="O37" s="155">
        <v>831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E4D7-D914-4206-9C0A-B9B9DBA59C0A}">
  <dimension ref="A1:Z46"/>
  <sheetViews>
    <sheetView tabSelected="1" workbookViewId="0">
      <selection activeCell="G44" sqref="G44"/>
    </sheetView>
  </sheetViews>
  <sheetFormatPr baseColWidth="10" defaultRowHeight="14.4" x14ac:dyDescent="0.3"/>
  <cols>
    <col min="16" max="16" width="0" hidden="1" customWidth="1"/>
  </cols>
  <sheetData>
    <row r="1" spans="1:26" s="29" customFormat="1" ht="15.6" x14ac:dyDescent="0.3">
      <c r="A1" s="158" t="s">
        <v>34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6" s="29" customFormat="1" ht="15.6" x14ac:dyDescent="0.3">
      <c r="A2" s="158" t="s">
        <v>35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6" ht="15.6" x14ac:dyDescent="0.3">
      <c r="A3" s="171" t="s">
        <v>33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69"/>
      <c r="Q3" s="69"/>
      <c r="R3" s="69"/>
      <c r="S3" s="69"/>
    </row>
    <row r="4" spans="1:26" ht="82.8" x14ac:dyDescent="0.3">
      <c r="A4" s="169" t="s">
        <v>1</v>
      </c>
      <c r="B4" s="172" t="s">
        <v>2</v>
      </c>
      <c r="C4" s="172"/>
      <c r="D4" s="56" t="s">
        <v>3</v>
      </c>
      <c r="E4" s="56" t="s">
        <v>4</v>
      </c>
      <c r="F4" s="56" t="s">
        <v>5</v>
      </c>
      <c r="G4" s="56" t="s">
        <v>6</v>
      </c>
      <c r="H4" s="172" t="s">
        <v>7</v>
      </c>
      <c r="I4" s="172" t="s">
        <v>8</v>
      </c>
      <c r="J4" s="59"/>
      <c r="K4" s="174" t="s">
        <v>1</v>
      </c>
      <c r="L4" s="172" t="s">
        <v>9</v>
      </c>
      <c r="M4" s="172" t="s">
        <v>10</v>
      </c>
      <c r="N4" s="172" t="s">
        <v>11</v>
      </c>
      <c r="O4" s="172" t="s">
        <v>12</v>
      </c>
      <c r="P4" s="58"/>
      <c r="Q4" s="58"/>
      <c r="R4" s="58"/>
      <c r="S4" s="58"/>
    </row>
    <row r="5" spans="1:26" x14ac:dyDescent="0.3">
      <c r="A5" s="170"/>
      <c r="B5" s="55" t="s">
        <v>13</v>
      </c>
      <c r="C5" s="55" t="s">
        <v>14</v>
      </c>
      <c r="D5" s="55" t="s">
        <v>15</v>
      </c>
      <c r="E5" s="55" t="s">
        <v>16</v>
      </c>
      <c r="F5" s="55" t="s">
        <v>17</v>
      </c>
      <c r="G5" s="55" t="s">
        <v>18</v>
      </c>
      <c r="H5" s="172"/>
      <c r="I5" s="172"/>
      <c r="J5" s="59"/>
      <c r="K5" s="174"/>
      <c r="L5" s="172"/>
      <c r="M5" s="172"/>
      <c r="N5" s="172"/>
      <c r="O5" s="172"/>
      <c r="P5" s="58"/>
      <c r="Q5" s="58"/>
      <c r="R5" s="58"/>
      <c r="S5" s="58"/>
    </row>
    <row r="6" spans="1:26" ht="15" thickBot="1" x14ac:dyDescent="0.35">
      <c r="A6" s="145">
        <v>1</v>
      </c>
      <c r="B6" s="146">
        <v>4774</v>
      </c>
      <c r="C6" s="146">
        <v>0</v>
      </c>
      <c r="D6" s="146">
        <v>2033</v>
      </c>
      <c r="E6" s="146">
        <v>330</v>
      </c>
      <c r="F6" s="146">
        <v>351</v>
      </c>
      <c r="G6" s="146">
        <v>487</v>
      </c>
      <c r="H6" s="146">
        <v>7975</v>
      </c>
      <c r="I6" s="146">
        <v>0</v>
      </c>
      <c r="J6" s="147"/>
      <c r="K6" s="145">
        <v>1</v>
      </c>
      <c r="L6" s="146">
        <v>9</v>
      </c>
      <c r="M6" s="146">
        <v>14</v>
      </c>
      <c r="N6" s="146">
        <v>10</v>
      </c>
      <c r="O6" s="146">
        <v>33</v>
      </c>
      <c r="P6" s="149">
        <v>6135</v>
      </c>
      <c r="Q6" s="58"/>
      <c r="R6" s="58"/>
      <c r="S6" s="58"/>
    </row>
    <row r="7" spans="1:26" ht="15.6" thickTop="1" thickBot="1" x14ac:dyDescent="0.35">
      <c r="A7" s="145">
        <v>2</v>
      </c>
      <c r="B7" s="146">
        <v>5075</v>
      </c>
      <c r="C7" s="146">
        <v>0</v>
      </c>
      <c r="D7" s="146">
        <v>1924</v>
      </c>
      <c r="E7" s="146">
        <v>299</v>
      </c>
      <c r="F7" s="146">
        <v>321</v>
      </c>
      <c r="G7" s="146">
        <v>499</v>
      </c>
      <c r="H7" s="146">
        <v>8118</v>
      </c>
      <c r="I7" s="146">
        <v>0</v>
      </c>
      <c r="J7" s="147"/>
      <c r="K7" s="145">
        <v>2</v>
      </c>
      <c r="L7" s="146">
        <v>5</v>
      </c>
      <c r="M7" s="146">
        <v>23</v>
      </c>
      <c r="N7" s="146">
        <v>5</v>
      </c>
      <c r="O7" s="146">
        <v>33</v>
      </c>
      <c r="P7" s="149">
        <v>6135</v>
      </c>
      <c r="Q7" s="58"/>
      <c r="R7" s="58"/>
      <c r="S7" s="58"/>
    </row>
    <row r="8" spans="1:26" ht="15.6" thickTop="1" thickBot="1" x14ac:dyDescent="0.35">
      <c r="A8" s="145">
        <v>3</v>
      </c>
      <c r="B8" s="146">
        <v>6378</v>
      </c>
      <c r="C8" s="146">
        <v>0</v>
      </c>
      <c r="D8" s="146">
        <v>1781</v>
      </c>
      <c r="E8" s="146">
        <v>299</v>
      </c>
      <c r="F8" s="146">
        <v>334</v>
      </c>
      <c r="G8" s="146">
        <v>496</v>
      </c>
      <c r="H8" s="146">
        <v>9288</v>
      </c>
      <c r="I8" s="146">
        <v>0</v>
      </c>
      <c r="J8" s="147"/>
      <c r="K8" s="145">
        <v>3</v>
      </c>
      <c r="L8" s="146">
        <v>9</v>
      </c>
      <c r="M8" s="146">
        <v>20</v>
      </c>
      <c r="N8" s="146">
        <v>10</v>
      </c>
      <c r="O8" s="146">
        <v>39</v>
      </c>
      <c r="P8" s="149">
        <v>6135</v>
      </c>
      <c r="Q8" s="58"/>
      <c r="R8" s="58"/>
      <c r="S8" s="67"/>
    </row>
    <row r="9" spans="1:26" ht="15.6" thickTop="1" thickBot="1" x14ac:dyDescent="0.35">
      <c r="A9" s="145">
        <v>4</v>
      </c>
      <c r="B9" s="146">
        <v>7314</v>
      </c>
      <c r="C9" s="146">
        <v>0</v>
      </c>
      <c r="D9" s="146">
        <v>1725</v>
      </c>
      <c r="E9" s="146">
        <v>269</v>
      </c>
      <c r="F9" s="146">
        <v>324</v>
      </c>
      <c r="G9" s="146">
        <v>402</v>
      </c>
      <c r="H9" s="146">
        <v>10034</v>
      </c>
      <c r="I9" s="146">
        <v>0</v>
      </c>
      <c r="J9" s="147"/>
      <c r="K9" s="145">
        <v>4</v>
      </c>
      <c r="L9" s="146">
        <v>5</v>
      </c>
      <c r="M9" s="146">
        <v>22</v>
      </c>
      <c r="N9" s="146">
        <v>7</v>
      </c>
      <c r="O9" s="146">
        <v>34</v>
      </c>
      <c r="P9" s="149">
        <v>6135</v>
      </c>
      <c r="Q9" s="58"/>
      <c r="R9" s="58"/>
      <c r="S9" s="58"/>
    </row>
    <row r="10" spans="1:26" ht="15.6" thickTop="1" thickBot="1" x14ac:dyDescent="0.35">
      <c r="A10" s="145">
        <v>5</v>
      </c>
      <c r="B10" s="146">
        <v>8186</v>
      </c>
      <c r="C10" s="146">
        <v>0</v>
      </c>
      <c r="D10" s="146">
        <v>1389</v>
      </c>
      <c r="E10" s="146">
        <v>208</v>
      </c>
      <c r="F10" s="146">
        <v>219</v>
      </c>
      <c r="G10" s="146">
        <v>350</v>
      </c>
      <c r="H10" s="146">
        <v>10352</v>
      </c>
      <c r="I10" s="146">
        <v>0</v>
      </c>
      <c r="J10" s="147"/>
      <c r="K10" s="145">
        <v>5</v>
      </c>
      <c r="L10" s="146">
        <v>4</v>
      </c>
      <c r="M10" s="146">
        <v>6</v>
      </c>
      <c r="N10" s="146">
        <v>3</v>
      </c>
      <c r="O10" s="146">
        <v>13</v>
      </c>
      <c r="P10" s="149">
        <v>6135</v>
      </c>
      <c r="Q10" s="58"/>
      <c r="R10" s="58"/>
      <c r="S10" s="58"/>
    </row>
    <row r="11" spans="1:26" ht="15.6" thickTop="1" thickBot="1" x14ac:dyDescent="0.35">
      <c r="A11" s="145">
        <v>6</v>
      </c>
      <c r="B11" s="146">
        <v>5465</v>
      </c>
      <c r="C11" s="146">
        <v>0</v>
      </c>
      <c r="D11" s="146">
        <v>1422</v>
      </c>
      <c r="E11" s="146">
        <v>233</v>
      </c>
      <c r="F11" s="146">
        <v>253</v>
      </c>
      <c r="G11" s="146">
        <v>454</v>
      </c>
      <c r="H11" s="146">
        <v>7827</v>
      </c>
      <c r="I11" s="146">
        <v>0</v>
      </c>
      <c r="J11" s="147"/>
      <c r="K11" s="145">
        <v>6</v>
      </c>
      <c r="L11" s="146">
        <v>16</v>
      </c>
      <c r="M11" s="146">
        <v>18</v>
      </c>
      <c r="N11" s="146">
        <v>4</v>
      </c>
      <c r="O11" s="146">
        <v>38</v>
      </c>
      <c r="P11" s="149">
        <v>6135</v>
      </c>
      <c r="Q11" s="58"/>
      <c r="R11" s="58"/>
      <c r="S11" s="58"/>
    </row>
    <row r="12" spans="1:26" ht="15.6" thickTop="1" thickBot="1" x14ac:dyDescent="0.35">
      <c r="A12" s="145">
        <v>7</v>
      </c>
      <c r="B12" s="146">
        <v>5202</v>
      </c>
      <c r="C12" s="146">
        <v>0</v>
      </c>
      <c r="D12" s="146">
        <v>1543</v>
      </c>
      <c r="E12" s="146">
        <v>241</v>
      </c>
      <c r="F12" s="146">
        <v>294</v>
      </c>
      <c r="G12" s="146">
        <v>339</v>
      </c>
      <c r="H12" s="146">
        <v>7619</v>
      </c>
      <c r="I12" s="146">
        <v>0</v>
      </c>
      <c r="J12" s="148"/>
      <c r="K12" s="145">
        <v>7</v>
      </c>
      <c r="L12" s="146">
        <v>15</v>
      </c>
      <c r="M12" s="146">
        <v>21</v>
      </c>
      <c r="N12" s="146">
        <v>4</v>
      </c>
      <c r="O12" s="146">
        <v>40</v>
      </c>
      <c r="P12" s="149">
        <v>6135</v>
      </c>
      <c r="Q12" s="58"/>
      <c r="R12" s="58"/>
      <c r="S12" s="58"/>
    </row>
    <row r="13" spans="1:26" ht="15.6" thickTop="1" thickBot="1" x14ac:dyDescent="0.35">
      <c r="A13" s="145">
        <v>8</v>
      </c>
      <c r="B13" s="146">
        <v>6499</v>
      </c>
      <c r="C13" s="146">
        <v>0</v>
      </c>
      <c r="D13" s="146">
        <v>1461</v>
      </c>
      <c r="E13" s="146">
        <v>209</v>
      </c>
      <c r="F13" s="146">
        <v>291</v>
      </c>
      <c r="G13" s="146">
        <v>416</v>
      </c>
      <c r="H13" s="146">
        <v>8876</v>
      </c>
      <c r="I13" s="146">
        <v>0</v>
      </c>
      <c r="J13" s="148"/>
      <c r="K13" s="145">
        <v>8</v>
      </c>
      <c r="L13" s="146">
        <v>7</v>
      </c>
      <c r="M13" s="146">
        <v>14</v>
      </c>
      <c r="N13" s="146">
        <v>9</v>
      </c>
      <c r="O13" s="146">
        <v>30</v>
      </c>
      <c r="P13" s="149">
        <v>6135</v>
      </c>
      <c r="Q13" s="58"/>
      <c r="R13" s="58"/>
      <c r="S13" s="58"/>
    </row>
    <row r="14" spans="1:26" ht="15.6" thickTop="1" thickBot="1" x14ac:dyDescent="0.35">
      <c r="A14" s="145">
        <v>9</v>
      </c>
      <c r="B14" s="146">
        <v>5384</v>
      </c>
      <c r="C14" s="146">
        <v>0</v>
      </c>
      <c r="D14" s="146">
        <v>1477</v>
      </c>
      <c r="E14" s="146">
        <v>226</v>
      </c>
      <c r="F14" s="146">
        <v>251</v>
      </c>
      <c r="G14" s="146">
        <v>462</v>
      </c>
      <c r="H14" s="146">
        <v>7800</v>
      </c>
      <c r="I14" s="146">
        <v>0</v>
      </c>
      <c r="J14" s="148"/>
      <c r="K14" s="145">
        <v>9</v>
      </c>
      <c r="L14" s="146">
        <v>13</v>
      </c>
      <c r="M14" s="146">
        <v>25</v>
      </c>
      <c r="N14" s="146">
        <v>3</v>
      </c>
      <c r="O14" s="146">
        <v>41</v>
      </c>
      <c r="P14" s="150">
        <v>6135</v>
      </c>
      <c r="Q14" s="70"/>
      <c r="R14" s="70"/>
      <c r="S14" s="70"/>
    </row>
    <row r="15" spans="1:26" ht="15.6" thickTop="1" thickBot="1" x14ac:dyDescent="0.35">
      <c r="A15" s="145">
        <v>10</v>
      </c>
      <c r="B15" s="146">
        <v>6441</v>
      </c>
      <c r="C15" s="146">
        <v>0</v>
      </c>
      <c r="D15" s="146">
        <v>1745</v>
      </c>
      <c r="E15" s="146">
        <v>261</v>
      </c>
      <c r="F15" s="146">
        <v>322</v>
      </c>
      <c r="G15" s="146">
        <v>425</v>
      </c>
      <c r="H15" s="146">
        <v>9194</v>
      </c>
      <c r="I15" s="146">
        <v>0</v>
      </c>
      <c r="J15" s="148"/>
      <c r="K15" s="145">
        <v>10</v>
      </c>
      <c r="L15" s="146">
        <v>9</v>
      </c>
      <c r="M15" s="146">
        <v>22</v>
      </c>
      <c r="N15" s="146">
        <v>9</v>
      </c>
      <c r="O15" s="146">
        <v>40</v>
      </c>
      <c r="P15" s="149">
        <v>6135</v>
      </c>
      <c r="Q15" s="58"/>
      <c r="R15" s="58"/>
      <c r="S15" s="58"/>
    </row>
    <row r="16" spans="1:26" ht="15.6" thickTop="1" thickBot="1" x14ac:dyDescent="0.35">
      <c r="A16" s="145">
        <v>11</v>
      </c>
      <c r="B16" s="146">
        <v>7520</v>
      </c>
      <c r="C16" s="146">
        <v>0</v>
      </c>
      <c r="D16" s="146">
        <v>1681</v>
      </c>
      <c r="E16" s="146">
        <v>245</v>
      </c>
      <c r="F16" s="146">
        <v>329</v>
      </c>
      <c r="G16" s="146">
        <v>448</v>
      </c>
      <c r="H16" s="146">
        <v>10223</v>
      </c>
      <c r="I16" s="146">
        <v>0</v>
      </c>
      <c r="J16" s="148"/>
      <c r="K16" s="145">
        <v>11</v>
      </c>
      <c r="L16" s="146">
        <v>13</v>
      </c>
      <c r="M16" s="146">
        <v>23</v>
      </c>
      <c r="N16" s="146">
        <v>5</v>
      </c>
      <c r="O16" s="146">
        <v>41</v>
      </c>
      <c r="P16" s="149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45">
        <v>12</v>
      </c>
      <c r="B17" s="146">
        <v>8980</v>
      </c>
      <c r="C17" s="146">
        <v>0</v>
      </c>
      <c r="D17" s="146">
        <v>1348</v>
      </c>
      <c r="E17" s="146">
        <v>200</v>
      </c>
      <c r="F17" s="146">
        <v>208</v>
      </c>
      <c r="G17" s="146">
        <v>340</v>
      </c>
      <c r="H17" s="146">
        <v>11076</v>
      </c>
      <c r="I17" s="146">
        <v>0</v>
      </c>
      <c r="J17" s="148"/>
      <c r="K17" s="145">
        <v>12</v>
      </c>
      <c r="L17" s="146">
        <v>9</v>
      </c>
      <c r="M17" s="146">
        <v>14</v>
      </c>
      <c r="N17" s="146">
        <v>4</v>
      </c>
      <c r="O17" s="146">
        <v>27</v>
      </c>
      <c r="P17" s="149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45">
        <v>13</v>
      </c>
      <c r="B18" s="146">
        <v>5615</v>
      </c>
      <c r="C18" s="146">
        <v>0</v>
      </c>
      <c r="D18" s="146">
        <v>1476</v>
      </c>
      <c r="E18" s="146">
        <v>275</v>
      </c>
      <c r="F18" s="146">
        <v>246</v>
      </c>
      <c r="G18" s="146">
        <v>454</v>
      </c>
      <c r="H18" s="146">
        <v>8066</v>
      </c>
      <c r="I18" s="146">
        <v>0</v>
      </c>
      <c r="J18" s="148"/>
      <c r="K18" s="145">
        <v>13</v>
      </c>
      <c r="L18" s="146">
        <v>6</v>
      </c>
      <c r="M18" s="146">
        <v>7</v>
      </c>
      <c r="N18" s="146">
        <v>16</v>
      </c>
      <c r="O18" s="146">
        <v>29</v>
      </c>
      <c r="P18" s="149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45">
        <v>14</v>
      </c>
      <c r="B19" s="146">
        <v>4899</v>
      </c>
      <c r="C19" s="146">
        <v>0</v>
      </c>
      <c r="D19" s="146">
        <v>1927</v>
      </c>
      <c r="E19" s="146">
        <v>282</v>
      </c>
      <c r="F19" s="146">
        <v>325</v>
      </c>
      <c r="G19" s="146">
        <v>502</v>
      </c>
      <c r="H19" s="146">
        <v>7935</v>
      </c>
      <c r="I19" s="146">
        <v>0</v>
      </c>
      <c r="J19" s="148"/>
      <c r="K19" s="145">
        <v>14</v>
      </c>
      <c r="L19" s="146">
        <v>8</v>
      </c>
      <c r="M19" s="146">
        <v>28</v>
      </c>
      <c r="N19" s="146">
        <v>9</v>
      </c>
      <c r="O19" s="146">
        <v>45</v>
      </c>
      <c r="P19" s="149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45">
        <v>15</v>
      </c>
      <c r="B20" s="146">
        <v>5269</v>
      </c>
      <c r="C20" s="146">
        <v>0</v>
      </c>
      <c r="D20" s="146">
        <v>1899</v>
      </c>
      <c r="E20" s="146">
        <v>327</v>
      </c>
      <c r="F20" s="146">
        <v>368</v>
      </c>
      <c r="G20" s="146">
        <v>520</v>
      </c>
      <c r="H20" s="146">
        <v>8383</v>
      </c>
      <c r="I20" s="146">
        <v>0</v>
      </c>
      <c r="J20" s="148"/>
      <c r="K20" s="145">
        <v>15</v>
      </c>
      <c r="L20" s="146">
        <v>7</v>
      </c>
      <c r="M20" s="146">
        <v>22</v>
      </c>
      <c r="N20" s="146">
        <v>6</v>
      </c>
      <c r="O20" s="146">
        <v>35</v>
      </c>
      <c r="P20" s="149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45">
        <v>16</v>
      </c>
      <c r="B21" s="146">
        <v>5531</v>
      </c>
      <c r="C21" s="146">
        <v>0</v>
      </c>
      <c r="D21" s="146">
        <v>1904</v>
      </c>
      <c r="E21" s="146">
        <v>298</v>
      </c>
      <c r="F21" s="146">
        <v>333</v>
      </c>
      <c r="G21" s="146">
        <v>579</v>
      </c>
      <c r="H21" s="146">
        <v>8645</v>
      </c>
      <c r="I21" s="146">
        <v>0</v>
      </c>
      <c r="J21" s="148"/>
      <c r="K21" s="145">
        <v>16</v>
      </c>
      <c r="L21" s="146">
        <v>7</v>
      </c>
      <c r="M21" s="146">
        <v>26</v>
      </c>
      <c r="N21" s="146">
        <v>6</v>
      </c>
      <c r="O21" s="146">
        <v>39</v>
      </c>
      <c r="P21" s="149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45">
        <v>17</v>
      </c>
      <c r="B22" s="146">
        <v>7271</v>
      </c>
      <c r="C22" s="146">
        <v>0</v>
      </c>
      <c r="D22" s="146">
        <v>1879</v>
      </c>
      <c r="E22" s="146">
        <v>283</v>
      </c>
      <c r="F22" s="146">
        <v>338</v>
      </c>
      <c r="G22" s="146">
        <v>529</v>
      </c>
      <c r="H22" s="146">
        <v>10300</v>
      </c>
      <c r="I22" s="146">
        <v>0</v>
      </c>
      <c r="J22" s="148"/>
      <c r="K22" s="145">
        <v>17</v>
      </c>
      <c r="L22" s="146">
        <v>12</v>
      </c>
      <c r="M22" s="146">
        <v>20</v>
      </c>
      <c r="N22" s="146">
        <v>16</v>
      </c>
      <c r="O22" s="146">
        <v>48</v>
      </c>
      <c r="P22" s="149">
        <v>6135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6" thickTop="1" thickBot="1" x14ac:dyDescent="0.35">
      <c r="A23" s="145">
        <v>18</v>
      </c>
      <c r="B23" s="146">
        <v>9077</v>
      </c>
      <c r="C23" s="146">
        <v>0</v>
      </c>
      <c r="D23" s="146">
        <v>1838</v>
      </c>
      <c r="E23" s="146">
        <v>286</v>
      </c>
      <c r="F23" s="146">
        <v>343</v>
      </c>
      <c r="G23" s="146">
        <v>452</v>
      </c>
      <c r="H23" s="152">
        <v>11996</v>
      </c>
      <c r="I23" s="146">
        <v>0</v>
      </c>
      <c r="J23" s="148"/>
      <c r="K23" s="145">
        <v>18</v>
      </c>
      <c r="L23" s="146">
        <v>8</v>
      </c>
      <c r="M23" s="146">
        <v>19</v>
      </c>
      <c r="N23" s="146">
        <v>3</v>
      </c>
      <c r="O23" s="146">
        <v>30</v>
      </c>
      <c r="P23" s="149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45">
        <v>19</v>
      </c>
      <c r="B24" s="146">
        <v>9646</v>
      </c>
      <c r="C24" s="146">
        <v>0</v>
      </c>
      <c r="D24" s="146">
        <v>1401</v>
      </c>
      <c r="E24" s="146">
        <v>183</v>
      </c>
      <c r="F24" s="146">
        <v>215</v>
      </c>
      <c r="G24" s="146">
        <v>414</v>
      </c>
      <c r="H24" s="152">
        <v>11859</v>
      </c>
      <c r="I24" s="146">
        <v>0</v>
      </c>
      <c r="J24" s="148"/>
      <c r="K24" s="145">
        <v>19</v>
      </c>
      <c r="L24" s="146">
        <v>2</v>
      </c>
      <c r="M24" s="146">
        <v>15</v>
      </c>
      <c r="N24" s="146">
        <v>3</v>
      </c>
      <c r="O24" s="146">
        <v>20</v>
      </c>
      <c r="P24" s="149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45">
        <v>20</v>
      </c>
      <c r="B25" s="146">
        <v>6776</v>
      </c>
      <c r="C25" s="146">
        <v>0</v>
      </c>
      <c r="D25" s="146">
        <v>1596</v>
      </c>
      <c r="E25" s="146">
        <v>304</v>
      </c>
      <c r="F25" s="146">
        <v>246</v>
      </c>
      <c r="G25" s="146">
        <v>456</v>
      </c>
      <c r="H25" s="146">
        <v>9378</v>
      </c>
      <c r="I25" s="146">
        <v>0</v>
      </c>
      <c r="J25" s="148"/>
      <c r="K25" s="145">
        <v>20</v>
      </c>
      <c r="L25" s="146">
        <v>7</v>
      </c>
      <c r="M25" s="146">
        <v>11</v>
      </c>
      <c r="N25" s="146">
        <v>4</v>
      </c>
      <c r="O25" s="146">
        <v>22</v>
      </c>
      <c r="P25" s="149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45">
        <v>21</v>
      </c>
      <c r="B26" s="146">
        <v>6990</v>
      </c>
      <c r="C26" s="146">
        <v>0</v>
      </c>
      <c r="D26" s="146">
        <v>1953</v>
      </c>
      <c r="E26" s="146">
        <v>277</v>
      </c>
      <c r="F26" s="146">
        <v>309</v>
      </c>
      <c r="G26" s="146">
        <v>448</v>
      </c>
      <c r="H26" s="146">
        <v>9977</v>
      </c>
      <c r="I26" s="146">
        <v>0</v>
      </c>
      <c r="J26" s="148"/>
      <c r="K26" s="145">
        <v>21</v>
      </c>
      <c r="L26" s="146">
        <v>3</v>
      </c>
      <c r="M26" s="146">
        <v>21</v>
      </c>
      <c r="N26" s="146">
        <v>4</v>
      </c>
      <c r="O26" s="146">
        <v>28</v>
      </c>
      <c r="P26" s="149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45">
        <v>22</v>
      </c>
      <c r="B27" s="146">
        <v>8943</v>
      </c>
      <c r="C27" s="146">
        <v>0</v>
      </c>
      <c r="D27" s="146">
        <v>2222</v>
      </c>
      <c r="E27" s="146">
        <v>282</v>
      </c>
      <c r="F27" s="146">
        <v>352</v>
      </c>
      <c r="G27" s="146">
        <v>491</v>
      </c>
      <c r="H27" s="146">
        <v>12290</v>
      </c>
      <c r="I27" s="146">
        <v>0</v>
      </c>
      <c r="J27" s="148"/>
      <c r="K27" s="145">
        <v>22</v>
      </c>
      <c r="L27" s="146">
        <v>6</v>
      </c>
      <c r="M27" s="146">
        <v>25</v>
      </c>
      <c r="N27" s="146">
        <v>10</v>
      </c>
      <c r="O27" s="146">
        <v>41</v>
      </c>
      <c r="P27" s="149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45">
        <v>23</v>
      </c>
      <c r="B28" s="146">
        <v>11381</v>
      </c>
      <c r="C28" s="146">
        <v>0</v>
      </c>
      <c r="D28" s="146">
        <v>1959</v>
      </c>
      <c r="E28" s="146">
        <v>249</v>
      </c>
      <c r="F28" s="146">
        <v>303</v>
      </c>
      <c r="G28" s="146">
        <v>361</v>
      </c>
      <c r="H28" s="146">
        <v>14253</v>
      </c>
      <c r="I28" s="146">
        <v>0</v>
      </c>
      <c r="J28" s="148"/>
      <c r="K28" s="145">
        <v>23</v>
      </c>
      <c r="L28" s="146">
        <v>6</v>
      </c>
      <c r="M28" s="146">
        <v>19</v>
      </c>
      <c r="N28" s="146">
        <v>11</v>
      </c>
      <c r="O28" s="146">
        <v>36</v>
      </c>
      <c r="P28" s="149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45">
        <v>24</v>
      </c>
      <c r="B29" s="146">
        <v>9454</v>
      </c>
      <c r="C29" s="146">
        <v>0</v>
      </c>
      <c r="D29" s="146">
        <v>1634</v>
      </c>
      <c r="E29" s="146">
        <v>152</v>
      </c>
      <c r="F29" s="146">
        <v>190</v>
      </c>
      <c r="G29" s="146">
        <v>193</v>
      </c>
      <c r="H29" s="146">
        <v>11623</v>
      </c>
      <c r="I29" s="146">
        <v>0</v>
      </c>
      <c r="J29" s="148"/>
      <c r="K29" s="145">
        <v>24</v>
      </c>
      <c r="L29" s="146">
        <v>8</v>
      </c>
      <c r="M29" s="146">
        <v>15</v>
      </c>
      <c r="N29" s="146">
        <v>2</v>
      </c>
      <c r="O29" s="146">
        <v>25</v>
      </c>
      <c r="P29" s="149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45">
        <v>25</v>
      </c>
      <c r="B30" s="146">
        <v>7850</v>
      </c>
      <c r="C30" s="146">
        <v>0</v>
      </c>
      <c r="D30" s="146">
        <v>659</v>
      </c>
      <c r="E30" s="146">
        <v>91</v>
      </c>
      <c r="F30" s="146">
        <v>134</v>
      </c>
      <c r="G30" s="146">
        <v>219</v>
      </c>
      <c r="H30" s="146">
        <v>8953</v>
      </c>
      <c r="I30" s="146">
        <v>0</v>
      </c>
      <c r="J30" s="148"/>
      <c r="K30" s="145">
        <v>25</v>
      </c>
      <c r="L30" s="146">
        <v>1</v>
      </c>
      <c r="M30" s="146">
        <v>6</v>
      </c>
      <c r="N30" s="146">
        <v>1</v>
      </c>
      <c r="O30" s="146">
        <v>8</v>
      </c>
      <c r="P30" s="149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45">
        <v>26</v>
      </c>
      <c r="B31" s="146">
        <v>15292</v>
      </c>
      <c r="C31" s="146">
        <v>0</v>
      </c>
      <c r="D31" s="146">
        <v>748</v>
      </c>
      <c r="E31" s="146">
        <v>40</v>
      </c>
      <c r="F31" s="146">
        <v>73</v>
      </c>
      <c r="G31" s="146">
        <v>90</v>
      </c>
      <c r="H31" s="146">
        <v>16243</v>
      </c>
      <c r="I31" s="146">
        <v>0</v>
      </c>
      <c r="J31" s="148"/>
      <c r="K31" s="145">
        <v>26</v>
      </c>
      <c r="L31" s="146">
        <v>3</v>
      </c>
      <c r="M31" s="146">
        <v>4</v>
      </c>
      <c r="N31" s="146">
        <v>0</v>
      </c>
      <c r="O31" s="146">
        <v>7</v>
      </c>
      <c r="P31" s="149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45">
        <v>27</v>
      </c>
      <c r="B32" s="146">
        <v>10339</v>
      </c>
      <c r="C32" s="146">
        <v>0</v>
      </c>
      <c r="D32" s="146">
        <v>1486</v>
      </c>
      <c r="E32" s="146">
        <v>253</v>
      </c>
      <c r="F32" s="146">
        <v>281</v>
      </c>
      <c r="G32" s="146">
        <v>424</v>
      </c>
      <c r="H32" s="146">
        <v>12783</v>
      </c>
      <c r="I32" s="146">
        <v>0</v>
      </c>
      <c r="J32" s="148"/>
      <c r="K32" s="145">
        <v>27</v>
      </c>
      <c r="L32" s="146">
        <v>6</v>
      </c>
      <c r="M32" s="146">
        <v>16</v>
      </c>
      <c r="N32" s="146">
        <v>4</v>
      </c>
      <c r="O32" s="146">
        <v>26</v>
      </c>
      <c r="P32" s="149">
        <v>6135</v>
      </c>
    </row>
    <row r="33" spans="1:16" ht="15.6" thickTop="1" thickBot="1" x14ac:dyDescent="0.35">
      <c r="A33" s="145">
        <v>28</v>
      </c>
      <c r="B33" s="146">
        <v>10636</v>
      </c>
      <c r="C33" s="146">
        <v>0</v>
      </c>
      <c r="D33" s="146">
        <v>1813</v>
      </c>
      <c r="E33" s="146">
        <v>214</v>
      </c>
      <c r="F33" s="146">
        <v>301</v>
      </c>
      <c r="G33" s="146">
        <v>374</v>
      </c>
      <c r="H33" s="146">
        <v>13338</v>
      </c>
      <c r="I33" s="146">
        <v>0</v>
      </c>
      <c r="J33" s="148"/>
      <c r="K33" s="145">
        <v>28</v>
      </c>
      <c r="L33" s="146">
        <v>4</v>
      </c>
      <c r="M33" s="146">
        <v>22</v>
      </c>
      <c r="N33" s="146">
        <v>2</v>
      </c>
      <c r="O33" s="146">
        <v>28</v>
      </c>
      <c r="P33" s="149">
        <v>6135</v>
      </c>
    </row>
    <row r="34" spans="1:16" ht="15.6" thickTop="1" thickBot="1" x14ac:dyDescent="0.35">
      <c r="A34" s="145">
        <v>29</v>
      </c>
      <c r="B34" s="146">
        <v>14126</v>
      </c>
      <c r="C34" s="146">
        <v>0</v>
      </c>
      <c r="D34" s="146">
        <v>1913</v>
      </c>
      <c r="E34" s="146">
        <v>254</v>
      </c>
      <c r="F34" s="146">
        <v>357</v>
      </c>
      <c r="G34" s="146">
        <v>386</v>
      </c>
      <c r="H34" s="146">
        <v>17036</v>
      </c>
      <c r="I34" s="146">
        <v>0</v>
      </c>
      <c r="J34" s="148"/>
      <c r="K34" s="145">
        <v>29</v>
      </c>
      <c r="L34" s="146">
        <v>6</v>
      </c>
      <c r="M34" s="146">
        <v>19</v>
      </c>
      <c r="N34" s="146">
        <v>3</v>
      </c>
      <c r="O34" s="146">
        <v>28</v>
      </c>
      <c r="P34" s="149">
        <v>6135</v>
      </c>
    </row>
    <row r="35" spans="1:16" ht="15.6" thickTop="1" thickBot="1" x14ac:dyDescent="0.35">
      <c r="A35" s="145">
        <v>30</v>
      </c>
      <c r="B35" s="146">
        <v>18928</v>
      </c>
      <c r="C35" s="146">
        <v>0</v>
      </c>
      <c r="D35" s="146">
        <v>1794</v>
      </c>
      <c r="E35" s="146">
        <v>193</v>
      </c>
      <c r="F35" s="146">
        <v>276</v>
      </c>
      <c r="G35" s="146">
        <v>341</v>
      </c>
      <c r="H35" s="146">
        <v>21532</v>
      </c>
      <c r="I35" s="146">
        <v>0</v>
      </c>
      <c r="J35" s="148"/>
      <c r="K35" s="145">
        <v>30</v>
      </c>
      <c r="L35" s="146">
        <v>6</v>
      </c>
      <c r="M35" s="146">
        <v>16</v>
      </c>
      <c r="N35" s="146">
        <v>5</v>
      </c>
      <c r="O35" s="146">
        <v>27</v>
      </c>
      <c r="P35" s="149">
        <v>6135</v>
      </c>
    </row>
    <row r="36" spans="1:16" ht="15.6" thickTop="1" thickBot="1" x14ac:dyDescent="0.35">
      <c r="A36" s="145">
        <v>31</v>
      </c>
      <c r="B36" s="146">
        <v>14931</v>
      </c>
      <c r="C36" s="146">
        <v>0</v>
      </c>
      <c r="D36" s="146">
        <v>1166</v>
      </c>
      <c r="E36" s="146">
        <v>87</v>
      </c>
      <c r="F36" s="146">
        <v>160</v>
      </c>
      <c r="G36" s="146">
        <v>138</v>
      </c>
      <c r="H36" s="146">
        <v>16482</v>
      </c>
      <c r="I36" s="146">
        <v>0</v>
      </c>
      <c r="J36" s="148"/>
      <c r="K36" s="145">
        <v>31</v>
      </c>
      <c r="L36" s="151">
        <v>4</v>
      </c>
      <c r="M36" s="151">
        <v>2</v>
      </c>
      <c r="N36" s="151">
        <v>2</v>
      </c>
      <c r="O36" s="146">
        <v>8</v>
      </c>
      <c r="P36" s="149">
        <v>6135</v>
      </c>
    </row>
    <row r="37" spans="1:16" ht="15" thickTop="1" x14ac:dyDescent="0.3">
      <c r="A37" s="55" t="s">
        <v>19</v>
      </c>
      <c r="B37" s="57">
        <v>260172</v>
      </c>
      <c r="C37" s="57">
        <v>0</v>
      </c>
      <c r="D37" s="57">
        <v>50796</v>
      </c>
      <c r="E37" s="57">
        <v>7350</v>
      </c>
      <c r="F37" s="57">
        <v>8647</v>
      </c>
      <c r="G37" s="57">
        <v>12489</v>
      </c>
      <c r="H37" s="155">
        <v>339454</v>
      </c>
      <c r="I37" s="57">
        <v>0</v>
      </c>
      <c r="J37" s="57"/>
      <c r="K37" s="57"/>
      <c r="L37" s="57">
        <v>224</v>
      </c>
      <c r="M37" s="57">
        <v>535</v>
      </c>
      <c r="N37" s="57">
        <v>180</v>
      </c>
      <c r="O37" s="155">
        <v>939</v>
      </c>
      <c r="P37" s="57">
        <v>190185</v>
      </c>
    </row>
    <row r="38" spans="1:16" x14ac:dyDescent="0.3">
      <c r="A38" s="66" t="s">
        <v>22</v>
      </c>
      <c r="B38" s="68"/>
      <c r="C38" s="68"/>
      <c r="D38" s="68"/>
      <c r="E38" s="68"/>
      <c r="F38" s="68"/>
      <c r="G38" s="68"/>
      <c r="H38" s="68"/>
      <c r="I38" s="58"/>
      <c r="J38" s="58"/>
      <c r="K38" s="58"/>
      <c r="L38" s="71"/>
      <c r="M38" s="58"/>
      <c r="N38" s="58"/>
      <c r="O38" s="58"/>
      <c r="P38" s="58"/>
    </row>
    <row r="39" spans="1:16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1"/>
      <c r="K39" s="26"/>
      <c r="L39" s="25"/>
      <c r="M39" s="58"/>
      <c r="N39" s="58"/>
      <c r="O39" s="58"/>
      <c r="P39" s="58"/>
    </row>
    <row r="40" spans="1:16" x14ac:dyDescent="0.3">
      <c r="A40" s="67"/>
      <c r="B40" s="58"/>
      <c r="C40" s="58"/>
      <c r="D40" s="58"/>
      <c r="E40" s="58"/>
      <c r="F40" s="58"/>
      <c r="G40" s="58"/>
      <c r="H40" s="67"/>
      <c r="I40" s="58"/>
      <c r="J40" s="58"/>
      <c r="K40" s="26"/>
      <c r="L40" s="25"/>
      <c r="M40" s="58"/>
      <c r="N40" s="58"/>
      <c r="O40" s="58"/>
      <c r="P40" s="58"/>
    </row>
    <row r="41" spans="1:16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26"/>
      <c r="L41" s="25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67"/>
      <c r="J42" s="67"/>
      <c r="K42" s="58"/>
      <c r="L42" s="58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144"/>
      <c r="H43" s="58"/>
      <c r="I43" s="67"/>
      <c r="J43" s="67"/>
      <c r="K43" s="58"/>
      <c r="L43" s="58"/>
      <c r="M43" s="58"/>
      <c r="N43" s="58"/>
      <c r="O43" s="58"/>
      <c r="P43" s="58"/>
    </row>
    <row r="44" spans="1:16" x14ac:dyDescent="0.3">
      <c r="A44" s="75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3">
      <c r="A45" s="75"/>
      <c r="B45" s="67"/>
      <c r="C45" s="67"/>
      <c r="D45" s="67"/>
      <c r="E45" s="67"/>
      <c r="F45" s="67"/>
      <c r="G45" s="67"/>
      <c r="H45" s="67"/>
      <c r="I45" s="67"/>
      <c r="J45" s="67"/>
      <c r="K45" s="72"/>
      <c r="L45" s="67"/>
      <c r="M45" s="67"/>
      <c r="N45" s="67"/>
      <c r="O45" s="67"/>
      <c r="P45" s="58"/>
    </row>
    <row r="46" spans="1:16" x14ac:dyDescent="0.3">
      <c r="A46" s="75"/>
      <c r="B46" s="67"/>
      <c r="C46" s="67"/>
      <c r="D46" s="67"/>
      <c r="E46" s="67"/>
      <c r="F46" s="67"/>
      <c r="G46" s="67"/>
      <c r="H46" s="67"/>
      <c r="I46" s="67"/>
      <c r="J46" s="67"/>
      <c r="K46" s="72"/>
      <c r="L46" s="67"/>
      <c r="M46" s="67"/>
      <c r="N46" s="67"/>
      <c r="O46" s="67"/>
      <c r="P46" s="58"/>
    </row>
  </sheetData>
  <mergeCells count="12">
    <mergeCell ref="A1:O1"/>
    <mergeCell ref="A2:O2"/>
    <mergeCell ref="A3:O3"/>
    <mergeCell ref="O4:O5"/>
    <mergeCell ref="L4:L5"/>
    <mergeCell ref="M4:M5"/>
    <mergeCell ref="N4:N5"/>
    <mergeCell ref="B4:C4"/>
    <mergeCell ref="H4:H5"/>
    <mergeCell ref="K4:K5"/>
    <mergeCell ref="I4:I5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2021</vt:lpstr>
      <vt:lpstr>FEBRERO 2021</vt:lpstr>
      <vt:lpstr>MARZO 2021</vt:lpstr>
      <vt:lpstr>ABRIL 2021</vt:lpstr>
      <vt:lpstr>MAYO 2021</vt:lpstr>
      <vt:lpstr>JUNIO 2021</vt:lpstr>
      <vt:lpstr>JULIO 2021</vt:lpstr>
      <vt:lpstr>AGOSTO 2021</vt:lpstr>
      <vt:lpstr>SEPTIEMBRE 2021</vt:lpstr>
      <vt:lpstr>OCTUBRE 2021</vt:lpstr>
      <vt:lpstr>NOVIEMBRE 2021</vt:lpstr>
      <vt:lpstr>DICIEMBRE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2024-09-02T13:44:57Z</dcterms:created>
  <dcterms:modified xsi:type="dcterms:W3CDTF">2026-01-27T23:38:50Z</dcterms:modified>
</cp:coreProperties>
</file>