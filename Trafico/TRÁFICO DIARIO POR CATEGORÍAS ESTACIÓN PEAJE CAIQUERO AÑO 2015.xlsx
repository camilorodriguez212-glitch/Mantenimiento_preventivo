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TRAFICO DIARIO\"/>
    </mc:Choice>
  </mc:AlternateContent>
  <xr:revisionPtr revIDLastSave="0" documentId="13_ncr:1_{F8066B99-0CE2-463C-AC29-40EF13E553D7}" xr6:coauthVersionLast="47" xr6:coauthVersionMax="47" xr10:uidLastSave="{00000000-0000-0000-0000-000000000000}"/>
  <bookViews>
    <workbookView xWindow="-108" yWindow="-108" windowWidth="23256" windowHeight="12456" firstSheet="6" activeTab="11" xr2:uid="{BFDC88DC-83A0-432C-BD0B-F7E0EACF131D}"/>
  </bookViews>
  <sheets>
    <sheet name="ENERO 2015" sheetId="1" r:id="rId1"/>
    <sheet name="FEBRERO 2015" sheetId="2" r:id="rId2"/>
    <sheet name="MARZO 2015" sheetId="3" r:id="rId3"/>
    <sheet name="ABRIL 2015" sheetId="4" r:id="rId4"/>
    <sheet name="MAYO 2015" sheetId="5" r:id="rId5"/>
    <sheet name="JUNIO 2015" sheetId="6" r:id="rId6"/>
    <sheet name="JULIO 2015" sheetId="7" r:id="rId7"/>
    <sheet name="AGOSTO 2015" sheetId="8" r:id="rId8"/>
    <sheet name="SEPTIEMBRE 2015" sheetId="9" r:id="rId9"/>
    <sheet name="OCTUBRE 2015" sheetId="10" r:id="rId10"/>
    <sheet name="NOVIEMBRE 2015" sheetId="11" r:id="rId11"/>
    <sheet name="DICIEMBRE 2015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2" l="1"/>
  <c r="O37" i="11"/>
  <c r="O37" i="10"/>
  <c r="N37" i="10"/>
  <c r="M37" i="10"/>
  <c r="L37" i="10"/>
  <c r="I37" i="10"/>
  <c r="G37" i="10"/>
  <c r="G38" i="10" s="1"/>
  <c r="F37" i="10"/>
  <c r="F38" i="10" s="1"/>
  <c r="C37" i="10"/>
  <c r="O36" i="10"/>
  <c r="H36" i="10"/>
  <c r="D36" i="10"/>
  <c r="B36" i="10"/>
  <c r="O35" i="10"/>
  <c r="D35" i="10"/>
  <c r="B35" i="10"/>
  <c r="H35" i="10" s="1"/>
  <c r="O34" i="10"/>
  <c r="E34" i="10"/>
  <c r="D34" i="10"/>
  <c r="B34" i="10"/>
  <c r="H34" i="10" s="1"/>
  <c r="O33" i="10"/>
  <c r="E33" i="10"/>
  <c r="D33" i="10"/>
  <c r="B33" i="10"/>
  <c r="H33" i="10" s="1"/>
  <c r="O32" i="10"/>
  <c r="E32" i="10"/>
  <c r="D32" i="10"/>
  <c r="B32" i="10"/>
  <c r="H32" i="10" s="1"/>
  <c r="O31" i="10"/>
  <c r="H31" i="10"/>
  <c r="D31" i="10"/>
  <c r="B31" i="10"/>
  <c r="O30" i="10"/>
  <c r="E30" i="10"/>
  <c r="D30" i="10"/>
  <c r="B30" i="10"/>
  <c r="H30" i="10" s="1"/>
  <c r="O29" i="10"/>
  <c r="E29" i="10"/>
  <c r="H29" i="10" s="1"/>
  <c r="D29" i="10"/>
  <c r="B29" i="10"/>
  <c r="O28" i="10"/>
  <c r="E28" i="10"/>
  <c r="D28" i="10"/>
  <c r="B28" i="10"/>
  <c r="H28" i="10" s="1"/>
  <c r="O27" i="10"/>
  <c r="E27" i="10"/>
  <c r="H27" i="10" s="1"/>
  <c r="D27" i="10"/>
  <c r="B27" i="10"/>
  <c r="O26" i="10"/>
  <c r="E26" i="10"/>
  <c r="D26" i="10"/>
  <c r="B26" i="10"/>
  <c r="H26" i="10" s="1"/>
  <c r="O25" i="10"/>
  <c r="E25" i="10"/>
  <c r="H25" i="10" s="1"/>
  <c r="D25" i="10"/>
  <c r="B25" i="10"/>
  <c r="O24" i="10"/>
  <c r="E24" i="10"/>
  <c r="D24" i="10"/>
  <c r="B24" i="10"/>
  <c r="H24" i="10" s="1"/>
  <c r="O23" i="10"/>
  <c r="D23" i="10"/>
  <c r="H23" i="10" s="1"/>
  <c r="B23" i="10"/>
  <c r="O22" i="10"/>
  <c r="H22" i="10"/>
  <c r="D22" i="10"/>
  <c r="B22" i="10"/>
  <c r="O21" i="10"/>
  <c r="D21" i="10"/>
  <c r="B21" i="10"/>
  <c r="H21" i="10" s="1"/>
  <c r="O20" i="10"/>
  <c r="D20" i="10"/>
  <c r="B20" i="10"/>
  <c r="H20" i="10" s="1"/>
  <c r="O19" i="10"/>
  <c r="D19" i="10"/>
  <c r="H19" i="10" s="1"/>
  <c r="B19" i="10"/>
  <c r="O18" i="10"/>
  <c r="H18" i="10"/>
  <c r="E18" i="10"/>
  <c r="D18" i="10"/>
  <c r="B18" i="10"/>
  <c r="O17" i="10"/>
  <c r="D17" i="10"/>
  <c r="B17" i="10"/>
  <c r="H17" i="10" s="1"/>
  <c r="O16" i="10"/>
  <c r="D16" i="10"/>
  <c r="H16" i="10" s="1"/>
  <c r="B16" i="10"/>
  <c r="O15" i="10"/>
  <c r="H15" i="10"/>
  <c r="D15" i="10"/>
  <c r="B15" i="10"/>
  <c r="O14" i="10"/>
  <c r="E14" i="10"/>
  <c r="D14" i="10"/>
  <c r="B14" i="10"/>
  <c r="H14" i="10" s="1"/>
  <c r="O13" i="10"/>
  <c r="E13" i="10"/>
  <c r="H13" i="10" s="1"/>
  <c r="D13" i="10"/>
  <c r="B13" i="10"/>
  <c r="O12" i="10"/>
  <c r="E12" i="10"/>
  <c r="D12" i="10"/>
  <c r="B12" i="10"/>
  <c r="H12" i="10" s="1"/>
  <c r="O11" i="10"/>
  <c r="D11" i="10"/>
  <c r="H11" i="10" s="1"/>
  <c r="B11" i="10"/>
  <c r="O10" i="10"/>
  <c r="H10" i="10"/>
  <c r="D10" i="10"/>
  <c r="B10" i="10"/>
  <c r="P9" i="10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P30" i="10" s="1"/>
  <c r="P31" i="10" s="1"/>
  <c r="P32" i="10" s="1"/>
  <c r="P33" i="10" s="1"/>
  <c r="P34" i="10" s="1"/>
  <c r="P35" i="10" s="1"/>
  <c r="P36" i="10" s="1"/>
  <c r="O9" i="10"/>
  <c r="D9" i="10"/>
  <c r="B9" i="10"/>
  <c r="H9" i="10" s="1"/>
  <c r="P8" i="10"/>
  <c r="O8" i="10"/>
  <c r="D8" i="10"/>
  <c r="D37" i="10" s="1"/>
  <c r="D38" i="10" s="1"/>
  <c r="B8" i="10"/>
  <c r="H8" i="10" s="1"/>
  <c r="P7" i="10"/>
  <c r="O7" i="10"/>
  <c r="E7" i="10"/>
  <c r="H7" i="10" s="1"/>
  <c r="D7" i="10"/>
  <c r="B7" i="10"/>
  <c r="O6" i="10"/>
  <c r="H6" i="10"/>
  <c r="D6" i="10"/>
  <c r="B6" i="10"/>
  <c r="B37" i="10" s="1"/>
  <c r="B38" i="10" s="1"/>
  <c r="H37" i="10" l="1"/>
  <c r="H38" i="10" s="1"/>
  <c r="E37" i="10"/>
  <c r="E38" i="10" s="1"/>
  <c r="O37" i="9" l="1"/>
  <c r="F38" i="9"/>
  <c r="N37" i="9"/>
  <c r="M37" i="9"/>
  <c r="L37" i="9"/>
  <c r="I37" i="9"/>
  <c r="G37" i="9"/>
  <c r="G38" i="9" s="1"/>
  <c r="F37" i="9"/>
  <c r="C37" i="9"/>
  <c r="O36" i="9"/>
  <c r="H36" i="9"/>
  <c r="O35" i="9"/>
  <c r="E35" i="9"/>
  <c r="D35" i="9"/>
  <c r="H35" i="9" s="1"/>
  <c r="B35" i="9"/>
  <c r="O34" i="9"/>
  <c r="E34" i="9"/>
  <c r="D34" i="9"/>
  <c r="B34" i="9"/>
  <c r="H34" i="9" s="1"/>
  <c r="O33" i="9"/>
  <c r="E33" i="9"/>
  <c r="H33" i="9" s="1"/>
  <c r="D33" i="9"/>
  <c r="B33" i="9"/>
  <c r="O32" i="9"/>
  <c r="D32" i="9"/>
  <c r="B32" i="9"/>
  <c r="H32" i="9" s="1"/>
  <c r="O31" i="9"/>
  <c r="D31" i="9"/>
  <c r="B31" i="9"/>
  <c r="H31" i="9" s="1"/>
  <c r="O30" i="9"/>
  <c r="D30" i="9"/>
  <c r="H30" i="9" s="1"/>
  <c r="B30" i="9"/>
  <c r="O29" i="9"/>
  <c r="H29" i="9"/>
  <c r="E29" i="9"/>
  <c r="D29" i="9"/>
  <c r="B29" i="9"/>
  <c r="O28" i="9"/>
  <c r="E28" i="9"/>
  <c r="D28" i="9"/>
  <c r="B28" i="9"/>
  <c r="H28" i="9" s="1"/>
  <c r="O27" i="9"/>
  <c r="H27" i="9"/>
  <c r="E27" i="9"/>
  <c r="D27" i="9"/>
  <c r="B27" i="9"/>
  <c r="O26" i="9"/>
  <c r="D26" i="9"/>
  <c r="B26" i="9"/>
  <c r="H26" i="9" s="1"/>
  <c r="O25" i="9"/>
  <c r="E25" i="9"/>
  <c r="D25" i="9"/>
  <c r="H25" i="9" s="1"/>
  <c r="B25" i="9"/>
  <c r="O24" i="9"/>
  <c r="D24" i="9"/>
  <c r="B24" i="9"/>
  <c r="H24" i="9" s="1"/>
  <c r="O23" i="9"/>
  <c r="E23" i="9"/>
  <c r="D23" i="9"/>
  <c r="B23" i="9"/>
  <c r="H23" i="9" s="1"/>
  <c r="O22" i="9"/>
  <c r="H22" i="9"/>
  <c r="E22" i="9"/>
  <c r="D22" i="9"/>
  <c r="B22" i="9"/>
  <c r="O21" i="9"/>
  <c r="E21" i="9"/>
  <c r="D21" i="9"/>
  <c r="B21" i="9"/>
  <c r="H21" i="9" s="1"/>
  <c r="O20" i="9"/>
  <c r="H20" i="9"/>
  <c r="D20" i="9"/>
  <c r="B20" i="9"/>
  <c r="O19" i="9"/>
  <c r="D19" i="9"/>
  <c r="B19" i="9"/>
  <c r="H19" i="9" s="1"/>
  <c r="O18" i="9"/>
  <c r="D18" i="9"/>
  <c r="B18" i="9"/>
  <c r="H18" i="9" s="1"/>
  <c r="O17" i="9"/>
  <c r="E17" i="9"/>
  <c r="H17" i="9" s="1"/>
  <c r="D17" i="9"/>
  <c r="B17" i="9"/>
  <c r="O16" i="9"/>
  <c r="E16" i="9"/>
  <c r="D16" i="9"/>
  <c r="B16" i="9"/>
  <c r="H16" i="9" s="1"/>
  <c r="O15" i="9"/>
  <c r="E15" i="9"/>
  <c r="D15" i="9"/>
  <c r="H15" i="9" s="1"/>
  <c r="B15" i="9"/>
  <c r="O14" i="9"/>
  <c r="E14" i="9"/>
  <c r="D14" i="9"/>
  <c r="B14" i="9"/>
  <c r="H14" i="9" s="1"/>
  <c r="O13" i="9"/>
  <c r="D13" i="9"/>
  <c r="H13" i="9" s="1"/>
  <c r="B13" i="9"/>
  <c r="O12" i="9"/>
  <c r="H12" i="9"/>
  <c r="D12" i="9"/>
  <c r="B12" i="9"/>
  <c r="O11" i="9"/>
  <c r="D11" i="9"/>
  <c r="B11" i="9"/>
  <c r="H11" i="9" s="1"/>
  <c r="O10" i="9"/>
  <c r="D10" i="9"/>
  <c r="B10" i="9"/>
  <c r="H10" i="9" s="1"/>
  <c r="O9" i="9"/>
  <c r="E9" i="9"/>
  <c r="D9" i="9"/>
  <c r="H9" i="9" s="1"/>
  <c r="B9" i="9"/>
  <c r="O8" i="9"/>
  <c r="D8" i="9"/>
  <c r="B8" i="9"/>
  <c r="H8" i="9" s="1"/>
  <c r="P7" i="9"/>
  <c r="P8" i="9" s="1"/>
  <c r="P9" i="9" s="1"/>
  <c r="P10" i="9" s="1"/>
  <c r="P11" i="9" s="1"/>
  <c r="P12" i="9" s="1"/>
  <c r="P13" i="9" s="1"/>
  <c r="P14" i="9" s="1"/>
  <c r="P15" i="9" s="1"/>
  <c r="P16" i="9" s="1"/>
  <c r="P17" i="9" s="1"/>
  <c r="P18" i="9" s="1"/>
  <c r="P19" i="9" s="1"/>
  <c r="P20" i="9" s="1"/>
  <c r="P21" i="9" s="1"/>
  <c r="P22" i="9" s="1"/>
  <c r="P23" i="9" s="1"/>
  <c r="P24" i="9" s="1"/>
  <c r="P25" i="9" s="1"/>
  <c r="P26" i="9" s="1"/>
  <c r="P27" i="9" s="1"/>
  <c r="P28" i="9" s="1"/>
  <c r="P29" i="9" s="1"/>
  <c r="P30" i="9" s="1"/>
  <c r="P31" i="9" s="1"/>
  <c r="P32" i="9" s="1"/>
  <c r="P33" i="9" s="1"/>
  <c r="P34" i="9" s="1"/>
  <c r="P35" i="9" s="1"/>
  <c r="P36" i="9" s="1"/>
  <c r="O7" i="9"/>
  <c r="E7" i="9"/>
  <c r="D7" i="9"/>
  <c r="B7" i="9"/>
  <c r="H7" i="9" s="1"/>
  <c r="O6" i="9"/>
  <c r="E6" i="9"/>
  <c r="E37" i="9" s="1"/>
  <c r="E38" i="9" s="1"/>
  <c r="D6" i="9"/>
  <c r="D37" i="9" s="1"/>
  <c r="D38" i="9" s="1"/>
  <c r="B6" i="9"/>
  <c r="B37" i="9" s="1"/>
  <c r="B38" i="9" s="1"/>
  <c r="H6" i="9" l="1"/>
  <c r="H37" i="9" s="1"/>
  <c r="H38" i="9" s="1"/>
  <c r="O37" i="8" l="1"/>
  <c r="N37" i="8"/>
  <c r="M37" i="8"/>
  <c r="L37" i="8"/>
  <c r="I37" i="8"/>
  <c r="G37" i="8"/>
  <c r="G38" i="8" s="1"/>
  <c r="F37" i="8"/>
  <c r="F38" i="8" s="1"/>
  <c r="C37" i="8"/>
  <c r="O36" i="8"/>
  <c r="E36" i="8"/>
  <c r="D36" i="8"/>
  <c r="B36" i="8"/>
  <c r="H36" i="8" s="1"/>
  <c r="O35" i="8"/>
  <c r="D35" i="8"/>
  <c r="B35" i="8"/>
  <c r="H35" i="8" s="1"/>
  <c r="O34" i="8"/>
  <c r="D34" i="8"/>
  <c r="H34" i="8" s="1"/>
  <c r="B34" i="8"/>
  <c r="O33" i="8"/>
  <c r="E33" i="8"/>
  <c r="D33" i="8"/>
  <c r="B33" i="8"/>
  <c r="H33" i="8" s="1"/>
  <c r="O32" i="8"/>
  <c r="E32" i="8"/>
  <c r="D32" i="8"/>
  <c r="B32" i="8"/>
  <c r="H32" i="8" s="1"/>
  <c r="O31" i="8"/>
  <c r="H31" i="8"/>
  <c r="E31" i="8"/>
  <c r="D31" i="8"/>
  <c r="B31" i="8"/>
  <c r="O30" i="8"/>
  <c r="D30" i="8"/>
  <c r="B30" i="8"/>
  <c r="H30" i="8" s="1"/>
  <c r="O29" i="8"/>
  <c r="E29" i="8"/>
  <c r="D29" i="8"/>
  <c r="B29" i="8"/>
  <c r="H29" i="8" s="1"/>
  <c r="O28" i="8"/>
  <c r="H28" i="8"/>
  <c r="D28" i="8"/>
  <c r="B28" i="8"/>
  <c r="O27" i="8"/>
  <c r="D27" i="8"/>
  <c r="B27" i="8"/>
  <c r="H27" i="8" s="1"/>
  <c r="O26" i="8"/>
  <c r="E26" i="8"/>
  <c r="D26" i="8"/>
  <c r="B26" i="8"/>
  <c r="H26" i="8" s="1"/>
  <c r="O25" i="8"/>
  <c r="E25" i="8"/>
  <c r="D25" i="8"/>
  <c r="B25" i="8"/>
  <c r="H25" i="8" s="1"/>
  <c r="O24" i="8"/>
  <c r="D24" i="8"/>
  <c r="H24" i="8" s="1"/>
  <c r="B24" i="8"/>
  <c r="O23" i="8"/>
  <c r="D23" i="8"/>
  <c r="B23" i="8"/>
  <c r="H23" i="8" s="1"/>
  <c r="O22" i="8"/>
  <c r="H22" i="8"/>
  <c r="D22" i="8"/>
  <c r="B22" i="8"/>
  <c r="O21" i="8"/>
  <c r="D21" i="8"/>
  <c r="B21" i="8"/>
  <c r="H21" i="8" s="1"/>
  <c r="O20" i="8"/>
  <c r="D20" i="8"/>
  <c r="B20" i="8"/>
  <c r="H20" i="8" s="1"/>
  <c r="O19" i="8"/>
  <c r="H19" i="8"/>
  <c r="E19" i="8"/>
  <c r="D19" i="8"/>
  <c r="B19" i="8"/>
  <c r="O18" i="8"/>
  <c r="E18" i="8"/>
  <c r="D18" i="8"/>
  <c r="H18" i="8" s="1"/>
  <c r="B18" i="8"/>
  <c r="O17" i="8"/>
  <c r="E17" i="8"/>
  <c r="D17" i="8"/>
  <c r="B17" i="8"/>
  <c r="H17" i="8" s="1"/>
  <c r="O16" i="8"/>
  <c r="D16" i="8"/>
  <c r="B16" i="8"/>
  <c r="H16" i="8" s="1"/>
  <c r="O15" i="8"/>
  <c r="D15" i="8"/>
  <c r="H15" i="8" s="1"/>
  <c r="B15" i="8"/>
  <c r="O14" i="8"/>
  <c r="D14" i="8"/>
  <c r="B14" i="8"/>
  <c r="H14" i="8" s="1"/>
  <c r="O13" i="8"/>
  <c r="H13" i="8"/>
  <c r="D13" i="8"/>
  <c r="B13" i="8"/>
  <c r="O12" i="8"/>
  <c r="D12" i="8"/>
  <c r="B12" i="8"/>
  <c r="H12" i="8" s="1"/>
  <c r="O11" i="8"/>
  <c r="D11" i="8"/>
  <c r="B11" i="8"/>
  <c r="H11" i="8" s="1"/>
  <c r="O10" i="8"/>
  <c r="H10" i="8"/>
  <c r="D10" i="8"/>
  <c r="B10" i="8"/>
  <c r="O9" i="8"/>
  <c r="E9" i="8"/>
  <c r="E37" i="8" s="1"/>
  <c r="E38" i="8" s="1"/>
  <c r="D9" i="8"/>
  <c r="D37" i="8" s="1"/>
  <c r="D38" i="8" s="1"/>
  <c r="B9" i="8"/>
  <c r="H9" i="8" s="1"/>
  <c r="O8" i="8"/>
  <c r="E8" i="8"/>
  <c r="D8" i="8"/>
  <c r="B8" i="8"/>
  <c r="H8" i="8" s="1"/>
  <c r="P7" i="8"/>
  <c r="P8" i="8" s="1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P36" i="8" s="1"/>
  <c r="O7" i="8"/>
  <c r="H7" i="8"/>
  <c r="D7" i="8"/>
  <c r="B7" i="8"/>
  <c r="O6" i="8"/>
  <c r="D6" i="8"/>
  <c r="B6" i="8"/>
  <c r="B37" i="8" s="1"/>
  <c r="B38" i="8" s="1"/>
  <c r="H6" i="8" l="1"/>
  <c r="H37" i="8" s="1"/>
  <c r="H38" i="8" s="1"/>
  <c r="O37" i="7" l="1"/>
  <c r="O37" i="6"/>
  <c r="O37" i="4"/>
  <c r="O37" i="3"/>
  <c r="O37" i="2"/>
  <c r="J37" i="1" l="1"/>
  <c r="I37" i="1"/>
  <c r="D37" i="1"/>
  <c r="D38" i="1" s="1"/>
  <c r="C37" i="1"/>
  <c r="O36" i="1"/>
  <c r="B36" i="1"/>
  <c r="H36" i="1" s="1"/>
  <c r="O35" i="1"/>
  <c r="B35" i="1"/>
  <c r="H35" i="1" s="1"/>
  <c r="O34" i="1"/>
  <c r="B34" i="1"/>
  <c r="H34" i="1" s="1"/>
  <c r="O33" i="1"/>
  <c r="B33" i="1"/>
  <c r="H33" i="1" s="1"/>
  <c r="O32" i="1"/>
  <c r="H32" i="1"/>
  <c r="O31" i="1"/>
  <c r="B31" i="1"/>
  <c r="H31" i="1" s="1"/>
  <c r="O30" i="1"/>
  <c r="B30" i="1"/>
  <c r="H30" i="1" s="1"/>
  <c r="O29" i="1"/>
  <c r="B29" i="1"/>
  <c r="H29" i="1" s="1"/>
  <c r="O28" i="1"/>
  <c r="B28" i="1"/>
  <c r="H28" i="1" s="1"/>
  <c r="O27" i="1"/>
  <c r="B27" i="1"/>
  <c r="H27" i="1" s="1"/>
  <c r="O26" i="1"/>
  <c r="B26" i="1"/>
  <c r="H26" i="1" s="1"/>
  <c r="O25" i="1"/>
  <c r="B25" i="1"/>
  <c r="H25" i="1" s="1"/>
  <c r="O24" i="1"/>
  <c r="B24" i="1"/>
  <c r="H24" i="1" s="1"/>
  <c r="O23" i="1"/>
  <c r="B23" i="1"/>
  <c r="H23" i="1" s="1"/>
  <c r="O22" i="1"/>
  <c r="B22" i="1"/>
  <c r="H22" i="1" s="1"/>
  <c r="O21" i="1"/>
  <c r="B21" i="1"/>
  <c r="H21" i="1" s="1"/>
  <c r="G37" i="1"/>
  <c r="G38" i="1" s="1"/>
  <c r="F37" i="1"/>
  <c r="F38" i="1" s="1"/>
  <c r="E37" i="1"/>
  <c r="E38" i="1" s="1"/>
  <c r="O20" i="1"/>
  <c r="B20" i="1"/>
  <c r="H20" i="1" s="1"/>
  <c r="O19" i="1"/>
  <c r="B19" i="1"/>
  <c r="H19" i="1" s="1"/>
  <c r="O18" i="1"/>
  <c r="H18" i="1"/>
  <c r="B18" i="1"/>
  <c r="O17" i="1"/>
  <c r="B17" i="1"/>
  <c r="H17" i="1" s="1"/>
  <c r="O16" i="1"/>
  <c r="B16" i="1"/>
  <c r="H16" i="1" s="1"/>
  <c r="O15" i="1"/>
  <c r="B15" i="1"/>
  <c r="H15" i="1" s="1"/>
  <c r="O14" i="1"/>
  <c r="B14" i="1"/>
  <c r="H14" i="1" s="1"/>
  <c r="O13" i="1"/>
  <c r="B13" i="1"/>
  <c r="H13" i="1" s="1"/>
  <c r="O12" i="1"/>
  <c r="B12" i="1"/>
  <c r="H12" i="1" s="1"/>
  <c r="O11" i="1"/>
  <c r="B11" i="1"/>
  <c r="H11" i="1" s="1"/>
  <c r="O10" i="1"/>
  <c r="B10" i="1"/>
  <c r="H10" i="1" s="1"/>
  <c r="O9" i="1"/>
  <c r="B9" i="1"/>
  <c r="H9" i="1" s="1"/>
  <c r="O8" i="1"/>
  <c r="H8" i="1"/>
  <c r="B8" i="1"/>
  <c r="P7" i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O7" i="1"/>
  <c r="B7" i="1"/>
  <c r="H7" i="1" s="1"/>
  <c r="O6" i="1"/>
  <c r="H6" i="1"/>
  <c r="B37" i="1" l="1"/>
  <c r="B38" i="1" s="1"/>
  <c r="H37" i="1"/>
  <c r="H38" i="1" s="1"/>
  <c r="O37" i="5" l="1"/>
  <c r="F38" i="3"/>
  <c r="N37" i="3"/>
  <c r="M37" i="3"/>
  <c r="L37" i="3"/>
  <c r="I37" i="3"/>
  <c r="G37" i="3"/>
  <c r="G38" i="3" s="1"/>
  <c r="F37" i="3"/>
  <c r="E37" i="3"/>
  <c r="E38" i="3" s="1"/>
  <c r="D37" i="3"/>
  <c r="D38" i="3" s="1"/>
  <c r="C37" i="3"/>
  <c r="O36" i="3"/>
  <c r="B36" i="3"/>
  <c r="H36" i="3" s="1"/>
  <c r="O35" i="3"/>
  <c r="B35" i="3"/>
  <c r="H35" i="3" s="1"/>
  <c r="O34" i="3"/>
  <c r="H34" i="3"/>
  <c r="B34" i="3"/>
  <c r="O33" i="3"/>
  <c r="B33" i="3"/>
  <c r="H33" i="3" s="1"/>
  <c r="O32" i="3"/>
  <c r="H32" i="3"/>
  <c r="B32" i="3"/>
  <c r="O31" i="3"/>
  <c r="B31" i="3"/>
  <c r="H31" i="3" s="1"/>
  <c r="O30" i="3"/>
  <c r="H30" i="3"/>
  <c r="B30" i="3"/>
  <c r="O29" i="3"/>
  <c r="B29" i="3"/>
  <c r="H29" i="3" s="1"/>
  <c r="O28" i="3"/>
  <c r="H28" i="3"/>
  <c r="B28" i="3"/>
  <c r="O27" i="3"/>
  <c r="B27" i="3"/>
  <c r="H27" i="3" s="1"/>
  <c r="O26" i="3"/>
  <c r="H26" i="3"/>
  <c r="B26" i="3"/>
  <c r="O25" i="3"/>
  <c r="B25" i="3"/>
  <c r="H25" i="3" s="1"/>
  <c r="O24" i="3"/>
  <c r="H24" i="3"/>
  <c r="B24" i="3"/>
  <c r="O23" i="3"/>
  <c r="B23" i="3"/>
  <c r="H23" i="3" s="1"/>
  <c r="O22" i="3"/>
  <c r="H22" i="3"/>
  <c r="B22" i="3"/>
  <c r="O21" i="3"/>
  <c r="B21" i="3"/>
  <c r="H21" i="3" s="1"/>
  <c r="O20" i="3"/>
  <c r="H20" i="3"/>
  <c r="B20" i="3"/>
  <c r="O19" i="3"/>
  <c r="B19" i="3"/>
  <c r="H19" i="3" s="1"/>
  <c r="O18" i="3"/>
  <c r="H18" i="3"/>
  <c r="B18" i="3"/>
  <c r="O17" i="3"/>
  <c r="H17" i="3"/>
  <c r="O16" i="3"/>
  <c r="H16" i="3"/>
  <c r="B16" i="3"/>
  <c r="O15" i="3"/>
  <c r="B15" i="3"/>
  <c r="H15" i="3" s="1"/>
  <c r="O14" i="3"/>
  <c r="H14" i="3"/>
  <c r="B14" i="3"/>
  <c r="O13" i="3"/>
  <c r="B13" i="3"/>
  <c r="H13" i="3" s="1"/>
  <c r="O12" i="3"/>
  <c r="H12" i="3"/>
  <c r="B12" i="3"/>
  <c r="O11" i="3"/>
  <c r="E11" i="3"/>
  <c r="B11" i="3"/>
  <c r="H11" i="3" s="1"/>
  <c r="O10" i="3"/>
  <c r="H10" i="3"/>
  <c r="B10" i="3"/>
  <c r="O9" i="3"/>
  <c r="B9" i="3"/>
  <c r="H9" i="3" s="1"/>
  <c r="O8" i="3"/>
  <c r="H8" i="3"/>
  <c r="B8" i="3"/>
  <c r="P7" i="3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O7" i="3"/>
  <c r="H7" i="3"/>
  <c r="O6" i="3"/>
  <c r="B6" i="3"/>
  <c r="B37" i="3" s="1"/>
  <c r="B38" i="3" s="1"/>
  <c r="H6" i="3" l="1"/>
  <c r="H37" i="3" s="1"/>
  <c r="H38" i="3" s="1"/>
</calcChain>
</file>

<file path=xl/sharedStrings.xml><?xml version="1.0" encoding="utf-8"?>
<sst xmlns="http://schemas.openxmlformats.org/spreadsheetml/2006/main" count="359" uniqueCount="37">
  <si>
    <t>ENERO 2015</t>
  </si>
  <si>
    <t xml:space="preserve">FECHA </t>
  </si>
  <si>
    <t>AUTOMOVILES, CAMPEROS Y CAMIONETAS.</t>
  </si>
  <si>
    <t>BUSES, BUSETAS, CAMIONES PEQUEÑOS Y GRANDES DE 2 EJES</t>
  </si>
  <si>
    <t>CAMIONES DE 3 Y 4 EJES</t>
  </si>
  <si>
    <t>CAMIONES DE 5 EJES</t>
  </si>
  <si>
    <t>CAMIONES DE 6 O MAS EJES</t>
  </si>
  <si>
    <t>TOTALES</t>
  </si>
  <si>
    <t>EVASORES</t>
  </si>
  <si>
    <t>EJE ADICIONAL</t>
  </si>
  <si>
    <t>EJE REMOLQUE</t>
  </si>
  <si>
    <t>EJE GRUA</t>
  </si>
  <si>
    <t>TOTAL EJES</t>
  </si>
  <si>
    <t>I</t>
  </si>
  <si>
    <t>IE</t>
  </si>
  <si>
    <t>II</t>
  </si>
  <si>
    <t>III</t>
  </si>
  <si>
    <t>IV</t>
  </si>
  <si>
    <t>V</t>
  </si>
  <si>
    <t>TOTAL</t>
  </si>
  <si>
    <t xml:space="preserve">  </t>
  </si>
  <si>
    <t xml:space="preserve"> </t>
  </si>
  <si>
    <t>NOTA (1):  EL TRAFICO ASOCIADO A ESTOS EJES , SE ENCUENTRA INCLUIDO DENTRO DEL TRAFICO DEL PEAJE DE CAIQUERO</t>
  </si>
  <si>
    <t>CONCESIÓN SABANA DE OCCIDENTE S.A.S.</t>
  </si>
  <si>
    <t xml:space="preserve">TRÁFICO POR CATEGORÍAS, ESTACIÓN DE PEAJE CAIQUERO </t>
  </si>
  <si>
    <t>FEBRERO 2015</t>
  </si>
  <si>
    <t>MARZO 2015</t>
  </si>
  <si>
    <t>ABRIL 2015</t>
  </si>
  <si>
    <t>MAYO 2015</t>
  </si>
  <si>
    <t xml:space="preserve">TOTAL </t>
  </si>
  <si>
    <t>JUNIO 2015</t>
  </si>
  <si>
    <t>JULIO 2015</t>
  </si>
  <si>
    <t>AGOSTO 2015</t>
  </si>
  <si>
    <t>SEPTIEMBRE 2015</t>
  </si>
  <si>
    <t>OCTUBRE 2015</t>
  </si>
  <si>
    <t>NOVIEMBRE 2015</t>
  </si>
  <si>
    <t>DICIEMBRE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</si>
</sst>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&quot;N$&quot;* #,##0.00_);_(&quot;N$&quot;* \(#,##0.00\);_(&quot;N$&quot;* &quot;-&quot;??_);_(@_)"/>
    <numFmt numFmtId="165" formatCode="_(* #,##0_);_(* \(#,##0\);_(* &quot;-&quot;??_);_(@_)"/>
    <numFmt numFmtId="166" formatCode="_([$$-240A]\ * #,##0_);_([$$-240A]\ * \(#,##0\);_([$$-240A]\ * &quot;-&quot;??_);_(@_)"/>
    <numFmt numFmtId="167" formatCode="_ [$$-240A]\ * #,##0_ ;_ [$$-240A]\ * \-#,##0_ ;_ [$$-240A]\ * &quot;-&quot;_ ;_ @_ "/>
    <numFmt numFmtId="168" formatCode="#,##0_ ;\-#,##0\ 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sz val="11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15">
    <xf numFmtId="0" fontId="0" fillId="0" borderId="0"/>
    <xf numFmtId="166" fontId="1" fillId="0" borderId="0">
      <alignment vertical="top"/>
    </xf>
    <xf numFmtId="166" fontId="1" fillId="0" borderId="0"/>
    <xf numFmtId="166" fontId="1" fillId="0" borderId="0"/>
    <xf numFmtId="166" fontId="2" fillId="0" borderId="0">
      <alignment vertical="top"/>
    </xf>
    <xf numFmtId="166" fontId="3" fillId="0" borderId="0"/>
    <xf numFmtId="166" fontId="3" fillId="0" borderId="0"/>
    <xf numFmtId="166" fontId="2" fillId="0" borderId="0">
      <alignment vertical="top"/>
    </xf>
    <xf numFmtId="166" fontId="2" fillId="0" borderId="0">
      <alignment vertical="top"/>
    </xf>
    <xf numFmtId="166" fontId="2" fillId="0" borderId="0">
      <alignment vertical="top"/>
    </xf>
    <xf numFmtId="166" fontId="2" fillId="0" borderId="0">
      <alignment vertical="top"/>
    </xf>
    <xf numFmtId="166" fontId="1" fillId="0" borderId="0"/>
    <xf numFmtId="166" fontId="3" fillId="2" borderId="0" applyNumberFormat="0" applyBorder="0" applyAlignment="0" applyProtection="0"/>
    <xf numFmtId="166" fontId="3" fillId="3" borderId="0" applyNumberFormat="0" applyBorder="0" applyAlignment="0" applyProtection="0"/>
    <xf numFmtId="166" fontId="3" fillId="4" borderId="0" applyNumberFormat="0" applyBorder="0" applyAlignment="0" applyProtection="0"/>
    <xf numFmtId="166" fontId="3" fillId="5" borderId="0" applyNumberFormat="0" applyBorder="0" applyAlignment="0" applyProtection="0"/>
    <xf numFmtId="166" fontId="3" fillId="6" borderId="0" applyNumberFormat="0" applyBorder="0" applyAlignment="0" applyProtection="0"/>
    <xf numFmtId="166" fontId="3" fillId="7" borderId="0" applyNumberFormat="0" applyBorder="0" applyAlignment="0" applyProtection="0"/>
    <xf numFmtId="166" fontId="3" fillId="8" borderId="0" applyNumberFormat="0" applyBorder="0" applyAlignment="0" applyProtection="0"/>
    <xf numFmtId="166" fontId="3" fillId="9" borderId="0" applyNumberFormat="0" applyBorder="0" applyAlignment="0" applyProtection="0"/>
    <xf numFmtId="166" fontId="3" fillId="10" borderId="0" applyNumberFormat="0" applyBorder="0" applyAlignment="0" applyProtection="0"/>
    <xf numFmtId="166" fontId="3" fillId="5" borderId="0" applyNumberFormat="0" applyBorder="0" applyAlignment="0" applyProtection="0"/>
    <xf numFmtId="166" fontId="3" fillId="8" borderId="0" applyNumberFormat="0" applyBorder="0" applyAlignment="0" applyProtection="0"/>
    <xf numFmtId="166" fontId="3" fillId="11" borderId="0" applyNumberFormat="0" applyBorder="0" applyAlignment="0" applyProtection="0"/>
    <xf numFmtId="166" fontId="4" fillId="12" borderId="0" applyNumberFormat="0" applyBorder="0" applyAlignment="0" applyProtection="0"/>
    <xf numFmtId="166" fontId="4" fillId="9" borderId="0" applyNumberFormat="0" applyBorder="0" applyAlignment="0" applyProtection="0"/>
    <xf numFmtId="166" fontId="4" fillId="10" borderId="0" applyNumberFormat="0" applyBorder="0" applyAlignment="0" applyProtection="0"/>
    <xf numFmtId="166" fontId="4" fillId="13" borderId="0" applyNumberFormat="0" applyBorder="0" applyAlignment="0" applyProtection="0"/>
    <xf numFmtId="166" fontId="4" fillId="14" borderId="0" applyNumberFormat="0" applyBorder="0" applyAlignment="0" applyProtection="0"/>
    <xf numFmtId="166" fontId="4" fillId="15" borderId="0" applyNumberFormat="0" applyBorder="0" applyAlignment="0" applyProtection="0"/>
    <xf numFmtId="166" fontId="5" fillId="4" borderId="0" applyNumberFormat="0" applyBorder="0" applyAlignment="0" applyProtection="0"/>
    <xf numFmtId="166" fontId="6" fillId="7" borderId="1" applyNumberFormat="0" applyAlignment="0" applyProtection="0"/>
    <xf numFmtId="166" fontId="7" fillId="16" borderId="2" applyNumberFormat="0" applyAlignment="0" applyProtection="0"/>
    <xf numFmtId="166" fontId="8" fillId="0" borderId="3" applyNumberFormat="0" applyFill="0" applyAlignment="0" applyProtection="0"/>
    <xf numFmtId="166" fontId="9" fillId="0" borderId="0" applyNumberFormat="0" applyFill="0" applyBorder="0" applyAlignment="0" applyProtection="0"/>
    <xf numFmtId="166" fontId="4" fillId="17" borderId="0" applyNumberFormat="0" applyBorder="0" applyAlignment="0" applyProtection="0"/>
    <xf numFmtId="166" fontId="4" fillId="18" borderId="0" applyNumberFormat="0" applyBorder="0" applyAlignment="0" applyProtection="0"/>
    <xf numFmtId="166" fontId="4" fillId="19" borderId="0" applyNumberFormat="0" applyBorder="0" applyAlignment="0" applyProtection="0"/>
    <xf numFmtId="166" fontId="4" fillId="13" borderId="0" applyNumberFormat="0" applyBorder="0" applyAlignment="0" applyProtection="0"/>
    <xf numFmtId="166" fontId="4" fillId="14" borderId="0" applyNumberFormat="0" applyBorder="0" applyAlignment="0" applyProtection="0"/>
    <xf numFmtId="166" fontId="4" fillId="20" borderId="0" applyNumberFormat="0" applyBorder="0" applyAlignment="0" applyProtection="0"/>
    <xf numFmtId="166" fontId="10" fillId="7" borderId="1" applyNumberFormat="0" applyAlignment="0" applyProtection="0"/>
    <xf numFmtId="166" fontId="1" fillId="0" borderId="0" applyFont="0" applyFill="0" applyBorder="0" applyAlignment="0" applyProtection="0"/>
    <xf numFmtId="166" fontId="11" fillId="3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2" fillId="21" borderId="0" applyNumberFormat="0" applyBorder="0" applyAlignment="0" applyProtection="0"/>
    <xf numFmtId="166" fontId="3" fillId="22" borderId="4" applyNumberFormat="0" applyFont="0" applyAlignment="0" applyProtection="0"/>
    <xf numFmtId="9" fontId="1" fillId="0" borderId="0" applyFont="0" applyFill="0" applyBorder="0" applyAlignment="0" applyProtection="0"/>
    <xf numFmtId="166" fontId="13" fillId="7" borderId="5" applyNumberFormat="0" applyAlignment="0" applyProtection="0"/>
    <xf numFmtId="166" fontId="14" fillId="0" borderId="0" applyNumberFormat="0" applyFill="0" applyBorder="0" applyAlignment="0" applyProtection="0"/>
    <xf numFmtId="166" fontId="15" fillId="0" borderId="0" applyNumberFormat="0" applyFill="0" applyBorder="0" applyAlignment="0" applyProtection="0"/>
    <xf numFmtId="166" fontId="16" fillId="0" borderId="0" applyNumberFormat="0" applyFill="0" applyBorder="0" applyAlignment="0" applyProtection="0"/>
    <xf numFmtId="166" fontId="17" fillId="0" borderId="6" applyNumberFormat="0" applyFill="0" applyAlignment="0" applyProtection="0"/>
    <xf numFmtId="166" fontId="18" fillId="0" borderId="7" applyNumberFormat="0" applyFill="0" applyAlignment="0" applyProtection="0"/>
    <xf numFmtId="166" fontId="9" fillId="0" borderId="8" applyNumberFormat="0" applyFill="0" applyAlignment="0" applyProtection="0"/>
    <xf numFmtId="166" fontId="19" fillId="0" borderId="9" applyNumberFormat="0" applyFill="0" applyAlignment="0" applyProtection="0"/>
    <xf numFmtId="167" fontId="1" fillId="0" borderId="0">
      <alignment vertical="top"/>
    </xf>
    <xf numFmtId="167" fontId="1" fillId="0" borderId="0"/>
    <xf numFmtId="167" fontId="1" fillId="0" borderId="0"/>
    <xf numFmtId="167" fontId="2" fillId="0" borderId="0">
      <alignment vertical="top"/>
    </xf>
    <xf numFmtId="167" fontId="3" fillId="0" borderId="0"/>
    <xf numFmtId="167" fontId="3" fillId="0" borderId="0"/>
    <xf numFmtId="167" fontId="2" fillId="0" borderId="0">
      <alignment vertical="top"/>
    </xf>
    <xf numFmtId="167" fontId="2" fillId="0" borderId="0">
      <alignment vertical="top"/>
    </xf>
    <xf numFmtId="167" fontId="2" fillId="0" borderId="0">
      <alignment vertical="top"/>
    </xf>
    <xf numFmtId="167" fontId="2" fillId="0" borderId="0">
      <alignment vertical="top"/>
    </xf>
    <xf numFmtId="167" fontId="1" fillId="0" borderId="0"/>
    <xf numFmtId="167" fontId="3" fillId="2" borderId="0" applyNumberFormat="0" applyBorder="0" applyAlignment="0" applyProtection="0"/>
    <xf numFmtId="167" fontId="3" fillId="3" borderId="0" applyNumberFormat="0" applyBorder="0" applyAlignment="0" applyProtection="0"/>
    <xf numFmtId="167" fontId="3" fillId="4" borderId="0" applyNumberFormat="0" applyBorder="0" applyAlignment="0" applyProtection="0"/>
    <xf numFmtId="167" fontId="3" fillId="5" borderId="0" applyNumberFormat="0" applyBorder="0" applyAlignment="0" applyProtection="0"/>
    <xf numFmtId="167" fontId="3" fillId="6" borderId="0" applyNumberFormat="0" applyBorder="0" applyAlignment="0" applyProtection="0"/>
    <xf numFmtId="167" fontId="3" fillId="7" borderId="0" applyNumberFormat="0" applyBorder="0" applyAlignment="0" applyProtection="0"/>
    <xf numFmtId="167" fontId="3" fillId="8" borderId="0" applyNumberFormat="0" applyBorder="0" applyAlignment="0" applyProtection="0"/>
    <xf numFmtId="167" fontId="3" fillId="9" borderId="0" applyNumberFormat="0" applyBorder="0" applyAlignment="0" applyProtection="0"/>
    <xf numFmtId="167" fontId="3" fillId="10" borderId="0" applyNumberFormat="0" applyBorder="0" applyAlignment="0" applyProtection="0"/>
    <xf numFmtId="167" fontId="3" fillId="5" borderId="0" applyNumberFormat="0" applyBorder="0" applyAlignment="0" applyProtection="0"/>
    <xf numFmtId="167" fontId="3" fillId="8" borderId="0" applyNumberFormat="0" applyBorder="0" applyAlignment="0" applyProtection="0"/>
    <xf numFmtId="167" fontId="3" fillId="11" borderId="0" applyNumberFormat="0" applyBorder="0" applyAlignment="0" applyProtection="0"/>
    <xf numFmtId="167" fontId="4" fillId="12" borderId="0" applyNumberFormat="0" applyBorder="0" applyAlignment="0" applyProtection="0"/>
    <xf numFmtId="167" fontId="4" fillId="9" borderId="0" applyNumberFormat="0" applyBorder="0" applyAlignment="0" applyProtection="0"/>
    <xf numFmtId="167" fontId="4" fillId="10" borderId="0" applyNumberFormat="0" applyBorder="0" applyAlignment="0" applyProtection="0"/>
    <xf numFmtId="167" fontId="4" fillId="13" borderId="0" applyNumberFormat="0" applyBorder="0" applyAlignment="0" applyProtection="0"/>
    <xf numFmtId="167" fontId="4" fillId="14" borderId="0" applyNumberFormat="0" applyBorder="0" applyAlignment="0" applyProtection="0"/>
    <xf numFmtId="167" fontId="4" fillId="15" borderId="0" applyNumberFormat="0" applyBorder="0" applyAlignment="0" applyProtection="0"/>
    <xf numFmtId="167" fontId="5" fillId="4" borderId="0" applyNumberFormat="0" applyBorder="0" applyAlignment="0" applyProtection="0"/>
    <xf numFmtId="167" fontId="6" fillId="7" borderId="1" applyNumberFormat="0" applyAlignment="0" applyProtection="0"/>
    <xf numFmtId="167" fontId="7" fillId="16" borderId="2" applyNumberFormat="0" applyAlignment="0" applyProtection="0"/>
    <xf numFmtId="167" fontId="8" fillId="0" borderId="3" applyNumberFormat="0" applyFill="0" applyAlignment="0" applyProtection="0"/>
    <xf numFmtId="167" fontId="9" fillId="0" borderId="0" applyNumberFormat="0" applyFill="0" applyBorder="0" applyAlignment="0" applyProtection="0"/>
    <xf numFmtId="167" fontId="4" fillId="17" borderId="0" applyNumberFormat="0" applyBorder="0" applyAlignment="0" applyProtection="0"/>
    <xf numFmtId="167" fontId="4" fillId="18" borderId="0" applyNumberFormat="0" applyBorder="0" applyAlignment="0" applyProtection="0"/>
    <xf numFmtId="167" fontId="4" fillId="19" borderId="0" applyNumberFormat="0" applyBorder="0" applyAlignment="0" applyProtection="0"/>
    <xf numFmtId="167" fontId="4" fillId="13" borderId="0" applyNumberFormat="0" applyBorder="0" applyAlignment="0" applyProtection="0"/>
    <xf numFmtId="167" fontId="4" fillId="14" borderId="0" applyNumberFormat="0" applyBorder="0" applyAlignment="0" applyProtection="0"/>
    <xf numFmtId="167" fontId="4" fillId="20" borderId="0" applyNumberFormat="0" applyBorder="0" applyAlignment="0" applyProtection="0"/>
    <xf numFmtId="167" fontId="10" fillId="7" borderId="1" applyNumberFormat="0" applyAlignment="0" applyProtection="0"/>
    <xf numFmtId="167" fontId="1" fillId="0" borderId="0" applyFont="0" applyFill="0" applyBorder="0" applyAlignment="0" applyProtection="0"/>
    <xf numFmtId="167" fontId="11" fillId="3" borderId="0" applyNumberFormat="0" applyBorder="0" applyAlignment="0" applyProtection="0"/>
    <xf numFmtId="43" fontId="1" fillId="0" borderId="0" applyFont="0" applyFill="0" applyBorder="0" applyAlignment="0" applyProtection="0"/>
    <xf numFmtId="167" fontId="12" fillId="21" borderId="0" applyNumberFormat="0" applyBorder="0" applyAlignment="0" applyProtection="0"/>
    <xf numFmtId="167" fontId="3" fillId="22" borderId="4" applyNumberFormat="0" applyFont="0" applyAlignment="0" applyProtection="0"/>
    <xf numFmtId="167" fontId="13" fillId="7" borderId="5" applyNumberFormat="0" applyAlignment="0" applyProtection="0"/>
    <xf numFmtId="167" fontId="14" fillId="0" borderId="0" applyNumberFormat="0" applyFill="0" applyBorder="0" applyAlignment="0" applyProtection="0"/>
    <xf numFmtId="167" fontId="15" fillId="0" borderId="0" applyNumberFormat="0" applyFill="0" applyBorder="0" applyAlignment="0" applyProtection="0"/>
    <xf numFmtId="167" fontId="16" fillId="0" borderId="0" applyNumberFormat="0" applyFill="0" applyBorder="0" applyAlignment="0" applyProtection="0"/>
    <xf numFmtId="167" fontId="17" fillId="0" borderId="6" applyNumberFormat="0" applyFill="0" applyAlignment="0" applyProtection="0"/>
    <xf numFmtId="167" fontId="18" fillId="0" borderId="7" applyNumberFormat="0" applyFill="0" applyAlignment="0" applyProtection="0"/>
    <xf numFmtId="167" fontId="9" fillId="0" borderId="8" applyNumberFormat="0" applyFill="0" applyAlignment="0" applyProtection="0"/>
    <xf numFmtId="167" fontId="19" fillId="0" borderId="9" applyNumberFormat="0" applyFill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2">
    <xf numFmtId="0" fontId="0" fillId="0" borderId="0" xfId="0"/>
    <xf numFmtId="166" fontId="22" fillId="0" borderId="0" xfId="45" applyNumberFormat="1" applyFont="1" applyFill="1" applyProtection="1"/>
    <xf numFmtId="166" fontId="21" fillId="0" borderId="10" xfId="1" applyFont="1" applyBorder="1" applyAlignment="1">
      <alignment horizontal="center" vertical="center" wrapText="1"/>
    </xf>
    <xf numFmtId="3" fontId="21" fillId="0" borderId="10" xfId="1" applyNumberFormat="1" applyFont="1" applyBorder="1" applyAlignment="1">
      <alignment horizontal="center" vertical="center"/>
    </xf>
    <xf numFmtId="166" fontId="21" fillId="0" borderId="10" xfId="1" applyFont="1" applyBorder="1" applyAlignment="1">
      <alignment horizontal="center" vertical="center"/>
    </xf>
    <xf numFmtId="3" fontId="21" fillId="24" borderId="10" xfId="1" applyNumberFormat="1" applyFont="1" applyFill="1" applyBorder="1" applyAlignment="1">
      <alignment horizontal="center" vertical="center"/>
    </xf>
    <xf numFmtId="165" fontId="22" fillId="0" borderId="12" xfId="112" applyNumberFormat="1" applyFont="1" applyFill="1" applyBorder="1" applyAlignment="1" applyProtection="1"/>
    <xf numFmtId="3" fontId="21" fillId="0" borderId="0" xfId="0" applyNumberFormat="1" applyFont="1" applyAlignment="1">
      <alignment horizontal="center" vertical="center"/>
    </xf>
    <xf numFmtId="3" fontId="21" fillId="24" borderId="10" xfId="0" applyNumberFormat="1" applyFont="1" applyFill="1" applyBorder="1" applyAlignment="1">
      <alignment horizontal="center" vertical="center"/>
    </xf>
    <xf numFmtId="3" fontId="21" fillId="0" borderId="0" xfId="0" applyNumberFormat="1" applyFont="1"/>
    <xf numFmtId="0" fontId="22" fillId="0" borderId="0" xfId="0" applyFont="1" applyAlignment="1">
      <alignment horizontal="right"/>
    </xf>
    <xf numFmtId="3" fontId="22" fillId="0" borderId="0" xfId="0" applyNumberFormat="1" applyFont="1" applyAlignment="1">
      <alignment horizontal="righ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3" fontId="21" fillId="0" borderId="10" xfId="0" applyNumberFormat="1" applyFont="1" applyBorder="1" applyAlignment="1">
      <alignment horizontal="center" vertical="center"/>
    </xf>
    <xf numFmtId="0" fontId="22" fillId="23" borderId="0" xfId="0" applyFont="1" applyFill="1"/>
    <xf numFmtId="165" fontId="22" fillId="23" borderId="12" xfId="112" applyNumberFormat="1" applyFont="1" applyFill="1" applyBorder="1" applyAlignment="1" applyProtection="1"/>
    <xf numFmtId="37" fontId="22" fillId="0" borderId="0" xfId="112" applyNumberFormat="1" applyFont="1" applyFill="1" applyBorder="1" applyAlignment="1" applyProtection="1">
      <alignment horizontal="center" vertical="center"/>
    </xf>
    <xf numFmtId="37" fontId="22" fillId="0" borderId="0" xfId="112" applyNumberFormat="1" applyFont="1" applyFill="1" applyBorder="1" applyAlignment="1" applyProtection="1">
      <alignment horizontal="center" vertical="center" wrapText="1"/>
    </xf>
    <xf numFmtId="37" fontId="21" fillId="0" borderId="10" xfId="112" applyNumberFormat="1" applyFont="1" applyFill="1" applyBorder="1" applyAlignment="1" applyProtection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2" fillId="0" borderId="0" xfId="0" applyFont="1"/>
    <xf numFmtId="0" fontId="21" fillId="0" borderId="0" xfId="0" applyFont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3" fillId="0" borderId="0" xfId="0" applyFont="1"/>
    <xf numFmtId="168" fontId="22" fillId="0" borderId="10" xfId="112" applyNumberFormat="1" applyFont="1" applyFill="1" applyBorder="1" applyAlignment="1" applyProtection="1">
      <alignment horizontal="center" vertical="center"/>
    </xf>
    <xf numFmtId="3" fontId="21" fillId="0" borderId="14" xfId="0" applyNumberFormat="1" applyFont="1" applyBorder="1" applyAlignment="1">
      <alignment horizontal="center" vertical="center"/>
    </xf>
    <xf numFmtId="17" fontId="22" fillId="0" borderId="0" xfId="0" applyNumberFormat="1" applyFont="1"/>
    <xf numFmtId="0" fontId="21" fillId="0" borderId="0" xfId="0" applyFont="1" applyAlignment="1">
      <alignment horizontal="left"/>
    </xf>
    <xf numFmtId="0" fontId="21" fillId="0" borderId="0" xfId="0" applyFont="1"/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3" fontId="22" fillId="0" borderId="0" xfId="0" applyNumberFormat="1" applyFont="1"/>
    <xf numFmtId="37" fontId="22" fillId="0" borderId="10" xfId="112" applyNumberFormat="1" applyFont="1" applyFill="1" applyBorder="1" applyAlignment="1" applyProtection="1">
      <alignment horizontal="center" vertical="center"/>
    </xf>
    <xf numFmtId="3" fontId="21" fillId="0" borderId="13" xfId="1" applyNumberFormat="1" applyFont="1" applyBorder="1" applyAlignment="1">
      <alignment horizontal="center" vertical="center"/>
    </xf>
    <xf numFmtId="166" fontId="21" fillId="0" borderId="0" xfId="1" applyFont="1" applyAlignment="1">
      <alignment horizontal="center" vertical="center"/>
    </xf>
    <xf numFmtId="166" fontId="1" fillId="0" borderId="0" xfId="1" applyAlignment="1"/>
    <xf numFmtId="166" fontId="21" fillId="0" borderId="0" xfId="1" applyFont="1" applyAlignment="1">
      <alignment horizontal="center" vertical="center" wrapText="1"/>
    </xf>
    <xf numFmtId="37" fontId="21" fillId="0" borderId="10" xfId="101" applyNumberFormat="1" applyFont="1" applyFill="1" applyBorder="1" applyAlignment="1" applyProtection="1">
      <alignment horizontal="center" vertical="center"/>
    </xf>
    <xf numFmtId="37" fontId="22" fillId="0" borderId="10" xfId="101" applyNumberFormat="1" applyFont="1" applyFill="1" applyBorder="1" applyAlignment="1" applyProtection="1">
      <alignment horizontal="center" vertical="center"/>
    </xf>
    <xf numFmtId="37" fontId="22" fillId="0" borderId="0" xfId="101" applyNumberFormat="1" applyFont="1" applyFill="1" applyBorder="1" applyAlignment="1" applyProtection="1">
      <alignment horizontal="center" vertical="center" wrapText="1"/>
    </xf>
    <xf numFmtId="37" fontId="22" fillId="0" borderId="0" xfId="101" applyNumberFormat="1" applyFont="1" applyFill="1" applyBorder="1" applyAlignment="1" applyProtection="1">
      <alignment horizontal="center" vertical="center"/>
    </xf>
    <xf numFmtId="166" fontId="22" fillId="0" borderId="0" xfId="1" applyFont="1" applyAlignment="1">
      <alignment horizontal="center" vertical="center"/>
    </xf>
    <xf numFmtId="166" fontId="21" fillId="0" borderId="0" xfId="1" applyFont="1" applyAlignment="1">
      <alignment horizontal="left" vertical="center"/>
    </xf>
    <xf numFmtId="3" fontId="22" fillId="0" borderId="0" xfId="1" applyNumberFormat="1" applyFont="1" applyAlignment="1"/>
    <xf numFmtId="166" fontId="21" fillId="0" borderId="0" xfId="1" applyFont="1" applyAlignment="1">
      <alignment horizontal="center"/>
    </xf>
    <xf numFmtId="166" fontId="23" fillId="0" borderId="0" xfId="1" applyFont="1" applyAlignment="1"/>
    <xf numFmtId="166" fontId="22" fillId="23" borderId="0" xfId="1" applyFont="1" applyFill="1" applyAlignment="1"/>
    <xf numFmtId="3" fontId="22" fillId="0" borderId="0" xfId="1" applyNumberFormat="1" applyFont="1" applyAlignment="1">
      <alignment horizontal="right"/>
    </xf>
    <xf numFmtId="3" fontId="21" fillId="0" borderId="0" xfId="1" applyNumberFormat="1" applyFont="1" applyAlignment="1"/>
    <xf numFmtId="165" fontId="22" fillId="0" borderId="12" xfId="101" applyNumberFormat="1" applyFont="1" applyFill="1" applyBorder="1" applyAlignment="1" applyProtection="1"/>
    <xf numFmtId="165" fontId="22" fillId="23" borderId="12" xfId="101" applyNumberFormat="1" applyFont="1" applyFill="1" applyBorder="1" applyAlignment="1" applyProtection="1"/>
    <xf numFmtId="166" fontId="22" fillId="0" borderId="0" xfId="113" applyNumberFormat="1" applyFont="1" applyFill="1" applyProtection="1"/>
    <xf numFmtId="17" fontId="22" fillId="0" borderId="0" xfId="1" applyNumberFormat="1" applyFont="1" applyAlignment="1"/>
    <xf numFmtId="166" fontId="21" fillId="0" borderId="0" xfId="1" applyFont="1" applyAlignment="1">
      <alignment horizontal="left"/>
    </xf>
    <xf numFmtId="166" fontId="22" fillId="0" borderId="0" xfId="1" applyFont="1" applyAlignment="1">
      <alignment horizontal="right"/>
    </xf>
    <xf numFmtId="10" fontId="22" fillId="0" borderId="0" xfId="49" applyNumberFormat="1" applyFont="1" applyAlignment="1" applyProtection="1">
      <alignment horizontal="right"/>
    </xf>
    <xf numFmtId="10" fontId="21" fillId="0" borderId="0" xfId="49" applyNumberFormat="1" applyFont="1" applyAlignment="1" applyProtection="1">
      <alignment horizontal="right"/>
    </xf>
    <xf numFmtId="168" fontId="22" fillId="0" borderId="10" xfId="101" applyNumberFormat="1" applyFont="1" applyFill="1" applyBorder="1" applyAlignment="1" applyProtection="1">
      <alignment horizontal="center" vertical="center"/>
    </xf>
    <xf numFmtId="3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20" fillId="0" borderId="0" xfId="0" applyNumberFormat="1" applyFont="1" applyAlignment="1">
      <alignment horizontal="center" vertical="center"/>
    </xf>
    <xf numFmtId="166" fontId="21" fillId="0" borderId="13" xfId="1" applyFont="1" applyBorder="1" applyAlignment="1">
      <alignment horizontal="center" vertical="center"/>
    </xf>
    <xf numFmtId="166" fontId="21" fillId="0" borderId="11" xfId="1" applyFont="1" applyBorder="1" applyAlignment="1">
      <alignment horizontal="center" vertical="center"/>
    </xf>
    <xf numFmtId="49" fontId="20" fillId="0" borderId="0" xfId="1" applyNumberFormat="1" applyFont="1" applyAlignment="1">
      <alignment horizontal="center" vertical="center"/>
    </xf>
    <xf numFmtId="166" fontId="21" fillId="0" borderId="10" xfId="1" applyFont="1" applyBorder="1" applyAlignment="1">
      <alignment horizontal="center" vertical="center" wrapText="1"/>
    </xf>
    <xf numFmtId="3" fontId="21" fillId="0" borderId="10" xfId="1" applyNumberFormat="1" applyFont="1" applyBorder="1" applyAlignment="1">
      <alignment horizontal="center" vertical="center"/>
    </xf>
    <xf numFmtId="166" fontId="21" fillId="0" borderId="10" xfId="1" applyFont="1" applyBorder="1" applyAlignment="1">
      <alignment horizontal="center" vertical="center"/>
    </xf>
  </cellXfs>
  <cellStyles count="115">
    <cellStyle name="_ALCATRAZ RESUMEN  CEBRA MAYO DE 2008" xfId="2" xr:uid="{EEA4851B-B4D0-4A73-8C0A-ACBD73778744}"/>
    <cellStyle name="_ALCATRAZ RESUMEN  CEBRA MAYO DE 2008 2" xfId="59" xr:uid="{46DBDCA6-E1E3-4F12-B1DD-A19C60F8D5CF}"/>
    <cellStyle name="_CEBRA_CAIQUERO_MAYO(1)" xfId="3" xr:uid="{7A8F15D6-869D-4727-9AF7-790174799426}"/>
    <cellStyle name="_CEBRA_CAIQUERO_MAYO(1) 2" xfId="60" xr:uid="{DE56F0EC-7B61-4D77-9F22-5BC9F55ED8D6}"/>
    <cellStyle name="_informe servicios mes de mayo" xfId="4" xr:uid="{4603D2F7-FB47-450C-B09A-8D5AD8BCAC64}"/>
    <cellStyle name="_informe servicios mes de mayo 2" xfId="61" xr:uid="{128C3BA3-F683-4A3E-B3D1-75F942551EA3}"/>
    <cellStyle name="_INV" xfId="5" xr:uid="{7FC7DD39-BE5C-4E35-9D01-C601C16033AC}"/>
    <cellStyle name="_INV 2" xfId="62" xr:uid="{5025D963-0094-4B78-96BB-639A9C50B5C6}"/>
    <cellStyle name="_INV MAYO" xfId="6" xr:uid="{F228F734-6156-4B76-A768-ADAC59646BD8}"/>
    <cellStyle name="_INV MAYO 2" xfId="63" xr:uid="{FF8EA0FF-C62A-430D-9A05-6D543A30AFB0}"/>
    <cellStyle name="_INVIAS SERVICIOS UNIDADES" xfId="7" xr:uid="{161909F7-D3B1-45E5-92FC-24373B25302C}"/>
    <cellStyle name="_INVIAS SERVICIOS UNIDADES 2" xfId="64" xr:uid="{87D4BDD4-4493-4821-BD1D-CB50DB37D525}"/>
    <cellStyle name="_SER CT INV" xfId="8" xr:uid="{50F5F6F8-F838-47CB-A517-2AD4E7503335}"/>
    <cellStyle name="_SER CT INV 2" xfId="65" xr:uid="{0150AFC2-4EA5-47F0-BE7E-CACBA6C2DE1E}"/>
    <cellStyle name="_SER GRUA INV" xfId="9" xr:uid="{0475391D-1ECE-4441-A559-FA16457673EB}"/>
    <cellStyle name="_SER GRUA INV 2" xfId="66" xr:uid="{D0FAC701-DC62-4A30-A546-6EF6CCFD2A7A}"/>
    <cellStyle name="_SER. POS" xfId="10" xr:uid="{DED3F0E7-38DD-4400-BE35-68D9C7596F34}"/>
    <cellStyle name="_SER. POS 2" xfId="67" xr:uid="{5C9919EF-E197-482C-9EEC-52A07A0B5FA8}"/>
    <cellStyle name="_servicios de 2007 a 2008" xfId="11" xr:uid="{2B6A70A1-96A6-43D6-98D5-186A3A623718}"/>
    <cellStyle name="_servicios de 2007 a 2008 2" xfId="68" xr:uid="{71CCD109-A282-43A5-850A-96B09459D104}"/>
    <cellStyle name="20% - Énfasis1 2" xfId="69" xr:uid="{7CA114D7-C60A-449A-A2A8-EF70D2EB47CA}"/>
    <cellStyle name="20% - Énfasis1 3" xfId="12" xr:uid="{CD607E39-DDD3-45CC-94FD-ACF3A6BAE325}"/>
    <cellStyle name="20% - Énfasis2 2" xfId="70" xr:uid="{3D9D3249-758B-41D5-81E8-4486F03AC505}"/>
    <cellStyle name="20% - Énfasis2 3" xfId="13" xr:uid="{24CACC1C-8809-4B2D-8A43-038810FACB72}"/>
    <cellStyle name="20% - Énfasis3 2" xfId="71" xr:uid="{1FD62DDB-7864-463F-8285-0FD0ED5C69FC}"/>
    <cellStyle name="20% - Énfasis3 3" xfId="14" xr:uid="{4DE01C62-4657-4283-85B6-9C6837B27787}"/>
    <cellStyle name="20% - Énfasis4 2" xfId="72" xr:uid="{C3BB4B5D-6A18-40B2-96F1-DBDEF96DA974}"/>
    <cellStyle name="20% - Énfasis4 3" xfId="15" xr:uid="{515FC323-F64B-4804-B2B0-BC5F39D8CC6A}"/>
    <cellStyle name="20% - Énfasis5 2" xfId="73" xr:uid="{4170E25C-5F9D-4502-ACFA-E4A708DD3A47}"/>
    <cellStyle name="20% - Énfasis5 3" xfId="16" xr:uid="{A4D6A81A-0EBB-4D49-A8C6-88834514F1A9}"/>
    <cellStyle name="20% - Énfasis6 2" xfId="74" xr:uid="{A8858A73-3A8E-4DD6-9DA8-A71A30C71773}"/>
    <cellStyle name="20% - Énfasis6 3" xfId="17" xr:uid="{A32411E1-5D9D-4B9F-8510-B7E2749FBAAE}"/>
    <cellStyle name="40% - Énfasis1 2" xfId="75" xr:uid="{63202F77-D495-4036-B175-D492EF452EEA}"/>
    <cellStyle name="40% - Énfasis1 3" xfId="18" xr:uid="{39B15773-ABEE-4294-9D53-DA5C6022042B}"/>
    <cellStyle name="40% - Énfasis2 2" xfId="76" xr:uid="{E77F050A-0B54-4F5F-8087-2E5FE44DA12B}"/>
    <cellStyle name="40% - Énfasis2 3" xfId="19" xr:uid="{04F17295-3910-4909-BFAC-F859A7A4C7FF}"/>
    <cellStyle name="40% - Énfasis3 2" xfId="77" xr:uid="{81AA1EB9-7611-4E49-B970-ABB5A527FA90}"/>
    <cellStyle name="40% - Énfasis3 3" xfId="20" xr:uid="{3E04ADF5-3CDE-421B-A4C1-B3E9317E1D89}"/>
    <cellStyle name="40% - Énfasis4 2" xfId="78" xr:uid="{064BF487-F175-4B18-AC04-175462DA87D3}"/>
    <cellStyle name="40% - Énfasis4 3" xfId="21" xr:uid="{C19B39FC-0382-4CF6-82AB-8A4ED85513BD}"/>
    <cellStyle name="40% - Énfasis5 2" xfId="79" xr:uid="{AB64CD56-0CDD-4502-91F2-EF591DDAA3C3}"/>
    <cellStyle name="40% - Énfasis5 3" xfId="22" xr:uid="{7C238A20-6A09-4CC4-A8A9-555250167B92}"/>
    <cellStyle name="40% - Énfasis6 2" xfId="80" xr:uid="{94F6E783-AB59-4FBD-B8D1-7BF6466C86A8}"/>
    <cellStyle name="40% - Énfasis6 3" xfId="23" xr:uid="{72D0FEB1-431A-4D93-AD04-E202C95AF95E}"/>
    <cellStyle name="60% - Énfasis1 2" xfId="81" xr:uid="{D7A2518E-13DF-4104-98A6-7709F839F754}"/>
    <cellStyle name="60% - Énfasis1 3" xfId="24" xr:uid="{2D99ABD9-066F-439D-A959-2485E6A2108F}"/>
    <cellStyle name="60% - Énfasis2 2" xfId="82" xr:uid="{46146FD5-514A-4245-A9C0-8C4D1C56E43F}"/>
    <cellStyle name="60% - Énfasis2 3" xfId="25" xr:uid="{281C69EF-ED06-4CB3-A075-75E91C613FA1}"/>
    <cellStyle name="60% - Énfasis3 2" xfId="83" xr:uid="{20A17294-737D-437A-A46A-E8BD08396ACA}"/>
    <cellStyle name="60% - Énfasis3 3" xfId="26" xr:uid="{AA08B3DC-21C0-4200-9B42-F25FC064A09C}"/>
    <cellStyle name="60% - Énfasis4 2" xfId="84" xr:uid="{79E3940D-12E3-4B7F-9ADD-1323FB8DF1FB}"/>
    <cellStyle name="60% - Énfasis4 3" xfId="27" xr:uid="{52AB521B-54F6-4B12-8101-A32001563517}"/>
    <cellStyle name="60% - Énfasis5 2" xfId="85" xr:uid="{7C5D4576-83B2-4067-B380-7DD4C22C47E1}"/>
    <cellStyle name="60% - Énfasis5 3" xfId="28" xr:uid="{0F5C946B-CB41-406B-949D-54C9228997C7}"/>
    <cellStyle name="60% - Énfasis6 2" xfId="86" xr:uid="{CCC450F8-5E03-4A3E-8AA6-AB9370BAE071}"/>
    <cellStyle name="60% - Énfasis6 3" xfId="29" xr:uid="{13CFAFC6-F10A-4D39-8EA3-96CC83468A54}"/>
    <cellStyle name="Buena 2" xfId="87" xr:uid="{1FD0FC1B-F33C-43EF-A90D-B24BD5403CA2}"/>
    <cellStyle name="Bueno 2" xfId="30" xr:uid="{F4EB7B0E-BB92-4E20-9120-CF7D24C05373}"/>
    <cellStyle name="Cálculo 2" xfId="88" xr:uid="{FEC368BB-5926-4D9F-9081-0226E326F741}"/>
    <cellStyle name="Cálculo 3" xfId="31" xr:uid="{5DFCC65E-974D-4C75-8CBA-465001CDC98A}"/>
    <cellStyle name="Celda de comprobación 2" xfId="89" xr:uid="{DCA38AB6-3B0A-49BF-AF17-AD4B1C1698FD}"/>
    <cellStyle name="Celda de comprobación 3" xfId="32" xr:uid="{BE70E875-5DBC-4DBE-B381-E792B9A312C4}"/>
    <cellStyle name="Celda vinculada 2" xfId="90" xr:uid="{E70AEEAE-70DC-4F84-B33E-10404379C494}"/>
    <cellStyle name="Celda vinculada 3" xfId="33" xr:uid="{C0D19C8F-7F11-40C1-9847-32CECD70D7B2}"/>
    <cellStyle name="Encabezado 1 2" xfId="108" xr:uid="{5D2FC874-7B13-4023-B231-098813DE43FA}"/>
    <cellStyle name="Encabezado 1 3" xfId="54" xr:uid="{BCEFC38C-F92E-4112-A231-7F596736D9A2}"/>
    <cellStyle name="Encabezado 4 2" xfId="91" xr:uid="{D08966D7-16D9-49F6-9531-2E2CADCB5888}"/>
    <cellStyle name="Encabezado 4 3" xfId="34" xr:uid="{8DA85986-E87A-4D2A-B94D-B53F1BA09748}"/>
    <cellStyle name="Énfasis1 2" xfId="92" xr:uid="{D796BE5E-AD24-4A42-B8EC-46AF9A532AA6}"/>
    <cellStyle name="Énfasis1 3" xfId="35" xr:uid="{5F6E0801-4ABB-45F5-B119-AFCD366F00B8}"/>
    <cellStyle name="Énfasis2 2" xfId="93" xr:uid="{0017007E-51F8-49EF-B4E0-8A2D8A2FA533}"/>
    <cellStyle name="Énfasis2 3" xfId="36" xr:uid="{C100238C-6C0C-49B9-8A6F-9AA4B3461038}"/>
    <cellStyle name="Énfasis3 2" xfId="94" xr:uid="{C714D4C3-E1E8-4A78-97AB-1436507F0398}"/>
    <cellStyle name="Énfasis3 3" xfId="37" xr:uid="{9C32A63E-34C8-43E5-B715-3695EA580A8F}"/>
    <cellStyle name="Énfasis4 2" xfId="95" xr:uid="{B9AF456E-BD41-41AB-9021-964735975774}"/>
    <cellStyle name="Énfasis4 3" xfId="38" xr:uid="{FE4C98C2-1847-48CD-BE72-B1EC5E204CF4}"/>
    <cellStyle name="Énfasis5 2" xfId="96" xr:uid="{ED048501-0997-4D6B-92C3-64E471E1E236}"/>
    <cellStyle name="Énfasis5 3" xfId="39" xr:uid="{97BCAEB8-FF1D-4476-A2E4-45DDCBDE3D24}"/>
    <cellStyle name="Énfasis6 2" xfId="97" xr:uid="{8432E900-F6CC-4145-A70F-CF4BFB8D5E7A}"/>
    <cellStyle name="Énfasis6 3" xfId="40" xr:uid="{A7B7A37C-8FA5-4D20-8E51-2927425D2042}"/>
    <cellStyle name="Entrada 2" xfId="98" xr:uid="{A8D65B57-9392-4EFC-8DD0-EE1F41B38F78}"/>
    <cellStyle name="Entrada 3" xfId="41" xr:uid="{1375AAFB-A9F8-4BB5-911F-1C2D5922FB32}"/>
    <cellStyle name="Euro" xfId="42" xr:uid="{79534C64-F9B4-4C81-84A2-17C63B0DAC74}"/>
    <cellStyle name="Euro 2" xfId="99" xr:uid="{54FA33E7-C667-450B-8C9E-AD2472B6B7A0}"/>
    <cellStyle name="Incorrecto 2" xfId="100" xr:uid="{A9669A22-549D-4302-8F67-13AF02F56353}"/>
    <cellStyle name="Incorrecto 3" xfId="43" xr:uid="{CF27AA8A-34C6-44BE-AD15-43E26EFAC3BA}"/>
    <cellStyle name="Millares" xfId="112" builtinId="3"/>
    <cellStyle name="Millares 2" xfId="101" xr:uid="{8012F638-6B8C-4B05-8748-B466EFDF4BEB}"/>
    <cellStyle name="Millares 2 2" xfId="114" xr:uid="{6F07C688-46F7-4AAF-8171-E6A7DCBE97B9}"/>
    <cellStyle name="Millares 3" xfId="44" xr:uid="{9CC52764-F341-4852-9DCF-CF74CE892FF2}"/>
    <cellStyle name="Millares_TRAFICO CAIQUERO_1" xfId="45" xr:uid="{3FEE3904-7238-4471-BA44-F0DDF6E0BDC9}"/>
    <cellStyle name="Millares_TRAFICO CAIQUERO_1 2" xfId="113" xr:uid="{EE98AAAE-C2C9-4E24-844C-B0B05C2D6D8B}"/>
    <cellStyle name="Moneda 2" xfId="46" xr:uid="{EB90EEF6-BFFE-4C7E-8C35-73B28171769E}"/>
    <cellStyle name="Neutral 2" xfId="102" xr:uid="{E3B74DDD-F33A-4052-83E7-C393A32452E4}"/>
    <cellStyle name="Neutral 3" xfId="47" xr:uid="{EEC150A5-F746-4C79-BA0D-84557FDE93CC}"/>
    <cellStyle name="Normal" xfId="0" builtinId="0"/>
    <cellStyle name="Normal 2" xfId="58" xr:uid="{FC196ABC-D037-4CB6-A79A-8955282AF787}"/>
    <cellStyle name="Normal 3" xfId="1" xr:uid="{D099BD10-3407-459D-9DC7-0FE54AC0A89B}"/>
    <cellStyle name="Notas 2" xfId="103" xr:uid="{5196741B-33CD-4D31-9EC0-13AAF1D0D8B0}"/>
    <cellStyle name="Notas 3" xfId="48" xr:uid="{1C4CCF52-353C-4CD1-9CDF-6F81269BE1B4}"/>
    <cellStyle name="Porcentaje 2" xfId="49" xr:uid="{839E06AC-B9AB-400E-A210-D1D978F2523D}"/>
    <cellStyle name="Salida 2" xfId="104" xr:uid="{523F2E1B-BF75-4531-8491-58D17DDCC7AD}"/>
    <cellStyle name="Salida 3" xfId="50" xr:uid="{143EC41F-5C7E-45EF-BF76-E720F96BB596}"/>
    <cellStyle name="Texto de advertencia 2" xfId="105" xr:uid="{1F99E8D1-7E7E-42D5-89A1-DE8660E17BA9}"/>
    <cellStyle name="Texto de advertencia 3" xfId="51" xr:uid="{8709A5FF-FADD-4DDF-A2C0-32E036042E9E}"/>
    <cellStyle name="Texto explicativo 2" xfId="106" xr:uid="{240C652E-ACF2-46C9-9EEF-14D0BBFE3F9B}"/>
    <cellStyle name="Texto explicativo 3" xfId="52" xr:uid="{1DD85CC9-589E-40A0-AA15-99E8B2A2D681}"/>
    <cellStyle name="Título 2 2" xfId="109" xr:uid="{D0E0F99E-F342-409C-B2C8-4870C11BE36A}"/>
    <cellStyle name="Título 2 3" xfId="55" xr:uid="{9F66030A-A89B-40F1-81E5-8C0540264616}"/>
    <cellStyle name="Título 3 2" xfId="110" xr:uid="{518D5895-AB03-422B-AA2B-FF41225DDBD4}"/>
    <cellStyle name="Título 3 3" xfId="56" xr:uid="{5853AA6A-32A8-4BFE-9193-926BE149AF0A}"/>
    <cellStyle name="Título 4" xfId="107" xr:uid="{F3172505-14F2-43A3-8A94-C6E0592AD7D9}"/>
    <cellStyle name="Título 5" xfId="53" xr:uid="{65F24007-1D82-46EC-A4D6-98243AB0BC29}"/>
    <cellStyle name="Total 2" xfId="111" xr:uid="{F86D4105-BF1C-44D1-9B7A-E512AAEA72F6}"/>
    <cellStyle name="Total 3" xfId="57" xr:uid="{85A4ED02-66EE-4DCE-AF11-CDACC45CAE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4A8C-D6E1-494E-8A2B-B3F6C7DABA51}">
  <dimension ref="A1:Z46"/>
  <sheetViews>
    <sheetView topLeftCell="A23" workbookViewId="0">
      <selection activeCell="C42" sqref="C42"/>
    </sheetView>
  </sheetViews>
  <sheetFormatPr baseColWidth="10" defaultColWidth="11.44140625" defaultRowHeight="13.8" x14ac:dyDescent="0.3"/>
  <cols>
    <col min="1" max="9" width="11.44140625" style="21"/>
    <col min="10" max="10" width="4.6640625" style="21" customWidth="1"/>
    <col min="11" max="11" width="11.44140625" style="29"/>
    <col min="12" max="15" width="11.44140625" style="21"/>
    <col min="16" max="16" width="0" style="21" hidden="1" customWidth="1"/>
    <col min="17" max="16384" width="11.44140625" style="21"/>
  </cols>
  <sheetData>
    <row r="1" spans="1:19" s="24" customFormat="1" ht="15.6" x14ac:dyDescent="0.3">
      <c r="A1" s="64" t="s">
        <v>23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9" s="24" customFormat="1" ht="15.6" x14ac:dyDescent="0.3">
      <c r="A2" s="64" t="s">
        <v>24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9" s="24" customFormat="1" ht="15.6" x14ac:dyDescent="0.3">
      <c r="A3" s="65" t="s">
        <v>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9" ht="78" customHeight="1" x14ac:dyDescent="0.3">
      <c r="A4" s="62" t="s">
        <v>1</v>
      </c>
      <c r="B4" s="60" t="s">
        <v>2</v>
      </c>
      <c r="C4" s="60"/>
      <c r="D4" s="23" t="s">
        <v>3</v>
      </c>
      <c r="E4" s="23" t="s">
        <v>4</v>
      </c>
      <c r="F4" s="23" t="s">
        <v>5</v>
      </c>
      <c r="G4" s="23" t="s">
        <v>6</v>
      </c>
      <c r="H4" s="60" t="s">
        <v>7</v>
      </c>
      <c r="I4" s="60" t="s">
        <v>8</v>
      </c>
      <c r="J4" s="22"/>
      <c r="K4" s="61" t="s">
        <v>1</v>
      </c>
      <c r="L4" s="60" t="s">
        <v>9</v>
      </c>
      <c r="M4" s="60" t="s">
        <v>10</v>
      </c>
      <c r="N4" s="60" t="s">
        <v>11</v>
      </c>
      <c r="O4" s="60" t="s">
        <v>12</v>
      </c>
    </row>
    <row r="5" spans="1:19" ht="18" customHeight="1" x14ac:dyDescent="0.3">
      <c r="A5" s="63"/>
      <c r="B5" s="20" t="s">
        <v>13</v>
      </c>
      <c r="C5" s="20" t="s">
        <v>14</v>
      </c>
      <c r="D5" s="20" t="s">
        <v>15</v>
      </c>
      <c r="E5" s="20" t="s">
        <v>16</v>
      </c>
      <c r="F5" s="20" t="s">
        <v>17</v>
      </c>
      <c r="G5" s="20" t="s">
        <v>18</v>
      </c>
      <c r="H5" s="60"/>
      <c r="I5" s="60"/>
      <c r="J5" s="22"/>
      <c r="K5" s="61"/>
      <c r="L5" s="60"/>
      <c r="M5" s="60"/>
      <c r="N5" s="60"/>
      <c r="O5" s="60"/>
    </row>
    <row r="6" spans="1:19" ht="18" customHeight="1" thickBot="1" x14ac:dyDescent="0.35">
      <c r="A6" s="19">
        <v>1</v>
      </c>
      <c r="B6" s="33">
        <v>8914</v>
      </c>
      <c r="C6" s="33">
        <v>4</v>
      </c>
      <c r="D6" s="33">
        <v>649</v>
      </c>
      <c r="E6" s="33">
        <v>20</v>
      </c>
      <c r="F6" s="33">
        <v>28</v>
      </c>
      <c r="G6" s="33">
        <v>51</v>
      </c>
      <c r="H6" s="33">
        <f>SUM(B6:G6)</f>
        <v>9666</v>
      </c>
      <c r="I6" s="33">
        <v>0</v>
      </c>
      <c r="J6" s="18"/>
      <c r="K6" s="19">
        <v>1</v>
      </c>
      <c r="L6" s="33">
        <v>0</v>
      </c>
      <c r="M6" s="33">
        <v>4</v>
      </c>
      <c r="N6" s="33">
        <v>0</v>
      </c>
      <c r="O6" s="33">
        <f>SUM(L6:N6)</f>
        <v>4</v>
      </c>
      <c r="P6" s="6">
        <v>6135</v>
      </c>
    </row>
    <row r="7" spans="1:19" ht="18" customHeight="1" thickTop="1" thickBot="1" x14ac:dyDescent="0.35">
      <c r="A7" s="19">
        <v>2</v>
      </c>
      <c r="B7" s="33">
        <f>10334+11</f>
        <v>10345</v>
      </c>
      <c r="C7" s="33">
        <v>2</v>
      </c>
      <c r="D7" s="33">
        <v>848</v>
      </c>
      <c r="E7" s="33">
        <v>57</v>
      </c>
      <c r="F7" s="33">
        <v>114</v>
      </c>
      <c r="G7" s="33">
        <v>187</v>
      </c>
      <c r="H7" s="33">
        <f>SUM(B7:G7)</f>
        <v>11553</v>
      </c>
      <c r="I7" s="33">
        <v>0</v>
      </c>
      <c r="J7" s="18"/>
      <c r="K7" s="19">
        <v>2</v>
      </c>
      <c r="L7" s="33">
        <v>0</v>
      </c>
      <c r="M7" s="33">
        <v>3</v>
      </c>
      <c r="N7" s="33">
        <v>1</v>
      </c>
      <c r="O7" s="33">
        <f t="shared" ref="O7:O33" si="0">SUM(L7:N7)</f>
        <v>4</v>
      </c>
      <c r="P7" s="6">
        <f>+P6</f>
        <v>6135</v>
      </c>
    </row>
    <row r="8" spans="1:19" ht="18" customHeight="1" thickTop="1" thickBot="1" x14ac:dyDescent="0.35">
      <c r="A8" s="19">
        <v>3</v>
      </c>
      <c r="B8" s="33">
        <f>13177+13</f>
        <v>13190</v>
      </c>
      <c r="C8" s="33">
        <v>2</v>
      </c>
      <c r="D8" s="33">
        <v>974</v>
      </c>
      <c r="E8" s="33">
        <v>68</v>
      </c>
      <c r="F8" s="33">
        <v>143</v>
      </c>
      <c r="G8" s="33">
        <v>184</v>
      </c>
      <c r="H8" s="33">
        <f t="shared" ref="H8:H36" si="1">SUM(B8:G8)</f>
        <v>14561</v>
      </c>
      <c r="I8" s="33">
        <v>0</v>
      </c>
      <c r="J8" s="18"/>
      <c r="K8" s="19">
        <v>3</v>
      </c>
      <c r="L8" s="33">
        <v>0</v>
      </c>
      <c r="M8" s="33">
        <v>1</v>
      </c>
      <c r="N8" s="33">
        <v>1</v>
      </c>
      <c r="O8" s="33">
        <f t="shared" si="0"/>
        <v>2</v>
      </c>
      <c r="P8" s="6">
        <f t="shared" ref="P8:P36" si="2">+P7</f>
        <v>6135</v>
      </c>
      <c r="S8" s="32"/>
    </row>
    <row r="9" spans="1:19" ht="18" customHeight="1" thickTop="1" thickBot="1" x14ac:dyDescent="0.35">
      <c r="A9" s="19">
        <v>4</v>
      </c>
      <c r="B9" s="33">
        <f>17515+16</f>
        <v>17531</v>
      </c>
      <c r="C9" s="33">
        <v>2</v>
      </c>
      <c r="D9" s="33">
        <v>972</v>
      </c>
      <c r="E9" s="33">
        <v>43</v>
      </c>
      <c r="F9" s="33">
        <v>84</v>
      </c>
      <c r="G9" s="33">
        <v>98</v>
      </c>
      <c r="H9" s="33">
        <f t="shared" si="1"/>
        <v>18730</v>
      </c>
      <c r="I9" s="33">
        <v>0</v>
      </c>
      <c r="J9" s="18"/>
      <c r="K9" s="19">
        <v>4</v>
      </c>
      <c r="L9" s="33">
        <v>0</v>
      </c>
      <c r="M9" s="33">
        <v>0</v>
      </c>
      <c r="N9" s="33">
        <v>1</v>
      </c>
      <c r="O9" s="33">
        <f t="shared" si="0"/>
        <v>1</v>
      </c>
      <c r="P9" s="6">
        <f t="shared" si="2"/>
        <v>6135</v>
      </c>
    </row>
    <row r="10" spans="1:19" ht="18" customHeight="1" thickTop="1" thickBot="1" x14ac:dyDescent="0.35">
      <c r="A10" s="19">
        <v>5</v>
      </c>
      <c r="B10" s="33">
        <f>8221+16</f>
        <v>8237</v>
      </c>
      <c r="C10" s="33">
        <v>2</v>
      </c>
      <c r="D10" s="33">
        <v>1109</v>
      </c>
      <c r="E10" s="33">
        <v>111</v>
      </c>
      <c r="F10" s="33">
        <v>150</v>
      </c>
      <c r="G10" s="33">
        <v>231</v>
      </c>
      <c r="H10" s="33">
        <f t="shared" si="1"/>
        <v>9840</v>
      </c>
      <c r="I10" s="33">
        <v>0</v>
      </c>
      <c r="J10" s="18"/>
      <c r="K10" s="19">
        <v>5</v>
      </c>
      <c r="L10" s="33">
        <v>1</v>
      </c>
      <c r="M10" s="33">
        <v>4</v>
      </c>
      <c r="N10" s="33">
        <v>2</v>
      </c>
      <c r="O10" s="33">
        <f t="shared" si="0"/>
        <v>7</v>
      </c>
      <c r="P10" s="6">
        <f t="shared" si="2"/>
        <v>6135</v>
      </c>
    </row>
    <row r="11" spans="1:19" ht="18" customHeight="1" thickTop="1" thickBot="1" x14ac:dyDescent="0.35">
      <c r="A11" s="19">
        <v>6</v>
      </c>
      <c r="B11" s="33">
        <f>6885+12</f>
        <v>6897</v>
      </c>
      <c r="C11" s="33">
        <v>10</v>
      </c>
      <c r="D11" s="33">
        <v>1244</v>
      </c>
      <c r="E11" s="33">
        <v>147</v>
      </c>
      <c r="F11" s="33">
        <v>164</v>
      </c>
      <c r="G11" s="33">
        <v>239</v>
      </c>
      <c r="H11" s="33">
        <f t="shared" si="1"/>
        <v>8701</v>
      </c>
      <c r="I11" s="33">
        <v>0</v>
      </c>
      <c r="J11" s="18"/>
      <c r="K11" s="19">
        <v>6</v>
      </c>
      <c r="L11" s="33">
        <v>0</v>
      </c>
      <c r="M11" s="33">
        <v>2</v>
      </c>
      <c r="N11" s="33">
        <v>6</v>
      </c>
      <c r="O11" s="33">
        <f t="shared" si="0"/>
        <v>8</v>
      </c>
      <c r="P11" s="6">
        <f t="shared" si="2"/>
        <v>6135</v>
      </c>
    </row>
    <row r="12" spans="1:19" ht="18" customHeight="1" thickTop="1" thickBot="1" x14ac:dyDescent="0.35">
      <c r="A12" s="19">
        <v>7</v>
      </c>
      <c r="B12" s="33">
        <f>6617+14</f>
        <v>6631</v>
      </c>
      <c r="C12" s="33">
        <v>4</v>
      </c>
      <c r="D12" s="33">
        <v>1232</v>
      </c>
      <c r="E12" s="33">
        <v>163</v>
      </c>
      <c r="F12" s="33">
        <v>181</v>
      </c>
      <c r="G12" s="33">
        <v>227</v>
      </c>
      <c r="H12" s="33">
        <f t="shared" si="1"/>
        <v>8438</v>
      </c>
      <c r="I12" s="33">
        <v>0</v>
      </c>
      <c r="J12" s="17"/>
      <c r="K12" s="19">
        <v>7</v>
      </c>
      <c r="L12" s="33">
        <v>0</v>
      </c>
      <c r="M12" s="33">
        <v>7</v>
      </c>
      <c r="N12" s="33">
        <v>2</v>
      </c>
      <c r="O12" s="33">
        <f t="shared" si="0"/>
        <v>9</v>
      </c>
      <c r="P12" s="6">
        <f t="shared" si="2"/>
        <v>6135</v>
      </c>
    </row>
    <row r="13" spans="1:19" ht="18" customHeight="1" thickTop="1" thickBot="1" x14ac:dyDescent="0.35">
      <c r="A13" s="19">
        <v>8</v>
      </c>
      <c r="B13" s="33">
        <f>6787+13</f>
        <v>6800</v>
      </c>
      <c r="C13" s="33">
        <v>6</v>
      </c>
      <c r="D13" s="33">
        <v>1372</v>
      </c>
      <c r="E13" s="33">
        <v>160</v>
      </c>
      <c r="F13" s="33">
        <v>177</v>
      </c>
      <c r="G13" s="33">
        <v>282</v>
      </c>
      <c r="H13" s="33">
        <f t="shared" si="1"/>
        <v>8797</v>
      </c>
      <c r="I13" s="33">
        <v>0</v>
      </c>
      <c r="J13" s="17"/>
      <c r="K13" s="19">
        <v>8</v>
      </c>
      <c r="L13" s="33">
        <v>1</v>
      </c>
      <c r="M13" s="33">
        <v>2</v>
      </c>
      <c r="N13" s="33">
        <v>6</v>
      </c>
      <c r="O13" s="33">
        <f t="shared" si="0"/>
        <v>9</v>
      </c>
      <c r="P13" s="6">
        <f t="shared" si="2"/>
        <v>6135</v>
      </c>
    </row>
    <row r="14" spans="1:19" s="15" customFormat="1" ht="18" customHeight="1" thickTop="1" thickBot="1" x14ac:dyDescent="0.35">
      <c r="A14" s="19">
        <v>9</v>
      </c>
      <c r="B14" s="33">
        <f>8746+18</f>
        <v>8764</v>
      </c>
      <c r="C14" s="33">
        <v>4</v>
      </c>
      <c r="D14" s="33">
        <v>1246</v>
      </c>
      <c r="E14" s="33">
        <v>130</v>
      </c>
      <c r="F14" s="33">
        <v>164</v>
      </c>
      <c r="G14" s="33">
        <v>223</v>
      </c>
      <c r="H14" s="33">
        <f t="shared" si="1"/>
        <v>10531</v>
      </c>
      <c r="I14" s="33">
        <v>0</v>
      </c>
      <c r="J14" s="17"/>
      <c r="K14" s="19">
        <v>9</v>
      </c>
      <c r="L14" s="33">
        <v>1</v>
      </c>
      <c r="M14" s="33">
        <v>6</v>
      </c>
      <c r="N14" s="33">
        <v>1</v>
      </c>
      <c r="O14" s="33">
        <f t="shared" si="0"/>
        <v>8</v>
      </c>
      <c r="P14" s="16">
        <f t="shared" si="2"/>
        <v>6135</v>
      </c>
    </row>
    <row r="15" spans="1:19" ht="18" customHeight="1" thickTop="1" thickBot="1" x14ac:dyDescent="0.35">
      <c r="A15" s="19">
        <v>10</v>
      </c>
      <c r="B15" s="33">
        <f>10302+13</f>
        <v>10315</v>
      </c>
      <c r="C15" s="33">
        <v>2</v>
      </c>
      <c r="D15" s="33">
        <v>1068</v>
      </c>
      <c r="E15" s="33">
        <v>87</v>
      </c>
      <c r="F15" s="33">
        <v>95</v>
      </c>
      <c r="G15" s="33">
        <v>164</v>
      </c>
      <c r="H15" s="33">
        <f t="shared" si="1"/>
        <v>11731</v>
      </c>
      <c r="I15" s="33">
        <v>0</v>
      </c>
      <c r="J15" s="17"/>
      <c r="K15" s="19">
        <v>10</v>
      </c>
      <c r="L15" s="33">
        <v>0</v>
      </c>
      <c r="M15" s="33">
        <v>3</v>
      </c>
      <c r="N15" s="33">
        <v>0</v>
      </c>
      <c r="O15" s="33">
        <f t="shared" si="0"/>
        <v>3</v>
      </c>
      <c r="P15" s="6">
        <f t="shared" si="2"/>
        <v>6135</v>
      </c>
    </row>
    <row r="16" spans="1:19" ht="18" customHeight="1" thickTop="1" thickBot="1" x14ac:dyDescent="0.35">
      <c r="A16" s="19">
        <v>11</v>
      </c>
      <c r="B16" s="33">
        <f>11060+11</f>
        <v>11071</v>
      </c>
      <c r="C16" s="33">
        <v>2</v>
      </c>
      <c r="D16" s="33">
        <v>959</v>
      </c>
      <c r="E16" s="33">
        <v>37</v>
      </c>
      <c r="F16" s="33">
        <v>56</v>
      </c>
      <c r="G16" s="33">
        <v>103</v>
      </c>
      <c r="H16" s="33">
        <f t="shared" si="1"/>
        <v>12228</v>
      </c>
      <c r="I16" s="33">
        <v>0</v>
      </c>
      <c r="J16" s="17"/>
      <c r="K16" s="19">
        <v>11</v>
      </c>
      <c r="L16" s="33">
        <v>0</v>
      </c>
      <c r="M16" s="33">
        <v>0</v>
      </c>
      <c r="N16" s="33">
        <v>0</v>
      </c>
      <c r="O16" s="33">
        <f t="shared" si="0"/>
        <v>0</v>
      </c>
      <c r="P16" s="6">
        <f t="shared" si="2"/>
        <v>6135</v>
      </c>
    </row>
    <row r="17" spans="1:26" ht="18" customHeight="1" thickTop="1" thickBot="1" x14ac:dyDescent="0.35">
      <c r="A17" s="19">
        <v>12</v>
      </c>
      <c r="B17" s="33">
        <f>11121+17</f>
        <v>11138</v>
      </c>
      <c r="C17" s="33">
        <v>4</v>
      </c>
      <c r="D17" s="33">
        <v>846</v>
      </c>
      <c r="E17" s="33">
        <v>44</v>
      </c>
      <c r="F17" s="33">
        <v>37</v>
      </c>
      <c r="G17" s="33">
        <v>71</v>
      </c>
      <c r="H17" s="33">
        <f t="shared" si="1"/>
        <v>12140</v>
      </c>
      <c r="I17" s="33">
        <v>0</v>
      </c>
      <c r="J17" s="17"/>
      <c r="K17" s="19">
        <v>12</v>
      </c>
      <c r="L17" s="33">
        <v>0</v>
      </c>
      <c r="M17" s="33">
        <v>1</v>
      </c>
      <c r="N17" s="33">
        <v>1</v>
      </c>
      <c r="O17" s="33">
        <f t="shared" si="0"/>
        <v>2</v>
      </c>
      <c r="P17" s="6">
        <f t="shared" si="2"/>
        <v>6135</v>
      </c>
    </row>
    <row r="18" spans="1:26" ht="18" customHeight="1" thickTop="1" thickBot="1" x14ac:dyDescent="0.35">
      <c r="A18" s="19">
        <v>13</v>
      </c>
      <c r="B18" s="33">
        <f>5385+16</f>
        <v>5401</v>
      </c>
      <c r="C18" s="33">
        <v>5</v>
      </c>
      <c r="D18" s="33">
        <v>1197</v>
      </c>
      <c r="E18" s="33">
        <v>153</v>
      </c>
      <c r="F18" s="33">
        <v>149</v>
      </c>
      <c r="G18" s="33">
        <v>307</v>
      </c>
      <c r="H18" s="33">
        <f t="shared" si="1"/>
        <v>7212</v>
      </c>
      <c r="I18" s="33">
        <v>0</v>
      </c>
      <c r="J18" s="17"/>
      <c r="K18" s="19">
        <v>13</v>
      </c>
      <c r="L18" s="33">
        <v>1</v>
      </c>
      <c r="M18" s="33">
        <v>7</v>
      </c>
      <c r="N18" s="33">
        <v>0</v>
      </c>
      <c r="O18" s="33">
        <f t="shared" si="0"/>
        <v>8</v>
      </c>
      <c r="P18" s="6">
        <f t="shared" si="2"/>
        <v>6135</v>
      </c>
    </row>
    <row r="19" spans="1:26" ht="18" customHeight="1" thickTop="1" thickBot="1" x14ac:dyDescent="0.35">
      <c r="A19" s="19">
        <v>14</v>
      </c>
      <c r="B19" s="33">
        <f>3974+22</f>
        <v>3996</v>
      </c>
      <c r="C19" s="33">
        <v>8</v>
      </c>
      <c r="D19" s="33">
        <v>1284</v>
      </c>
      <c r="E19" s="33">
        <v>173</v>
      </c>
      <c r="F19" s="33">
        <v>182</v>
      </c>
      <c r="G19" s="33">
        <v>303</v>
      </c>
      <c r="H19" s="33">
        <f t="shared" si="1"/>
        <v>5946</v>
      </c>
      <c r="I19" s="33">
        <v>0</v>
      </c>
      <c r="J19" s="17"/>
      <c r="K19" s="19">
        <v>14</v>
      </c>
      <c r="L19" s="33">
        <v>1</v>
      </c>
      <c r="M19" s="33">
        <v>6</v>
      </c>
      <c r="N19" s="33">
        <v>2</v>
      </c>
      <c r="O19" s="33">
        <f t="shared" si="0"/>
        <v>9</v>
      </c>
      <c r="P19" s="6">
        <f t="shared" si="2"/>
        <v>6135</v>
      </c>
    </row>
    <row r="20" spans="1:26" ht="18" customHeight="1" thickTop="1" thickBot="1" x14ac:dyDescent="0.35">
      <c r="A20" s="19">
        <v>15</v>
      </c>
      <c r="B20" s="33">
        <f>3651+28</f>
        <v>3679</v>
      </c>
      <c r="C20" s="33">
        <v>6</v>
      </c>
      <c r="D20" s="33">
        <v>1311</v>
      </c>
      <c r="E20" s="33">
        <v>157</v>
      </c>
      <c r="F20" s="33">
        <v>186</v>
      </c>
      <c r="G20" s="33">
        <v>292</v>
      </c>
      <c r="H20" s="33">
        <f t="shared" si="1"/>
        <v>5631</v>
      </c>
      <c r="I20" s="33">
        <v>0</v>
      </c>
      <c r="J20" s="17"/>
      <c r="K20" s="19">
        <v>15</v>
      </c>
      <c r="L20" s="33">
        <v>1</v>
      </c>
      <c r="M20" s="33">
        <v>8</v>
      </c>
      <c r="N20" s="33">
        <v>3</v>
      </c>
      <c r="O20" s="33">
        <f t="shared" si="0"/>
        <v>12</v>
      </c>
      <c r="P20" s="6">
        <f t="shared" si="2"/>
        <v>6135</v>
      </c>
    </row>
    <row r="21" spans="1:26" ht="18" customHeight="1" thickTop="1" thickBot="1" x14ac:dyDescent="0.35">
      <c r="A21" s="19">
        <v>16</v>
      </c>
      <c r="B21" s="33">
        <f>4394+16</f>
        <v>4410</v>
      </c>
      <c r="C21" s="33">
        <v>8</v>
      </c>
      <c r="D21" s="33">
        <v>1259</v>
      </c>
      <c r="E21" s="33">
        <v>153</v>
      </c>
      <c r="F21" s="33">
        <v>177</v>
      </c>
      <c r="G21" s="33">
        <v>303</v>
      </c>
      <c r="H21" s="33">
        <f t="shared" si="1"/>
        <v>6310</v>
      </c>
      <c r="I21" s="33">
        <v>0</v>
      </c>
      <c r="J21" s="17"/>
      <c r="K21" s="19">
        <v>16</v>
      </c>
      <c r="L21" s="33">
        <v>0</v>
      </c>
      <c r="M21" s="33">
        <v>6</v>
      </c>
      <c r="N21" s="33">
        <v>2</v>
      </c>
      <c r="O21" s="33">
        <f t="shared" si="0"/>
        <v>8</v>
      </c>
      <c r="P21" s="6">
        <f>+P20</f>
        <v>6135</v>
      </c>
    </row>
    <row r="22" spans="1:26" ht="18" customHeight="1" thickTop="1" thickBot="1" x14ac:dyDescent="0.35">
      <c r="A22" s="19">
        <v>17</v>
      </c>
      <c r="B22" s="33">
        <f>4890+21</f>
        <v>4911</v>
      </c>
      <c r="C22" s="33">
        <v>2</v>
      </c>
      <c r="D22" s="33">
        <v>1005</v>
      </c>
      <c r="E22" s="33">
        <v>101</v>
      </c>
      <c r="F22" s="33">
        <v>143</v>
      </c>
      <c r="G22" s="33">
        <v>214</v>
      </c>
      <c r="H22" s="33">
        <f>SUM(B22:G22)</f>
        <v>6376</v>
      </c>
      <c r="I22" s="33">
        <v>0</v>
      </c>
      <c r="J22" s="17"/>
      <c r="K22" s="19">
        <v>17</v>
      </c>
      <c r="L22" s="33">
        <v>0</v>
      </c>
      <c r="M22" s="33">
        <v>2</v>
      </c>
      <c r="N22" s="33">
        <v>3</v>
      </c>
      <c r="O22" s="33">
        <f t="shared" si="0"/>
        <v>5</v>
      </c>
      <c r="P22" s="6">
        <f t="shared" si="2"/>
        <v>6135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thickTop="1" thickBot="1" x14ac:dyDescent="0.35">
      <c r="A23" s="19">
        <v>18</v>
      </c>
      <c r="B23" s="33">
        <f>6290+10</f>
        <v>6300</v>
      </c>
      <c r="C23" s="33">
        <v>4</v>
      </c>
      <c r="D23" s="33">
        <v>921</v>
      </c>
      <c r="E23" s="33">
        <v>98</v>
      </c>
      <c r="F23" s="33">
        <v>79</v>
      </c>
      <c r="G23" s="33">
        <v>180</v>
      </c>
      <c r="H23" s="33">
        <f t="shared" si="1"/>
        <v>7582</v>
      </c>
      <c r="I23" s="33">
        <v>0</v>
      </c>
      <c r="J23" s="17"/>
      <c r="K23" s="19">
        <v>18</v>
      </c>
      <c r="L23" s="33">
        <v>2</v>
      </c>
      <c r="M23" s="33">
        <v>1</v>
      </c>
      <c r="N23" s="33">
        <v>0</v>
      </c>
      <c r="O23" s="33">
        <f t="shared" si="0"/>
        <v>3</v>
      </c>
      <c r="P23" s="6">
        <f t="shared" si="2"/>
        <v>6135</v>
      </c>
    </row>
    <row r="24" spans="1:26" ht="18" customHeight="1" thickTop="1" thickBot="1" x14ac:dyDescent="0.35">
      <c r="A24" s="19">
        <v>19</v>
      </c>
      <c r="B24" s="33">
        <f>3102+17</f>
        <v>3119</v>
      </c>
      <c r="C24" s="33">
        <v>2</v>
      </c>
      <c r="D24" s="33">
        <v>1052</v>
      </c>
      <c r="E24" s="33">
        <v>164</v>
      </c>
      <c r="F24" s="33">
        <v>155</v>
      </c>
      <c r="G24" s="33">
        <v>278</v>
      </c>
      <c r="H24" s="33">
        <f t="shared" si="1"/>
        <v>4770</v>
      </c>
      <c r="I24" s="33">
        <v>0</v>
      </c>
      <c r="J24" s="17"/>
      <c r="K24" s="19">
        <v>19</v>
      </c>
      <c r="L24" s="33">
        <v>4</v>
      </c>
      <c r="M24" s="33">
        <v>4</v>
      </c>
      <c r="N24" s="33">
        <v>4</v>
      </c>
      <c r="O24" s="33">
        <f t="shared" si="0"/>
        <v>12</v>
      </c>
      <c r="P24" s="6">
        <f t="shared" si="2"/>
        <v>6135</v>
      </c>
    </row>
    <row r="25" spans="1:26" ht="18" customHeight="1" thickTop="1" thickBot="1" x14ac:dyDescent="0.35">
      <c r="A25" s="19">
        <v>20</v>
      </c>
      <c r="B25" s="33">
        <f>2730+16</f>
        <v>2746</v>
      </c>
      <c r="C25" s="33">
        <v>1</v>
      </c>
      <c r="D25" s="33">
        <v>1226</v>
      </c>
      <c r="E25" s="33">
        <v>183</v>
      </c>
      <c r="F25" s="33">
        <v>189</v>
      </c>
      <c r="G25" s="33">
        <v>280</v>
      </c>
      <c r="H25" s="33">
        <f>SUM(B25:G25)</f>
        <v>4625</v>
      </c>
      <c r="I25" s="33">
        <v>0</v>
      </c>
      <c r="J25" s="17"/>
      <c r="K25" s="19">
        <v>20</v>
      </c>
      <c r="L25" s="33">
        <v>3</v>
      </c>
      <c r="M25" s="33">
        <v>15</v>
      </c>
      <c r="N25" s="33">
        <v>2</v>
      </c>
      <c r="O25" s="33">
        <f t="shared" si="0"/>
        <v>20</v>
      </c>
      <c r="P25" s="6">
        <f t="shared" si="2"/>
        <v>6135</v>
      </c>
    </row>
    <row r="26" spans="1:26" ht="18" customHeight="1" thickTop="1" thickBot="1" x14ac:dyDescent="0.35">
      <c r="A26" s="19">
        <v>21</v>
      </c>
      <c r="B26" s="33">
        <f>2657+12</f>
        <v>2669</v>
      </c>
      <c r="C26" s="33">
        <v>7</v>
      </c>
      <c r="D26" s="33">
        <v>1191</v>
      </c>
      <c r="E26" s="33">
        <v>167</v>
      </c>
      <c r="F26" s="33">
        <v>201</v>
      </c>
      <c r="G26" s="33">
        <v>328</v>
      </c>
      <c r="H26" s="33">
        <f>SUM(B26:G26)</f>
        <v>4563</v>
      </c>
      <c r="I26" s="33">
        <v>0</v>
      </c>
      <c r="J26" s="17"/>
      <c r="K26" s="19">
        <v>21</v>
      </c>
      <c r="L26" s="33">
        <v>1</v>
      </c>
      <c r="M26" s="33">
        <v>12</v>
      </c>
      <c r="N26" s="33">
        <v>3</v>
      </c>
      <c r="O26" s="33">
        <f t="shared" si="0"/>
        <v>16</v>
      </c>
      <c r="P26" s="6">
        <f t="shared" si="2"/>
        <v>6135</v>
      </c>
    </row>
    <row r="27" spans="1:26" ht="18" customHeight="1" thickTop="1" thickBot="1" x14ac:dyDescent="0.35">
      <c r="A27" s="19">
        <v>22</v>
      </c>
      <c r="B27" s="33">
        <f>2890+27</f>
        <v>2917</v>
      </c>
      <c r="C27" s="33">
        <v>4</v>
      </c>
      <c r="D27" s="33">
        <v>1240</v>
      </c>
      <c r="E27" s="33">
        <v>175</v>
      </c>
      <c r="F27" s="33">
        <v>180</v>
      </c>
      <c r="G27" s="33">
        <v>284</v>
      </c>
      <c r="H27" s="33">
        <f t="shared" si="1"/>
        <v>4800</v>
      </c>
      <c r="I27" s="33">
        <v>0</v>
      </c>
      <c r="J27" s="17"/>
      <c r="K27" s="19">
        <v>22</v>
      </c>
      <c r="L27" s="33">
        <v>0</v>
      </c>
      <c r="M27" s="33">
        <v>12</v>
      </c>
      <c r="N27" s="33">
        <v>2</v>
      </c>
      <c r="O27" s="33">
        <f t="shared" si="0"/>
        <v>14</v>
      </c>
      <c r="P27" s="6">
        <f t="shared" si="2"/>
        <v>6135</v>
      </c>
    </row>
    <row r="28" spans="1:26" ht="18" customHeight="1" thickTop="1" thickBot="1" x14ac:dyDescent="0.35">
      <c r="A28" s="19">
        <v>23</v>
      </c>
      <c r="B28" s="33">
        <f>4948+15</f>
        <v>4963</v>
      </c>
      <c r="C28" s="33">
        <v>6</v>
      </c>
      <c r="D28" s="33">
        <v>1206</v>
      </c>
      <c r="E28" s="33">
        <v>170</v>
      </c>
      <c r="F28" s="33">
        <v>201</v>
      </c>
      <c r="G28" s="33">
        <v>256</v>
      </c>
      <c r="H28" s="33">
        <f t="shared" si="1"/>
        <v>6802</v>
      </c>
      <c r="I28" s="33">
        <v>0</v>
      </c>
      <c r="J28" s="17"/>
      <c r="K28" s="19">
        <v>23</v>
      </c>
      <c r="L28" s="33">
        <v>0</v>
      </c>
      <c r="M28" s="33">
        <v>4</v>
      </c>
      <c r="N28" s="33">
        <v>4</v>
      </c>
      <c r="O28" s="33">
        <f t="shared" si="0"/>
        <v>8</v>
      </c>
      <c r="P28" s="6">
        <f t="shared" si="2"/>
        <v>6135</v>
      </c>
    </row>
    <row r="29" spans="1:26" ht="18" customHeight="1" thickTop="1" thickBot="1" x14ac:dyDescent="0.35">
      <c r="A29" s="19">
        <v>24</v>
      </c>
      <c r="B29" s="33">
        <f>5246+17</f>
        <v>5263</v>
      </c>
      <c r="C29" s="33">
        <v>2</v>
      </c>
      <c r="D29" s="33">
        <v>1098</v>
      </c>
      <c r="E29" s="33">
        <v>133</v>
      </c>
      <c r="F29" s="33">
        <v>149</v>
      </c>
      <c r="G29" s="33">
        <v>245</v>
      </c>
      <c r="H29" s="33">
        <f t="shared" si="1"/>
        <v>6890</v>
      </c>
      <c r="I29" s="33">
        <v>0</v>
      </c>
      <c r="J29" s="17"/>
      <c r="K29" s="19">
        <v>24</v>
      </c>
      <c r="L29" s="33">
        <v>0</v>
      </c>
      <c r="M29" s="33">
        <v>2</v>
      </c>
      <c r="N29" s="33">
        <v>1</v>
      </c>
      <c r="O29" s="33">
        <f t="shared" si="0"/>
        <v>3</v>
      </c>
      <c r="P29" s="6">
        <f t="shared" si="2"/>
        <v>6135</v>
      </c>
    </row>
    <row r="30" spans="1:26" ht="18" customHeight="1" thickTop="1" thickBot="1" x14ac:dyDescent="0.35">
      <c r="A30" s="19">
        <v>25</v>
      </c>
      <c r="B30" s="33">
        <f>6905+11</f>
        <v>6916</v>
      </c>
      <c r="C30" s="33">
        <v>0</v>
      </c>
      <c r="D30" s="33">
        <v>898</v>
      </c>
      <c r="E30" s="33">
        <v>122</v>
      </c>
      <c r="F30" s="33">
        <v>91</v>
      </c>
      <c r="G30" s="33">
        <v>197</v>
      </c>
      <c r="H30" s="33">
        <f t="shared" si="1"/>
        <v>8224</v>
      </c>
      <c r="I30" s="33">
        <v>0</v>
      </c>
      <c r="J30" s="17"/>
      <c r="K30" s="19">
        <v>25</v>
      </c>
      <c r="L30" s="33">
        <v>2</v>
      </c>
      <c r="M30" s="33">
        <v>0</v>
      </c>
      <c r="N30" s="33">
        <v>1</v>
      </c>
      <c r="O30" s="33">
        <f t="shared" si="0"/>
        <v>3</v>
      </c>
      <c r="P30" s="6">
        <f t="shared" si="2"/>
        <v>6135</v>
      </c>
    </row>
    <row r="31" spans="1:26" ht="18" customHeight="1" thickTop="1" thickBot="1" x14ac:dyDescent="0.35">
      <c r="A31" s="19">
        <v>26</v>
      </c>
      <c r="B31" s="33">
        <f>2793+19</f>
        <v>2812</v>
      </c>
      <c r="C31" s="33">
        <v>4</v>
      </c>
      <c r="D31" s="33">
        <v>1092</v>
      </c>
      <c r="E31" s="33">
        <v>152</v>
      </c>
      <c r="F31" s="33">
        <v>146</v>
      </c>
      <c r="G31" s="33">
        <v>279</v>
      </c>
      <c r="H31" s="33">
        <f t="shared" si="1"/>
        <v>4485</v>
      </c>
      <c r="I31" s="33">
        <v>0</v>
      </c>
      <c r="J31" s="17"/>
      <c r="K31" s="19">
        <v>26</v>
      </c>
      <c r="L31" s="33">
        <v>1</v>
      </c>
      <c r="M31" s="33">
        <v>11</v>
      </c>
      <c r="N31" s="33">
        <v>4</v>
      </c>
      <c r="O31" s="33">
        <f t="shared" si="0"/>
        <v>16</v>
      </c>
      <c r="P31" s="6">
        <f t="shared" si="2"/>
        <v>6135</v>
      </c>
    </row>
    <row r="32" spans="1:26" ht="18" customHeight="1" thickTop="1" thickBot="1" x14ac:dyDescent="0.35">
      <c r="A32" s="19">
        <v>27</v>
      </c>
      <c r="B32" s="33">
        <v>2449</v>
      </c>
      <c r="C32" s="33">
        <v>4</v>
      </c>
      <c r="D32" s="33">
        <v>1160</v>
      </c>
      <c r="E32" s="33">
        <v>165</v>
      </c>
      <c r="F32" s="33">
        <v>182</v>
      </c>
      <c r="G32" s="33">
        <v>246</v>
      </c>
      <c r="H32" s="33">
        <f t="shared" si="1"/>
        <v>4206</v>
      </c>
      <c r="I32" s="33">
        <v>0</v>
      </c>
      <c r="J32" s="17"/>
      <c r="K32" s="19">
        <v>27</v>
      </c>
      <c r="L32" s="33">
        <v>0</v>
      </c>
      <c r="M32" s="33">
        <v>15</v>
      </c>
      <c r="N32" s="33">
        <v>5</v>
      </c>
      <c r="O32" s="33">
        <f t="shared" si="0"/>
        <v>20</v>
      </c>
      <c r="P32" s="6">
        <f t="shared" si="2"/>
        <v>6135</v>
      </c>
    </row>
    <row r="33" spans="1:16" ht="18" customHeight="1" thickTop="1" thickBot="1" x14ac:dyDescent="0.35">
      <c r="A33" s="19">
        <v>28</v>
      </c>
      <c r="B33" s="33">
        <f>2411+11</f>
        <v>2422</v>
      </c>
      <c r="C33" s="33">
        <v>0</v>
      </c>
      <c r="D33" s="33">
        <v>1149</v>
      </c>
      <c r="E33" s="33">
        <v>163</v>
      </c>
      <c r="F33" s="33">
        <v>214</v>
      </c>
      <c r="G33" s="33">
        <v>287</v>
      </c>
      <c r="H33" s="33">
        <f t="shared" si="1"/>
        <v>4235</v>
      </c>
      <c r="I33" s="33">
        <v>0</v>
      </c>
      <c r="J33" s="17"/>
      <c r="K33" s="19">
        <v>28</v>
      </c>
      <c r="L33" s="33">
        <v>0</v>
      </c>
      <c r="M33" s="33">
        <v>8</v>
      </c>
      <c r="N33" s="33">
        <v>4</v>
      </c>
      <c r="O33" s="33">
        <f t="shared" si="0"/>
        <v>12</v>
      </c>
      <c r="P33" s="6">
        <f t="shared" si="2"/>
        <v>6135</v>
      </c>
    </row>
    <row r="34" spans="1:16" ht="18" customHeight="1" thickTop="1" thickBot="1" x14ac:dyDescent="0.35">
      <c r="A34" s="19">
        <v>29</v>
      </c>
      <c r="B34" s="33">
        <f>2612+14</f>
        <v>2626</v>
      </c>
      <c r="C34" s="33">
        <v>4</v>
      </c>
      <c r="D34" s="33">
        <v>1167</v>
      </c>
      <c r="E34" s="33">
        <v>187</v>
      </c>
      <c r="F34" s="33">
        <v>202</v>
      </c>
      <c r="G34" s="33">
        <v>287</v>
      </c>
      <c r="H34" s="33">
        <f t="shared" si="1"/>
        <v>4473</v>
      </c>
      <c r="I34" s="33">
        <v>0</v>
      </c>
      <c r="J34" s="17"/>
      <c r="K34" s="19">
        <v>29</v>
      </c>
      <c r="L34" s="33">
        <v>0</v>
      </c>
      <c r="M34" s="33">
        <v>3</v>
      </c>
      <c r="N34" s="33">
        <v>6</v>
      </c>
      <c r="O34" s="33">
        <f>SUM(L34:N34)</f>
        <v>9</v>
      </c>
      <c r="P34" s="6">
        <f t="shared" si="2"/>
        <v>6135</v>
      </c>
    </row>
    <row r="35" spans="1:16" ht="18" customHeight="1" thickTop="1" thickBot="1" x14ac:dyDescent="0.35">
      <c r="A35" s="19">
        <v>30</v>
      </c>
      <c r="B35" s="33">
        <f>3710+14</f>
        <v>3724</v>
      </c>
      <c r="C35" s="33">
        <v>8</v>
      </c>
      <c r="D35" s="33">
        <v>1166</v>
      </c>
      <c r="E35" s="33">
        <v>149</v>
      </c>
      <c r="F35" s="33">
        <v>173</v>
      </c>
      <c r="G35" s="33">
        <v>197</v>
      </c>
      <c r="H35" s="33">
        <f t="shared" si="1"/>
        <v>5417</v>
      </c>
      <c r="I35" s="33">
        <v>0</v>
      </c>
      <c r="J35" s="17"/>
      <c r="K35" s="19">
        <v>30</v>
      </c>
      <c r="L35" s="33">
        <v>3</v>
      </c>
      <c r="M35" s="33">
        <v>4</v>
      </c>
      <c r="N35" s="33">
        <v>4</v>
      </c>
      <c r="O35" s="33">
        <f>SUM(L35:N35)</f>
        <v>11</v>
      </c>
      <c r="P35" s="6">
        <f t="shared" si="2"/>
        <v>6135</v>
      </c>
    </row>
    <row r="36" spans="1:16" ht="18" customHeight="1" thickTop="1" thickBot="1" x14ac:dyDescent="0.35">
      <c r="A36" s="19">
        <v>31</v>
      </c>
      <c r="B36" s="33">
        <f>4243+19</f>
        <v>4262</v>
      </c>
      <c r="C36" s="33">
        <v>16</v>
      </c>
      <c r="D36" s="33">
        <v>975</v>
      </c>
      <c r="E36" s="33">
        <v>112</v>
      </c>
      <c r="F36" s="33">
        <v>149</v>
      </c>
      <c r="G36" s="33">
        <v>193</v>
      </c>
      <c r="H36" s="33">
        <f t="shared" si="1"/>
        <v>5707</v>
      </c>
      <c r="I36" s="33">
        <v>0</v>
      </c>
      <c r="J36" s="17"/>
      <c r="K36" s="19">
        <v>31</v>
      </c>
      <c r="L36" s="33">
        <v>1</v>
      </c>
      <c r="M36" s="33">
        <v>6</v>
      </c>
      <c r="N36" s="33">
        <v>1</v>
      </c>
      <c r="O36" s="33">
        <f>SUM(L36:N36)</f>
        <v>8</v>
      </c>
      <c r="P36" s="6">
        <f t="shared" si="2"/>
        <v>6135</v>
      </c>
    </row>
    <row r="37" spans="1:16" ht="18" customHeight="1" thickTop="1" x14ac:dyDescent="0.3">
      <c r="A37" s="20" t="s">
        <v>19</v>
      </c>
      <c r="B37" s="14" t="e">
        <f>+#REF!+#REF!</f>
        <v>#REF!</v>
      </c>
      <c r="C37" s="14" t="e">
        <f>+#REF!+#REF!</f>
        <v>#REF!</v>
      </c>
      <c r="D37" s="14" t="e">
        <f>+#REF!+#REF!</f>
        <v>#REF!</v>
      </c>
      <c r="E37" s="14" t="e">
        <f>+#REF!+#REF!</f>
        <v>#REF!</v>
      </c>
      <c r="F37" s="14" t="e">
        <f>+#REF!+#REF!</f>
        <v>#REF!</v>
      </c>
      <c r="G37" s="14" t="e">
        <f>+#REF!+#REF!</f>
        <v>#REF!</v>
      </c>
      <c r="H37" s="14" t="e">
        <f>+#REF!+#REF!</f>
        <v>#REF!</v>
      </c>
      <c r="I37" s="14" t="e">
        <f>+#REF!+#REF!</f>
        <v>#REF!</v>
      </c>
      <c r="J37" s="26" t="e">
        <f>+#REF!+#REF!</f>
        <v>#REF!</v>
      </c>
      <c r="K37" s="7"/>
      <c r="L37" s="7"/>
      <c r="M37" s="7"/>
      <c r="N37" s="7"/>
      <c r="O37" s="7"/>
    </row>
    <row r="38" spans="1:16" ht="18" customHeight="1" x14ac:dyDescent="0.3">
      <c r="A38" s="20" t="s">
        <v>19</v>
      </c>
      <c r="B38" s="59" t="e">
        <f>+B37+C37</f>
        <v>#REF!</v>
      </c>
      <c r="C38" s="59"/>
      <c r="D38" s="14" t="e">
        <f>+D37</f>
        <v>#REF!</v>
      </c>
      <c r="E38" s="14" t="e">
        <f>+E37</f>
        <v>#REF!</v>
      </c>
      <c r="F38" s="14" t="e">
        <f>+F37</f>
        <v>#REF!</v>
      </c>
      <c r="G38" s="14" t="e">
        <f>+G37</f>
        <v>#REF!</v>
      </c>
      <c r="H38" s="8" t="e">
        <f>+H37</f>
        <v>#REF!</v>
      </c>
      <c r="I38" s="14">
        <v>0</v>
      </c>
      <c r="J38" s="31"/>
      <c r="K38" s="13"/>
      <c r="L38" s="13" t="s">
        <v>20</v>
      </c>
      <c r="M38" s="13" t="s">
        <v>21</v>
      </c>
      <c r="N38" s="13" t="s">
        <v>20</v>
      </c>
      <c r="O38" s="13" t="s">
        <v>21</v>
      </c>
    </row>
    <row r="39" spans="1:16" ht="18" customHeight="1" x14ac:dyDescent="0.3">
      <c r="A39" s="30" t="s">
        <v>22</v>
      </c>
      <c r="B39" s="12"/>
      <c r="C39" s="12"/>
      <c r="D39" s="12"/>
      <c r="E39" s="12"/>
      <c r="F39" s="12"/>
      <c r="G39" s="12"/>
      <c r="H39" s="12"/>
      <c r="L39" s="11"/>
    </row>
    <row r="40" spans="1:16" x14ac:dyDescent="0.3">
      <c r="A40" s="28"/>
      <c r="B40" s="10"/>
      <c r="C40" s="10"/>
      <c r="D40" s="10"/>
      <c r="E40" s="10"/>
      <c r="F40" s="10"/>
      <c r="G40" s="10"/>
      <c r="H40" s="10"/>
      <c r="I40" s="10"/>
      <c r="J40" s="11"/>
      <c r="K40" s="57"/>
      <c r="L40" s="56"/>
    </row>
    <row r="41" spans="1:16" x14ac:dyDescent="0.3">
      <c r="A41" s="32"/>
      <c r="H41" s="32"/>
      <c r="K41" s="57"/>
      <c r="L41" s="56"/>
    </row>
    <row r="42" spans="1:16" x14ac:dyDescent="0.3">
      <c r="K42" s="57"/>
      <c r="L42" s="56"/>
    </row>
    <row r="43" spans="1:16" x14ac:dyDescent="0.3">
      <c r="I43" s="32"/>
      <c r="J43" s="32"/>
    </row>
    <row r="45" spans="1:16" x14ac:dyDescent="0.3">
      <c r="A45" s="27"/>
    </row>
    <row r="46" spans="1:16" x14ac:dyDescent="0.3">
      <c r="A46" s="27"/>
      <c r="B46" s="32"/>
      <c r="C46" s="32"/>
      <c r="D46" s="32"/>
      <c r="E46" s="32"/>
      <c r="F46" s="32"/>
      <c r="G46" s="32"/>
      <c r="H46" s="32"/>
      <c r="I46" s="32"/>
      <c r="J46" s="32"/>
      <c r="K46" s="9"/>
      <c r="L46" s="32"/>
      <c r="M46" s="32"/>
      <c r="N46" s="32"/>
      <c r="O46" s="32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9C92-06CA-4C4A-A46E-0FD50E0609C5}">
  <dimension ref="A1:Z46"/>
  <sheetViews>
    <sheetView workbookViewId="0">
      <selection activeCell="E41" sqref="E41"/>
    </sheetView>
  </sheetViews>
  <sheetFormatPr baseColWidth="10" defaultRowHeight="14.4" x14ac:dyDescent="0.3"/>
  <cols>
    <col min="16" max="16" width="0" hidden="1" customWidth="1"/>
  </cols>
  <sheetData>
    <row r="1" spans="1:19" ht="15.6" x14ac:dyDescent="0.3">
      <c r="A1" s="64" t="s">
        <v>23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46"/>
      <c r="Q1" s="46"/>
      <c r="R1" s="46"/>
      <c r="S1" s="46"/>
    </row>
    <row r="2" spans="1:19" ht="15.6" x14ac:dyDescent="0.3">
      <c r="A2" s="64" t="s">
        <v>24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46"/>
      <c r="Q2" s="46"/>
      <c r="R2" s="46"/>
      <c r="S2" s="46"/>
    </row>
    <row r="3" spans="1:19" ht="15.6" x14ac:dyDescent="0.3">
      <c r="A3" s="68" t="s">
        <v>25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46"/>
      <c r="Q3" s="46"/>
      <c r="R3" s="46"/>
      <c r="S3" s="46"/>
    </row>
    <row r="4" spans="1:19" ht="82.8" x14ac:dyDescent="0.3">
      <c r="A4" s="66" t="s">
        <v>1</v>
      </c>
      <c r="B4" s="69" t="s">
        <v>2</v>
      </c>
      <c r="C4" s="69"/>
      <c r="D4" s="2" t="s">
        <v>3</v>
      </c>
      <c r="E4" s="2" t="s">
        <v>4</v>
      </c>
      <c r="F4" s="2" t="s">
        <v>5</v>
      </c>
      <c r="G4" s="2" t="s">
        <v>6</v>
      </c>
      <c r="H4" s="69" t="s">
        <v>7</v>
      </c>
      <c r="I4" s="69" t="s">
        <v>8</v>
      </c>
      <c r="J4" s="37"/>
      <c r="K4" s="71" t="s">
        <v>1</v>
      </c>
      <c r="L4" s="69" t="s">
        <v>9</v>
      </c>
      <c r="M4" s="69" t="s">
        <v>10</v>
      </c>
      <c r="N4" s="69" t="s">
        <v>11</v>
      </c>
      <c r="O4" s="69" t="s">
        <v>12</v>
      </c>
      <c r="P4" s="36"/>
      <c r="Q4" s="36"/>
      <c r="R4" s="36"/>
      <c r="S4" s="36"/>
    </row>
    <row r="5" spans="1:19" x14ac:dyDescent="0.3">
      <c r="A5" s="67"/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69"/>
      <c r="I5" s="69"/>
      <c r="J5" s="37"/>
      <c r="K5" s="71"/>
      <c r="L5" s="69"/>
      <c r="M5" s="69"/>
      <c r="N5" s="69"/>
      <c r="O5" s="69"/>
      <c r="P5" s="36"/>
      <c r="Q5" s="36"/>
      <c r="R5" s="36"/>
      <c r="S5" s="36"/>
    </row>
    <row r="6" spans="1:19" ht="15" thickBot="1" x14ac:dyDescent="0.35">
      <c r="A6" s="38">
        <v>1</v>
      </c>
      <c r="B6" s="39">
        <v>5863</v>
      </c>
      <c r="C6" s="39">
        <v>6</v>
      </c>
      <c r="D6" s="39">
        <v>850</v>
      </c>
      <c r="E6" s="39">
        <v>117</v>
      </c>
      <c r="F6" s="39">
        <v>83</v>
      </c>
      <c r="G6" s="39">
        <v>160</v>
      </c>
      <c r="H6" s="39">
        <v>7079</v>
      </c>
      <c r="I6" s="39">
        <v>0</v>
      </c>
      <c r="J6" s="40"/>
      <c r="K6" s="38">
        <v>1</v>
      </c>
      <c r="L6" s="58">
        <v>0</v>
      </c>
      <c r="M6" s="58">
        <v>4</v>
      </c>
      <c r="N6" s="58">
        <v>1</v>
      </c>
      <c r="O6" s="39">
        <v>5</v>
      </c>
      <c r="P6" s="50">
        <v>6135</v>
      </c>
      <c r="Q6" s="36"/>
      <c r="R6" s="36"/>
      <c r="S6" s="36"/>
    </row>
    <row r="7" spans="1:19" ht="15.6" thickTop="1" thickBot="1" x14ac:dyDescent="0.35">
      <c r="A7" s="38">
        <v>2</v>
      </c>
      <c r="B7" s="39">
        <v>2346</v>
      </c>
      <c r="C7" s="39">
        <v>2</v>
      </c>
      <c r="D7" s="39">
        <v>1010</v>
      </c>
      <c r="E7" s="39">
        <v>141</v>
      </c>
      <c r="F7" s="39">
        <v>162</v>
      </c>
      <c r="G7" s="39">
        <v>200</v>
      </c>
      <c r="H7" s="39">
        <v>3861</v>
      </c>
      <c r="I7" s="39">
        <v>0</v>
      </c>
      <c r="J7" s="40"/>
      <c r="K7" s="38">
        <v>2</v>
      </c>
      <c r="L7" s="58">
        <v>2</v>
      </c>
      <c r="M7" s="58">
        <v>12</v>
      </c>
      <c r="N7" s="58">
        <v>3</v>
      </c>
      <c r="O7" s="39">
        <v>17</v>
      </c>
      <c r="P7" s="50">
        <v>6135</v>
      </c>
      <c r="Q7" s="36"/>
      <c r="R7" s="36"/>
      <c r="S7" s="36"/>
    </row>
    <row r="8" spans="1:19" ht="15.6" thickTop="1" thickBot="1" x14ac:dyDescent="0.35">
      <c r="A8" s="38">
        <v>3</v>
      </c>
      <c r="B8" s="39">
        <v>2116</v>
      </c>
      <c r="C8" s="39">
        <v>2</v>
      </c>
      <c r="D8" s="39">
        <v>1172</v>
      </c>
      <c r="E8" s="39">
        <v>172</v>
      </c>
      <c r="F8" s="39">
        <v>193</v>
      </c>
      <c r="G8" s="39">
        <v>235</v>
      </c>
      <c r="H8" s="39">
        <v>3890</v>
      </c>
      <c r="I8" s="39">
        <v>0</v>
      </c>
      <c r="J8" s="40"/>
      <c r="K8" s="38">
        <v>3</v>
      </c>
      <c r="L8" s="58">
        <v>3</v>
      </c>
      <c r="M8" s="58">
        <v>12</v>
      </c>
      <c r="N8" s="58">
        <v>2</v>
      </c>
      <c r="O8" s="39">
        <v>17</v>
      </c>
      <c r="P8" s="50">
        <v>6135</v>
      </c>
      <c r="Q8" s="36"/>
      <c r="R8" s="36"/>
      <c r="S8" s="44"/>
    </row>
    <row r="9" spans="1:19" ht="15.6" thickTop="1" thickBot="1" x14ac:dyDescent="0.35">
      <c r="A9" s="38">
        <v>4</v>
      </c>
      <c r="B9" s="39">
        <v>2339</v>
      </c>
      <c r="C9" s="39">
        <v>4</v>
      </c>
      <c r="D9" s="39">
        <v>1153</v>
      </c>
      <c r="E9" s="39">
        <v>161</v>
      </c>
      <c r="F9" s="39">
        <v>207</v>
      </c>
      <c r="G9" s="39">
        <v>264</v>
      </c>
      <c r="H9" s="39">
        <v>4128</v>
      </c>
      <c r="I9" s="39">
        <v>0</v>
      </c>
      <c r="J9" s="40"/>
      <c r="K9" s="38">
        <v>4</v>
      </c>
      <c r="L9" s="58">
        <v>0</v>
      </c>
      <c r="M9" s="58">
        <v>7</v>
      </c>
      <c r="N9" s="58">
        <v>1</v>
      </c>
      <c r="O9" s="39">
        <v>8</v>
      </c>
      <c r="P9" s="50">
        <v>6135</v>
      </c>
      <c r="Q9" s="36"/>
      <c r="R9" s="36"/>
      <c r="S9" s="36"/>
    </row>
    <row r="10" spans="1:19" ht="15.6" thickTop="1" thickBot="1" x14ac:dyDescent="0.35">
      <c r="A10" s="38">
        <v>5</v>
      </c>
      <c r="B10" s="39">
        <v>1920</v>
      </c>
      <c r="C10" s="39">
        <v>2</v>
      </c>
      <c r="D10" s="39">
        <v>1302</v>
      </c>
      <c r="E10" s="39">
        <v>207</v>
      </c>
      <c r="F10" s="39">
        <v>194</v>
      </c>
      <c r="G10" s="39">
        <v>316</v>
      </c>
      <c r="H10" s="39">
        <v>3941</v>
      </c>
      <c r="I10" s="39">
        <v>0</v>
      </c>
      <c r="J10" s="40"/>
      <c r="K10" s="38">
        <v>5</v>
      </c>
      <c r="L10" s="58">
        <v>1</v>
      </c>
      <c r="M10" s="58">
        <v>18</v>
      </c>
      <c r="N10" s="58">
        <v>3</v>
      </c>
      <c r="O10" s="39">
        <v>22</v>
      </c>
      <c r="P10" s="50">
        <v>6135</v>
      </c>
      <c r="Q10" s="36"/>
      <c r="R10" s="36"/>
      <c r="S10" s="36"/>
    </row>
    <row r="11" spans="1:19" ht="15.6" thickTop="1" thickBot="1" x14ac:dyDescent="0.35">
      <c r="A11" s="38">
        <v>6</v>
      </c>
      <c r="B11" s="39">
        <v>3490</v>
      </c>
      <c r="C11" s="39">
        <v>4</v>
      </c>
      <c r="D11" s="39">
        <v>1133</v>
      </c>
      <c r="E11" s="39">
        <v>159</v>
      </c>
      <c r="F11" s="39">
        <v>180</v>
      </c>
      <c r="G11" s="39">
        <v>235</v>
      </c>
      <c r="H11" s="39">
        <v>5201</v>
      </c>
      <c r="I11" s="39">
        <v>0</v>
      </c>
      <c r="J11" s="40"/>
      <c r="K11" s="38">
        <v>6</v>
      </c>
      <c r="L11" s="58">
        <v>3</v>
      </c>
      <c r="M11" s="58">
        <v>12</v>
      </c>
      <c r="N11" s="58">
        <v>5</v>
      </c>
      <c r="O11" s="39">
        <v>20</v>
      </c>
      <c r="P11" s="50">
        <v>6135</v>
      </c>
      <c r="Q11" s="36"/>
      <c r="R11" s="36"/>
      <c r="S11" s="36"/>
    </row>
    <row r="12" spans="1:19" ht="15.6" thickTop="1" thickBot="1" x14ac:dyDescent="0.35">
      <c r="A12" s="38">
        <v>7</v>
      </c>
      <c r="B12" s="39">
        <v>3562</v>
      </c>
      <c r="C12" s="39">
        <v>2</v>
      </c>
      <c r="D12" s="39">
        <v>983</v>
      </c>
      <c r="E12" s="39">
        <v>99</v>
      </c>
      <c r="F12" s="39">
        <v>168</v>
      </c>
      <c r="G12" s="39">
        <v>206</v>
      </c>
      <c r="H12" s="39">
        <v>5020</v>
      </c>
      <c r="I12" s="39">
        <v>0</v>
      </c>
      <c r="J12" s="41"/>
      <c r="K12" s="38">
        <v>7</v>
      </c>
      <c r="L12" s="58">
        <v>2</v>
      </c>
      <c r="M12" s="58">
        <v>4</v>
      </c>
      <c r="N12" s="58">
        <v>1</v>
      </c>
      <c r="O12" s="39">
        <v>7</v>
      </c>
      <c r="P12" s="50">
        <v>6135</v>
      </c>
      <c r="Q12" s="36"/>
      <c r="R12" s="36"/>
      <c r="S12" s="36"/>
    </row>
    <row r="13" spans="1:19" ht="15.6" thickTop="1" thickBot="1" x14ac:dyDescent="0.35">
      <c r="A13" s="38">
        <v>8</v>
      </c>
      <c r="B13" s="39">
        <v>5022</v>
      </c>
      <c r="C13" s="39">
        <v>4</v>
      </c>
      <c r="D13" s="39">
        <v>839</v>
      </c>
      <c r="E13" s="39">
        <v>128</v>
      </c>
      <c r="F13" s="39">
        <v>110</v>
      </c>
      <c r="G13" s="39">
        <v>201</v>
      </c>
      <c r="H13" s="39">
        <v>6304</v>
      </c>
      <c r="I13" s="39">
        <v>0</v>
      </c>
      <c r="J13" s="41"/>
      <c r="K13" s="38">
        <v>8</v>
      </c>
      <c r="L13" s="58">
        <v>3</v>
      </c>
      <c r="M13" s="58">
        <v>1</v>
      </c>
      <c r="N13" s="58">
        <v>0</v>
      </c>
      <c r="O13" s="39">
        <v>4</v>
      </c>
      <c r="P13" s="50">
        <v>6135</v>
      </c>
      <c r="Q13" s="36"/>
      <c r="R13" s="36"/>
      <c r="S13" s="36"/>
    </row>
    <row r="14" spans="1:19" ht="15.6" thickTop="1" thickBot="1" x14ac:dyDescent="0.35">
      <c r="A14" s="38">
        <v>9</v>
      </c>
      <c r="B14" s="39">
        <v>2187</v>
      </c>
      <c r="C14" s="39">
        <v>4</v>
      </c>
      <c r="D14" s="39">
        <v>989</v>
      </c>
      <c r="E14" s="39">
        <v>182</v>
      </c>
      <c r="F14" s="39">
        <v>174</v>
      </c>
      <c r="G14" s="39">
        <v>219</v>
      </c>
      <c r="H14" s="39">
        <v>3755</v>
      </c>
      <c r="I14" s="39">
        <v>0</v>
      </c>
      <c r="J14" s="41"/>
      <c r="K14" s="38">
        <v>9</v>
      </c>
      <c r="L14" s="58">
        <v>0</v>
      </c>
      <c r="M14" s="58">
        <v>21</v>
      </c>
      <c r="N14" s="58">
        <v>1</v>
      </c>
      <c r="O14" s="39">
        <v>22</v>
      </c>
      <c r="P14" s="51">
        <v>6135</v>
      </c>
      <c r="Q14" s="47"/>
      <c r="R14" s="47"/>
      <c r="S14" s="47"/>
    </row>
    <row r="15" spans="1:19" ht="15.6" thickTop="1" thickBot="1" x14ac:dyDescent="0.35">
      <c r="A15" s="38">
        <v>10</v>
      </c>
      <c r="B15" s="39">
        <v>2101</v>
      </c>
      <c r="C15" s="39">
        <v>4</v>
      </c>
      <c r="D15" s="39">
        <v>1179</v>
      </c>
      <c r="E15" s="39">
        <v>180</v>
      </c>
      <c r="F15" s="39">
        <v>179</v>
      </c>
      <c r="G15" s="39">
        <v>253</v>
      </c>
      <c r="H15" s="39">
        <v>3896</v>
      </c>
      <c r="I15" s="39">
        <v>0</v>
      </c>
      <c r="J15" s="41"/>
      <c r="K15" s="38">
        <v>10</v>
      </c>
      <c r="L15" s="58">
        <v>2</v>
      </c>
      <c r="M15" s="58">
        <v>11</v>
      </c>
      <c r="N15" s="58">
        <v>5</v>
      </c>
      <c r="O15" s="39">
        <v>18</v>
      </c>
      <c r="P15" s="50">
        <v>6135</v>
      </c>
      <c r="Q15" s="36"/>
      <c r="R15" s="36"/>
      <c r="S15" s="36"/>
    </row>
    <row r="16" spans="1:19" ht="15.6" thickTop="1" thickBot="1" x14ac:dyDescent="0.35">
      <c r="A16" s="38">
        <v>11</v>
      </c>
      <c r="B16" s="39">
        <v>2125</v>
      </c>
      <c r="C16" s="39">
        <v>0</v>
      </c>
      <c r="D16" s="39">
        <v>1165</v>
      </c>
      <c r="E16" s="39">
        <v>187</v>
      </c>
      <c r="F16" s="39">
        <v>206</v>
      </c>
      <c r="G16" s="39">
        <v>258</v>
      </c>
      <c r="H16" s="39">
        <v>3941</v>
      </c>
      <c r="I16" s="39">
        <v>0</v>
      </c>
      <c r="J16" s="41"/>
      <c r="K16" s="38">
        <v>11</v>
      </c>
      <c r="L16" s="58">
        <v>0</v>
      </c>
      <c r="M16" s="58">
        <v>28</v>
      </c>
      <c r="N16" s="58">
        <v>5</v>
      </c>
      <c r="O16" s="39">
        <v>33</v>
      </c>
      <c r="P16" s="50">
        <v>6135</v>
      </c>
      <c r="Q16" s="36"/>
      <c r="R16" s="36"/>
      <c r="S16" s="36"/>
    </row>
    <row r="17" spans="1:26" ht="15.6" thickTop="1" thickBot="1" x14ac:dyDescent="0.35">
      <c r="A17" s="38">
        <v>12</v>
      </c>
      <c r="B17" s="39">
        <v>2390</v>
      </c>
      <c r="C17" s="39">
        <v>2</v>
      </c>
      <c r="D17" s="39">
        <v>1175</v>
      </c>
      <c r="E17" s="39">
        <v>207</v>
      </c>
      <c r="F17" s="39">
        <v>188</v>
      </c>
      <c r="G17" s="39">
        <v>289</v>
      </c>
      <c r="H17" s="39">
        <v>4251</v>
      </c>
      <c r="I17" s="39">
        <v>0</v>
      </c>
      <c r="J17" s="41"/>
      <c r="K17" s="38">
        <v>12</v>
      </c>
      <c r="L17" s="58">
        <v>1</v>
      </c>
      <c r="M17" s="58">
        <v>11</v>
      </c>
      <c r="N17" s="58">
        <v>1</v>
      </c>
      <c r="O17" s="39">
        <v>13</v>
      </c>
      <c r="P17" s="50">
        <v>6135</v>
      </c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6" thickTop="1" thickBot="1" x14ac:dyDescent="0.35">
      <c r="A18" s="38">
        <v>13</v>
      </c>
      <c r="B18" s="39">
        <v>3374</v>
      </c>
      <c r="C18" s="39">
        <v>2</v>
      </c>
      <c r="D18" s="39">
        <v>1230</v>
      </c>
      <c r="E18" s="39">
        <v>191</v>
      </c>
      <c r="F18" s="39">
        <v>199</v>
      </c>
      <c r="G18" s="39">
        <v>219</v>
      </c>
      <c r="H18" s="39">
        <v>5215</v>
      </c>
      <c r="I18" s="39">
        <v>0</v>
      </c>
      <c r="J18" s="41"/>
      <c r="K18" s="38">
        <v>13</v>
      </c>
      <c r="L18" s="58">
        <v>4</v>
      </c>
      <c r="M18" s="58">
        <v>15</v>
      </c>
      <c r="N18" s="58">
        <v>6</v>
      </c>
      <c r="O18" s="39">
        <v>25</v>
      </c>
      <c r="P18" s="50">
        <v>6135</v>
      </c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6" thickTop="1" thickBot="1" x14ac:dyDescent="0.35">
      <c r="A19" s="38">
        <v>14</v>
      </c>
      <c r="B19" s="39">
        <v>3661</v>
      </c>
      <c r="C19" s="39">
        <v>2</v>
      </c>
      <c r="D19" s="39">
        <v>935</v>
      </c>
      <c r="E19" s="39">
        <v>123</v>
      </c>
      <c r="F19" s="39">
        <v>190</v>
      </c>
      <c r="G19" s="39">
        <v>194</v>
      </c>
      <c r="H19" s="39">
        <v>5105</v>
      </c>
      <c r="I19" s="39">
        <v>0</v>
      </c>
      <c r="J19" s="41"/>
      <c r="K19" s="38">
        <v>14</v>
      </c>
      <c r="L19" s="58">
        <v>1</v>
      </c>
      <c r="M19" s="58">
        <v>8</v>
      </c>
      <c r="N19" s="58">
        <v>1</v>
      </c>
      <c r="O19" s="39">
        <v>10</v>
      </c>
      <c r="P19" s="50">
        <v>6135</v>
      </c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6" thickTop="1" thickBot="1" x14ac:dyDescent="0.35">
      <c r="A20" s="38">
        <v>15</v>
      </c>
      <c r="B20" s="39">
        <v>5100</v>
      </c>
      <c r="C20" s="39">
        <v>4</v>
      </c>
      <c r="D20" s="39">
        <v>798</v>
      </c>
      <c r="E20" s="39">
        <v>95</v>
      </c>
      <c r="F20" s="39">
        <v>111</v>
      </c>
      <c r="G20" s="39">
        <v>154</v>
      </c>
      <c r="H20" s="39">
        <v>6262</v>
      </c>
      <c r="I20" s="39">
        <v>0</v>
      </c>
      <c r="J20" s="41"/>
      <c r="K20" s="38">
        <v>15</v>
      </c>
      <c r="L20" s="58">
        <v>0</v>
      </c>
      <c r="M20" s="58">
        <v>4</v>
      </c>
      <c r="N20" s="58">
        <v>3</v>
      </c>
      <c r="O20" s="39">
        <v>7</v>
      </c>
      <c r="P20" s="50">
        <v>6135</v>
      </c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6" thickTop="1" thickBot="1" x14ac:dyDescent="0.35">
      <c r="A21" s="38">
        <v>16</v>
      </c>
      <c r="B21" s="39">
        <v>2194</v>
      </c>
      <c r="C21" s="39">
        <v>2</v>
      </c>
      <c r="D21" s="39">
        <v>972</v>
      </c>
      <c r="E21" s="39">
        <v>198</v>
      </c>
      <c r="F21" s="39">
        <v>186</v>
      </c>
      <c r="G21" s="39">
        <v>227</v>
      </c>
      <c r="H21" s="39">
        <v>3779</v>
      </c>
      <c r="I21" s="39">
        <v>0</v>
      </c>
      <c r="J21" s="41"/>
      <c r="K21" s="38">
        <v>16</v>
      </c>
      <c r="L21" s="58">
        <v>0</v>
      </c>
      <c r="M21" s="58">
        <v>17</v>
      </c>
      <c r="N21" s="58">
        <v>1</v>
      </c>
      <c r="O21" s="39">
        <v>18</v>
      </c>
      <c r="P21" s="50">
        <v>6135</v>
      </c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6" thickTop="1" thickBot="1" x14ac:dyDescent="0.35">
      <c r="A22" s="38">
        <v>17</v>
      </c>
      <c r="B22" s="39">
        <v>2187</v>
      </c>
      <c r="C22" s="39">
        <v>2</v>
      </c>
      <c r="D22" s="39">
        <v>1142</v>
      </c>
      <c r="E22" s="39">
        <v>171</v>
      </c>
      <c r="F22" s="39">
        <v>194</v>
      </c>
      <c r="G22" s="39">
        <v>253</v>
      </c>
      <c r="H22" s="39">
        <v>3949</v>
      </c>
      <c r="I22" s="39">
        <v>0</v>
      </c>
      <c r="J22" s="41"/>
      <c r="K22" s="38">
        <v>17</v>
      </c>
      <c r="L22" s="58">
        <v>0</v>
      </c>
      <c r="M22" s="58">
        <v>13</v>
      </c>
      <c r="N22" s="58">
        <v>4</v>
      </c>
      <c r="O22" s="39">
        <v>17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8">
        <v>18</v>
      </c>
      <c r="B23" s="39">
        <v>2180</v>
      </c>
      <c r="C23" s="39">
        <v>2</v>
      </c>
      <c r="D23" s="39">
        <v>1183</v>
      </c>
      <c r="E23" s="39">
        <v>171</v>
      </c>
      <c r="F23" s="39">
        <v>192</v>
      </c>
      <c r="G23" s="39">
        <v>276</v>
      </c>
      <c r="H23" s="39">
        <v>4004</v>
      </c>
      <c r="I23" s="39">
        <v>0</v>
      </c>
      <c r="J23" s="41"/>
      <c r="K23" s="38">
        <v>18</v>
      </c>
      <c r="L23" s="58">
        <v>2</v>
      </c>
      <c r="M23" s="58">
        <v>21</v>
      </c>
      <c r="N23" s="58">
        <v>4</v>
      </c>
      <c r="O23" s="39">
        <v>27</v>
      </c>
      <c r="P23" s="50">
        <v>6135</v>
      </c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6" thickTop="1" thickBot="1" x14ac:dyDescent="0.35">
      <c r="A24" s="38">
        <v>19</v>
      </c>
      <c r="B24" s="39">
        <v>2310</v>
      </c>
      <c r="C24" s="39">
        <v>2</v>
      </c>
      <c r="D24" s="39">
        <v>1232</v>
      </c>
      <c r="E24" s="39">
        <v>215</v>
      </c>
      <c r="F24" s="39">
        <v>201</v>
      </c>
      <c r="G24" s="39">
        <v>281</v>
      </c>
      <c r="H24" s="39">
        <v>4241</v>
      </c>
      <c r="I24" s="39">
        <v>0</v>
      </c>
      <c r="J24" s="41"/>
      <c r="K24" s="38">
        <v>19</v>
      </c>
      <c r="L24" s="58">
        <v>4</v>
      </c>
      <c r="M24" s="58">
        <v>19</v>
      </c>
      <c r="N24" s="58">
        <v>4</v>
      </c>
      <c r="O24" s="39">
        <v>27</v>
      </c>
      <c r="P24" s="50">
        <v>6135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6" thickTop="1" thickBot="1" x14ac:dyDescent="0.35">
      <c r="A25" s="38">
        <v>20</v>
      </c>
      <c r="B25" s="39">
        <v>3398</v>
      </c>
      <c r="C25" s="39">
        <v>2</v>
      </c>
      <c r="D25" s="39">
        <v>1165</v>
      </c>
      <c r="E25" s="39">
        <v>201</v>
      </c>
      <c r="F25" s="39">
        <v>186</v>
      </c>
      <c r="G25" s="39">
        <v>279</v>
      </c>
      <c r="H25" s="39">
        <v>5231</v>
      </c>
      <c r="I25" s="39">
        <v>0</v>
      </c>
      <c r="J25" s="41"/>
      <c r="K25" s="38">
        <v>20</v>
      </c>
      <c r="L25" s="58">
        <v>2</v>
      </c>
      <c r="M25" s="58">
        <v>23</v>
      </c>
      <c r="N25" s="58">
        <v>3</v>
      </c>
      <c r="O25" s="39">
        <v>28</v>
      </c>
      <c r="P25" s="50">
        <v>6135</v>
      </c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6" thickTop="1" thickBot="1" x14ac:dyDescent="0.35">
      <c r="A26" s="38">
        <v>21</v>
      </c>
      <c r="B26" s="39">
        <v>3644</v>
      </c>
      <c r="C26" s="39">
        <v>2</v>
      </c>
      <c r="D26" s="39">
        <v>1012</v>
      </c>
      <c r="E26" s="39">
        <v>111</v>
      </c>
      <c r="F26" s="39">
        <v>181</v>
      </c>
      <c r="G26" s="39">
        <v>219</v>
      </c>
      <c r="H26" s="39">
        <v>5169</v>
      </c>
      <c r="I26" s="39">
        <v>0</v>
      </c>
      <c r="J26" s="41"/>
      <c r="K26" s="38">
        <v>21</v>
      </c>
      <c r="L26" s="58">
        <v>4</v>
      </c>
      <c r="M26" s="58">
        <v>7</v>
      </c>
      <c r="N26" s="58">
        <v>1</v>
      </c>
      <c r="O26" s="39">
        <v>12</v>
      </c>
      <c r="P26" s="50">
        <v>6135</v>
      </c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6" thickTop="1" thickBot="1" x14ac:dyDescent="0.35">
      <c r="A27" s="38">
        <v>22</v>
      </c>
      <c r="B27" s="39">
        <v>5167</v>
      </c>
      <c r="C27" s="39">
        <v>2</v>
      </c>
      <c r="D27" s="39">
        <v>825</v>
      </c>
      <c r="E27" s="39">
        <v>130</v>
      </c>
      <c r="F27" s="39">
        <v>104</v>
      </c>
      <c r="G27" s="39">
        <v>235</v>
      </c>
      <c r="H27" s="39">
        <v>6463</v>
      </c>
      <c r="I27" s="39">
        <v>0</v>
      </c>
      <c r="J27" s="41"/>
      <c r="K27" s="38">
        <v>22</v>
      </c>
      <c r="L27" s="58">
        <v>0</v>
      </c>
      <c r="M27" s="58">
        <v>6</v>
      </c>
      <c r="N27" s="58">
        <v>1</v>
      </c>
      <c r="O27" s="39">
        <v>7</v>
      </c>
      <c r="P27" s="50">
        <v>6135</v>
      </c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6" thickTop="1" thickBot="1" x14ac:dyDescent="0.35">
      <c r="A28" s="38">
        <v>23</v>
      </c>
      <c r="B28" s="39">
        <v>2246</v>
      </c>
      <c r="C28" s="39">
        <v>2</v>
      </c>
      <c r="D28" s="39">
        <v>959</v>
      </c>
      <c r="E28" s="39">
        <v>163</v>
      </c>
      <c r="F28" s="39">
        <v>153</v>
      </c>
      <c r="G28" s="39">
        <v>234</v>
      </c>
      <c r="H28" s="39">
        <v>3757</v>
      </c>
      <c r="I28" s="39">
        <v>0</v>
      </c>
      <c r="J28" s="41"/>
      <c r="K28" s="38">
        <v>23</v>
      </c>
      <c r="L28" s="58">
        <v>1</v>
      </c>
      <c r="M28" s="58">
        <v>7</v>
      </c>
      <c r="N28" s="58">
        <v>0</v>
      </c>
      <c r="O28" s="39">
        <v>8</v>
      </c>
      <c r="P28" s="50">
        <v>6135</v>
      </c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6" thickTop="1" thickBot="1" x14ac:dyDescent="0.35">
      <c r="A29" s="38">
        <v>24</v>
      </c>
      <c r="B29" s="39">
        <v>2095</v>
      </c>
      <c r="C29" s="39">
        <v>2</v>
      </c>
      <c r="D29" s="39">
        <v>1228</v>
      </c>
      <c r="E29" s="39">
        <v>168</v>
      </c>
      <c r="F29" s="39">
        <v>197</v>
      </c>
      <c r="G29" s="39">
        <v>255</v>
      </c>
      <c r="H29" s="39">
        <v>3945</v>
      </c>
      <c r="I29" s="39">
        <v>0</v>
      </c>
      <c r="J29" s="41"/>
      <c r="K29" s="38">
        <v>24</v>
      </c>
      <c r="L29" s="58">
        <v>0</v>
      </c>
      <c r="M29" s="58">
        <v>7</v>
      </c>
      <c r="N29" s="58">
        <v>0</v>
      </c>
      <c r="O29" s="39">
        <v>7</v>
      </c>
      <c r="P29" s="50">
        <v>6135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6" thickTop="1" thickBot="1" x14ac:dyDescent="0.35">
      <c r="A30" s="38">
        <v>25</v>
      </c>
      <c r="B30" s="39">
        <v>2137</v>
      </c>
      <c r="C30" s="39">
        <v>4</v>
      </c>
      <c r="D30" s="39">
        <v>1204</v>
      </c>
      <c r="E30" s="39">
        <v>154</v>
      </c>
      <c r="F30" s="39">
        <v>196</v>
      </c>
      <c r="G30" s="39">
        <v>296</v>
      </c>
      <c r="H30" s="39">
        <v>3991</v>
      </c>
      <c r="I30" s="39">
        <v>0</v>
      </c>
      <c r="J30" s="41"/>
      <c r="K30" s="38">
        <v>25</v>
      </c>
      <c r="L30" s="58">
        <v>0</v>
      </c>
      <c r="M30" s="58">
        <v>9</v>
      </c>
      <c r="N30" s="58">
        <v>4</v>
      </c>
      <c r="O30" s="39">
        <v>13</v>
      </c>
      <c r="P30" s="50">
        <v>6135</v>
      </c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6" thickTop="1" thickBot="1" x14ac:dyDescent="0.35">
      <c r="A31" s="38">
        <v>26</v>
      </c>
      <c r="B31" s="39">
        <v>2310</v>
      </c>
      <c r="C31" s="39">
        <v>20</v>
      </c>
      <c r="D31" s="39">
        <v>1231</v>
      </c>
      <c r="E31" s="39">
        <v>165</v>
      </c>
      <c r="F31" s="39">
        <v>177</v>
      </c>
      <c r="G31" s="39">
        <v>239</v>
      </c>
      <c r="H31" s="39">
        <v>4142</v>
      </c>
      <c r="I31" s="39">
        <v>0</v>
      </c>
      <c r="J31" s="41"/>
      <c r="K31" s="38">
        <v>26</v>
      </c>
      <c r="L31" s="58">
        <v>0</v>
      </c>
      <c r="M31" s="58">
        <v>14</v>
      </c>
      <c r="N31" s="58">
        <v>0</v>
      </c>
      <c r="O31" s="39">
        <v>14</v>
      </c>
      <c r="P31" s="50">
        <v>6135</v>
      </c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6" thickTop="1" thickBot="1" x14ac:dyDescent="0.35">
      <c r="A32" s="38">
        <v>27</v>
      </c>
      <c r="B32" s="39">
        <v>3448</v>
      </c>
      <c r="C32" s="39">
        <v>10</v>
      </c>
      <c r="D32" s="39">
        <v>1228</v>
      </c>
      <c r="E32" s="39">
        <v>139</v>
      </c>
      <c r="F32" s="39">
        <v>180</v>
      </c>
      <c r="G32" s="39">
        <v>242</v>
      </c>
      <c r="H32" s="39">
        <v>5247</v>
      </c>
      <c r="I32" s="39">
        <v>0</v>
      </c>
      <c r="J32" s="41"/>
      <c r="K32" s="38">
        <v>27</v>
      </c>
      <c r="L32" s="58">
        <v>3</v>
      </c>
      <c r="M32" s="58">
        <v>14</v>
      </c>
      <c r="N32" s="58">
        <v>4</v>
      </c>
      <c r="O32" s="39">
        <v>21</v>
      </c>
      <c r="P32" s="50">
        <v>6135</v>
      </c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16" ht="15.6" thickTop="1" thickBot="1" x14ac:dyDescent="0.35">
      <c r="A33" s="38">
        <v>28</v>
      </c>
      <c r="B33" s="39">
        <v>3873</v>
      </c>
      <c r="C33" s="39">
        <v>18</v>
      </c>
      <c r="D33" s="39">
        <v>1001</v>
      </c>
      <c r="E33" s="39">
        <v>114</v>
      </c>
      <c r="F33" s="39">
        <v>137</v>
      </c>
      <c r="G33" s="39">
        <v>189</v>
      </c>
      <c r="H33" s="39">
        <v>5332</v>
      </c>
      <c r="I33" s="39">
        <v>0</v>
      </c>
      <c r="J33" s="41"/>
      <c r="K33" s="38">
        <v>28</v>
      </c>
      <c r="L33" s="58">
        <v>4</v>
      </c>
      <c r="M33" s="58">
        <v>2</v>
      </c>
      <c r="N33" s="58">
        <v>4</v>
      </c>
      <c r="O33" s="39">
        <v>10</v>
      </c>
      <c r="P33" s="50">
        <v>6135</v>
      </c>
    </row>
    <row r="34" spans="1:16" ht="15.6" thickTop="1" thickBot="1" x14ac:dyDescent="0.35">
      <c r="A34" s="38">
        <v>29</v>
      </c>
      <c r="B34" s="39"/>
      <c r="C34" s="39"/>
      <c r="D34" s="39"/>
      <c r="E34" s="39"/>
      <c r="F34" s="39"/>
      <c r="G34" s="39"/>
      <c r="H34" s="39">
        <v>0</v>
      </c>
      <c r="I34" s="39">
        <v>0</v>
      </c>
      <c r="J34" s="41"/>
      <c r="K34" s="38">
        <v>29</v>
      </c>
      <c r="L34" s="39"/>
      <c r="M34" s="39"/>
      <c r="N34" s="39"/>
      <c r="O34" s="39">
        <v>0</v>
      </c>
      <c r="P34" s="50">
        <v>6135</v>
      </c>
    </row>
    <row r="35" spans="1:16" ht="15.6" thickTop="1" thickBot="1" x14ac:dyDescent="0.35">
      <c r="A35" s="38">
        <v>30</v>
      </c>
      <c r="B35" s="39"/>
      <c r="C35" s="39"/>
      <c r="D35" s="39"/>
      <c r="E35" s="39"/>
      <c r="F35" s="39"/>
      <c r="G35" s="39"/>
      <c r="H35" s="39">
        <v>0</v>
      </c>
      <c r="I35" s="39">
        <v>0</v>
      </c>
      <c r="J35" s="41"/>
      <c r="K35" s="38">
        <v>30</v>
      </c>
      <c r="L35" s="39"/>
      <c r="M35" s="39"/>
      <c r="N35" s="39"/>
      <c r="O35" s="39">
        <v>0</v>
      </c>
      <c r="P35" s="50">
        <v>6135</v>
      </c>
    </row>
    <row r="36" spans="1:16" ht="15.6" thickTop="1" thickBot="1" x14ac:dyDescent="0.35">
      <c r="A36" s="38">
        <v>31</v>
      </c>
      <c r="B36" s="39"/>
      <c r="C36" s="39"/>
      <c r="D36" s="39"/>
      <c r="E36" s="39"/>
      <c r="F36" s="39"/>
      <c r="G36" s="39"/>
      <c r="H36" s="39">
        <v>0</v>
      </c>
      <c r="I36" s="39">
        <v>0</v>
      </c>
      <c r="J36" s="41"/>
      <c r="K36" s="38">
        <v>31</v>
      </c>
      <c r="L36" s="39"/>
      <c r="M36" s="39"/>
      <c r="N36" s="39"/>
      <c r="O36" s="39">
        <v>0</v>
      </c>
      <c r="P36" s="50">
        <v>6135</v>
      </c>
    </row>
    <row r="37" spans="1:16" ht="15" thickTop="1" x14ac:dyDescent="0.3">
      <c r="A37" s="4" t="s">
        <v>19</v>
      </c>
      <c r="B37" s="3">
        <v>84785</v>
      </c>
      <c r="C37" s="3">
        <v>114</v>
      </c>
      <c r="D37" s="3">
        <v>30295</v>
      </c>
      <c r="E37" s="3">
        <v>4449</v>
      </c>
      <c r="F37" s="3">
        <v>4828</v>
      </c>
      <c r="G37" s="3">
        <v>6628</v>
      </c>
      <c r="H37" s="3">
        <v>131099</v>
      </c>
      <c r="I37" s="3">
        <v>0</v>
      </c>
      <c r="J37" s="3"/>
      <c r="K37" s="3" t="s">
        <v>29</v>
      </c>
      <c r="L37" s="3">
        <v>42</v>
      </c>
      <c r="M37" s="3">
        <v>327</v>
      </c>
      <c r="N37" s="3">
        <v>68</v>
      </c>
      <c r="O37" s="5">
        <f>SUM(O6:O33)</f>
        <v>437</v>
      </c>
      <c r="P37" s="36"/>
    </row>
    <row r="38" spans="1:16" x14ac:dyDescent="0.3">
      <c r="A38" s="4" t="s">
        <v>19</v>
      </c>
      <c r="B38" s="70">
        <v>84899</v>
      </c>
      <c r="C38" s="70"/>
      <c r="D38" s="3">
        <v>30295</v>
      </c>
      <c r="E38" s="3">
        <v>4449</v>
      </c>
      <c r="F38" s="3">
        <v>4828</v>
      </c>
      <c r="G38" s="3">
        <v>6628</v>
      </c>
      <c r="H38" s="5">
        <v>131099</v>
      </c>
      <c r="I38" s="3">
        <v>0</v>
      </c>
      <c r="J38" s="42"/>
      <c r="K38" s="35"/>
      <c r="L38" s="35" t="s">
        <v>20</v>
      </c>
      <c r="M38" s="35" t="s">
        <v>21</v>
      </c>
      <c r="N38" s="35" t="s">
        <v>20</v>
      </c>
      <c r="O38" s="35" t="s">
        <v>21</v>
      </c>
      <c r="P38" s="36"/>
    </row>
    <row r="39" spans="1:16" x14ac:dyDescent="0.3">
      <c r="A39" s="43" t="s">
        <v>22</v>
      </c>
      <c r="B39" s="45"/>
      <c r="C39" s="45"/>
      <c r="D39" s="45"/>
      <c r="E39" s="45"/>
      <c r="F39" s="45"/>
      <c r="G39" s="45"/>
      <c r="H39" s="45"/>
      <c r="I39" s="36"/>
      <c r="J39" s="36"/>
      <c r="K39" s="36"/>
      <c r="L39" s="48"/>
      <c r="M39" s="36"/>
      <c r="N39" s="36"/>
      <c r="O39" s="36"/>
      <c r="P39" s="36"/>
    </row>
    <row r="40" spans="1:16" x14ac:dyDescent="0.3">
      <c r="A40" s="54"/>
      <c r="B40" s="55"/>
      <c r="C40" s="55"/>
      <c r="D40" s="55"/>
      <c r="E40" s="55"/>
      <c r="F40" s="55"/>
      <c r="G40" s="55"/>
      <c r="H40" s="55"/>
      <c r="I40" s="55"/>
      <c r="J40" s="48"/>
      <c r="K40" s="57"/>
      <c r="L40" s="56"/>
      <c r="M40" s="36"/>
      <c r="N40" s="36"/>
      <c r="O40" s="36"/>
      <c r="P40" s="36"/>
    </row>
    <row r="41" spans="1:16" x14ac:dyDescent="0.3">
      <c r="A41" s="44"/>
      <c r="B41" s="36"/>
      <c r="C41" s="36"/>
      <c r="D41" s="36"/>
      <c r="E41" s="36"/>
      <c r="F41" s="36"/>
      <c r="G41" s="36"/>
      <c r="H41" s="44"/>
      <c r="I41" s="36"/>
      <c r="J41" s="36"/>
      <c r="K41" s="57"/>
      <c r="L41" s="56"/>
      <c r="M41" s="36"/>
      <c r="N41" s="36"/>
      <c r="O41" s="36"/>
      <c r="P41" s="36"/>
    </row>
    <row r="42" spans="1:16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57"/>
      <c r="L42" s="56"/>
      <c r="M42" s="36"/>
      <c r="N42" s="36"/>
      <c r="O42" s="36"/>
      <c r="P42" s="36"/>
    </row>
    <row r="43" spans="1:16" x14ac:dyDescent="0.3">
      <c r="A43" s="36"/>
      <c r="B43" s="36"/>
      <c r="C43" s="36"/>
      <c r="D43" s="36"/>
      <c r="E43" s="36"/>
      <c r="F43" s="36"/>
      <c r="G43" s="36"/>
      <c r="H43" s="36"/>
      <c r="I43" s="44"/>
      <c r="J43" s="44"/>
      <c r="K43" s="36"/>
      <c r="L43" s="36"/>
      <c r="M43" s="36"/>
      <c r="N43" s="36"/>
      <c r="O43" s="36"/>
      <c r="P43" s="36"/>
    </row>
    <row r="45" spans="1:16" x14ac:dyDescent="0.3">
      <c r="A45" s="53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</row>
    <row r="46" spans="1:16" x14ac:dyDescent="0.3">
      <c r="A46" s="53"/>
      <c r="B46" s="44"/>
      <c r="C46" s="44"/>
      <c r="D46" s="44"/>
      <c r="E46" s="44"/>
      <c r="F46" s="44"/>
      <c r="G46" s="44"/>
      <c r="H46" s="44"/>
      <c r="I46" s="44"/>
      <c r="J46" s="44"/>
      <c r="K46" s="49"/>
      <c r="L46" s="44"/>
      <c r="M46" s="44"/>
      <c r="N46" s="44"/>
      <c r="O46" s="44"/>
      <c r="P46" s="36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9AD5D-C38D-4172-ADD2-1734BF654C87}">
  <dimension ref="A1:Z46"/>
  <sheetViews>
    <sheetView topLeftCell="A23" workbookViewId="0">
      <selection activeCell="Q35" sqref="Q35"/>
    </sheetView>
  </sheetViews>
  <sheetFormatPr baseColWidth="10" defaultColWidth="11.44140625" defaultRowHeight="13.8" x14ac:dyDescent="0.3"/>
  <cols>
    <col min="1" max="9" width="11.44140625" style="21"/>
    <col min="10" max="10" width="4.6640625" style="21" customWidth="1"/>
    <col min="11" max="11" width="11.44140625" style="29"/>
    <col min="12" max="15" width="11.44140625" style="21"/>
    <col min="16" max="16" width="0" style="21" hidden="1" customWidth="1"/>
    <col min="17" max="16384" width="11.44140625" style="21"/>
  </cols>
  <sheetData>
    <row r="1" spans="1:19" s="24" customFormat="1" ht="15.6" x14ac:dyDescent="0.3">
      <c r="A1" s="64" t="s">
        <v>23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9" s="24" customFormat="1" ht="15.6" x14ac:dyDescent="0.3">
      <c r="A2" s="64" t="s">
        <v>24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9" s="24" customFormat="1" ht="15.6" x14ac:dyDescent="0.3">
      <c r="A3" s="65" t="s">
        <v>26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9" ht="78" customHeight="1" x14ac:dyDescent="0.3">
      <c r="A4" s="62" t="s">
        <v>1</v>
      </c>
      <c r="B4" s="60" t="s">
        <v>2</v>
      </c>
      <c r="C4" s="60"/>
      <c r="D4" s="23" t="s">
        <v>3</v>
      </c>
      <c r="E4" s="23" t="s">
        <v>4</v>
      </c>
      <c r="F4" s="23" t="s">
        <v>5</v>
      </c>
      <c r="G4" s="23" t="s">
        <v>6</v>
      </c>
      <c r="H4" s="60" t="s">
        <v>7</v>
      </c>
      <c r="I4" s="60" t="s">
        <v>8</v>
      </c>
      <c r="J4" s="22"/>
      <c r="K4" s="61" t="s">
        <v>1</v>
      </c>
      <c r="L4" s="60" t="s">
        <v>9</v>
      </c>
      <c r="M4" s="60" t="s">
        <v>10</v>
      </c>
      <c r="N4" s="60" t="s">
        <v>11</v>
      </c>
      <c r="O4" s="60" t="s">
        <v>12</v>
      </c>
    </row>
    <row r="5" spans="1:19" ht="18" customHeight="1" x14ac:dyDescent="0.3">
      <c r="A5" s="63"/>
      <c r="B5" s="20" t="s">
        <v>13</v>
      </c>
      <c r="C5" s="20" t="s">
        <v>14</v>
      </c>
      <c r="D5" s="20" t="s">
        <v>15</v>
      </c>
      <c r="E5" s="20" t="s">
        <v>16</v>
      </c>
      <c r="F5" s="20" t="s">
        <v>17</v>
      </c>
      <c r="G5" s="20" t="s">
        <v>18</v>
      </c>
      <c r="H5" s="60"/>
      <c r="I5" s="60"/>
      <c r="J5" s="22"/>
      <c r="K5" s="61"/>
      <c r="L5" s="60"/>
      <c r="M5" s="60"/>
      <c r="N5" s="60"/>
      <c r="O5" s="60"/>
    </row>
    <row r="6" spans="1:19" ht="18" customHeight="1" thickBot="1" x14ac:dyDescent="0.35">
      <c r="A6" s="19">
        <v>1</v>
      </c>
      <c r="B6" s="33">
        <f>5232+4</f>
        <v>5236</v>
      </c>
      <c r="C6" s="33">
        <v>0</v>
      </c>
      <c r="D6" s="33">
        <v>787</v>
      </c>
      <c r="E6" s="33">
        <v>99</v>
      </c>
      <c r="F6" s="33">
        <v>107</v>
      </c>
      <c r="G6" s="33">
        <v>182</v>
      </c>
      <c r="H6" s="33">
        <f>SUM(B6:G6)</f>
        <v>6411</v>
      </c>
      <c r="I6" s="33">
        <v>0</v>
      </c>
      <c r="J6" s="18"/>
      <c r="K6" s="19">
        <v>1</v>
      </c>
      <c r="L6" s="25">
        <v>0</v>
      </c>
      <c r="M6" s="25">
        <v>5</v>
      </c>
      <c r="N6" s="25">
        <v>0</v>
      </c>
      <c r="O6" s="33">
        <f>SUM(L6:N6)</f>
        <v>5</v>
      </c>
      <c r="P6" s="6">
        <v>6135</v>
      </c>
    </row>
    <row r="7" spans="1:19" ht="18" customHeight="1" thickTop="1" thickBot="1" x14ac:dyDescent="0.35">
      <c r="A7" s="19">
        <v>2</v>
      </c>
      <c r="B7" s="33">
        <v>2290</v>
      </c>
      <c r="C7" s="33">
        <v>4</v>
      </c>
      <c r="D7" s="33">
        <v>1031</v>
      </c>
      <c r="E7" s="33">
        <v>128</v>
      </c>
      <c r="F7" s="33">
        <v>165</v>
      </c>
      <c r="G7" s="33">
        <v>238</v>
      </c>
      <c r="H7" s="33">
        <f>SUM(B7:G7)</f>
        <v>3856</v>
      </c>
      <c r="I7" s="33">
        <v>0</v>
      </c>
      <c r="J7" s="18"/>
      <c r="K7" s="19">
        <v>2</v>
      </c>
      <c r="L7" s="25">
        <v>0</v>
      </c>
      <c r="M7" s="25">
        <v>12</v>
      </c>
      <c r="N7" s="25">
        <v>1</v>
      </c>
      <c r="O7" s="33">
        <f t="shared" ref="O7:O33" si="0">SUM(L7:N7)</f>
        <v>13</v>
      </c>
      <c r="P7" s="6">
        <f>+P6</f>
        <v>6135</v>
      </c>
    </row>
    <row r="8" spans="1:19" ht="18" customHeight="1" thickTop="1" thickBot="1" x14ac:dyDescent="0.35">
      <c r="A8" s="19">
        <v>3</v>
      </c>
      <c r="B8" s="33">
        <f>2038+20</f>
        <v>2058</v>
      </c>
      <c r="C8" s="33">
        <v>2</v>
      </c>
      <c r="D8" s="33">
        <v>1128</v>
      </c>
      <c r="E8" s="33">
        <v>139</v>
      </c>
      <c r="F8" s="33">
        <v>161</v>
      </c>
      <c r="G8" s="33">
        <v>236</v>
      </c>
      <c r="H8" s="33">
        <f t="shared" ref="H8:H36" si="1">SUM(B8:G8)</f>
        <v>3724</v>
      </c>
      <c r="I8" s="33">
        <v>0</v>
      </c>
      <c r="J8" s="18"/>
      <c r="K8" s="19">
        <v>3</v>
      </c>
      <c r="L8" s="25">
        <v>0</v>
      </c>
      <c r="M8" s="25">
        <v>14</v>
      </c>
      <c r="N8" s="25">
        <v>3</v>
      </c>
      <c r="O8" s="33">
        <f t="shared" si="0"/>
        <v>17</v>
      </c>
      <c r="P8" s="6">
        <f t="shared" ref="P8:P36" si="2">+P7</f>
        <v>6135</v>
      </c>
      <c r="S8" s="32"/>
    </row>
    <row r="9" spans="1:19" ht="18" customHeight="1" thickTop="1" thickBot="1" x14ac:dyDescent="0.35">
      <c r="A9" s="19">
        <v>4</v>
      </c>
      <c r="B9" s="33">
        <f>2058+20</f>
        <v>2078</v>
      </c>
      <c r="C9" s="33">
        <v>4</v>
      </c>
      <c r="D9" s="33">
        <v>1191</v>
      </c>
      <c r="E9" s="33">
        <v>146</v>
      </c>
      <c r="F9" s="33">
        <v>187</v>
      </c>
      <c r="G9" s="33">
        <v>258</v>
      </c>
      <c r="H9" s="33">
        <f t="shared" si="1"/>
        <v>3864</v>
      </c>
      <c r="I9" s="33">
        <v>0</v>
      </c>
      <c r="J9" s="18"/>
      <c r="K9" s="19">
        <v>4</v>
      </c>
      <c r="L9" s="25">
        <v>2</v>
      </c>
      <c r="M9" s="25">
        <v>8</v>
      </c>
      <c r="N9" s="25">
        <v>1</v>
      </c>
      <c r="O9" s="33">
        <f t="shared" si="0"/>
        <v>11</v>
      </c>
      <c r="P9" s="6">
        <f t="shared" si="2"/>
        <v>6135</v>
      </c>
    </row>
    <row r="10" spans="1:19" ht="18" customHeight="1" thickTop="1" thickBot="1" x14ac:dyDescent="0.35">
      <c r="A10" s="19">
        <v>5</v>
      </c>
      <c r="B10" s="33">
        <f>2263+22</f>
        <v>2285</v>
      </c>
      <c r="C10" s="33">
        <v>2</v>
      </c>
      <c r="D10" s="33">
        <v>1210</v>
      </c>
      <c r="E10" s="33">
        <v>160</v>
      </c>
      <c r="F10" s="33">
        <v>189</v>
      </c>
      <c r="G10" s="33">
        <v>247</v>
      </c>
      <c r="H10" s="33">
        <f t="shared" si="1"/>
        <v>4093</v>
      </c>
      <c r="I10" s="33">
        <v>0</v>
      </c>
      <c r="J10" s="18"/>
      <c r="K10" s="19">
        <v>5</v>
      </c>
      <c r="L10" s="25">
        <v>0</v>
      </c>
      <c r="M10" s="25">
        <v>10</v>
      </c>
      <c r="N10" s="25">
        <v>3</v>
      </c>
      <c r="O10" s="33">
        <f t="shared" si="0"/>
        <v>13</v>
      </c>
      <c r="P10" s="6">
        <f t="shared" si="2"/>
        <v>6135</v>
      </c>
    </row>
    <row r="11" spans="1:19" ht="18" customHeight="1" thickTop="1" thickBot="1" x14ac:dyDescent="0.35">
      <c r="A11" s="19">
        <v>6</v>
      </c>
      <c r="B11" s="33">
        <f>3356+16</f>
        <v>3372</v>
      </c>
      <c r="C11" s="33">
        <v>4</v>
      </c>
      <c r="D11" s="33">
        <v>1183</v>
      </c>
      <c r="E11" s="33">
        <f>146+47</f>
        <v>193</v>
      </c>
      <c r="F11" s="33">
        <v>188</v>
      </c>
      <c r="G11" s="33">
        <v>208</v>
      </c>
      <c r="H11" s="33">
        <f t="shared" si="1"/>
        <v>5148</v>
      </c>
      <c r="I11" s="33">
        <v>0</v>
      </c>
      <c r="J11" s="18"/>
      <c r="K11" s="19">
        <v>6</v>
      </c>
      <c r="L11" s="25">
        <v>1</v>
      </c>
      <c r="M11" s="25">
        <v>4</v>
      </c>
      <c r="N11" s="25">
        <v>8</v>
      </c>
      <c r="O11" s="33">
        <f t="shared" si="0"/>
        <v>13</v>
      </c>
      <c r="P11" s="6">
        <f t="shared" si="2"/>
        <v>6135</v>
      </c>
    </row>
    <row r="12" spans="1:19" ht="18" customHeight="1" thickTop="1" thickBot="1" x14ac:dyDescent="0.35">
      <c r="A12" s="19">
        <v>7</v>
      </c>
      <c r="B12" s="33">
        <f>3560+15</f>
        <v>3575</v>
      </c>
      <c r="C12" s="33">
        <v>2</v>
      </c>
      <c r="D12" s="33">
        <v>958</v>
      </c>
      <c r="E12" s="33">
        <v>131</v>
      </c>
      <c r="F12" s="33">
        <v>172</v>
      </c>
      <c r="G12" s="33">
        <v>196</v>
      </c>
      <c r="H12" s="33">
        <f t="shared" si="1"/>
        <v>5034</v>
      </c>
      <c r="I12" s="33">
        <v>0</v>
      </c>
      <c r="J12" s="17"/>
      <c r="K12" s="19">
        <v>7</v>
      </c>
      <c r="L12" s="25">
        <v>0</v>
      </c>
      <c r="M12" s="25">
        <v>6</v>
      </c>
      <c r="N12" s="25">
        <v>3</v>
      </c>
      <c r="O12" s="33">
        <f t="shared" si="0"/>
        <v>9</v>
      </c>
      <c r="P12" s="6">
        <f t="shared" si="2"/>
        <v>6135</v>
      </c>
    </row>
    <row r="13" spans="1:19" ht="18" customHeight="1" thickTop="1" thickBot="1" x14ac:dyDescent="0.35">
      <c r="A13" s="19">
        <v>8</v>
      </c>
      <c r="B13" s="33">
        <f>5054+3</f>
        <v>5057</v>
      </c>
      <c r="C13" s="33">
        <v>2</v>
      </c>
      <c r="D13" s="33">
        <v>786</v>
      </c>
      <c r="E13" s="33">
        <v>86</v>
      </c>
      <c r="F13" s="33">
        <v>124</v>
      </c>
      <c r="G13" s="33">
        <v>153</v>
      </c>
      <c r="H13" s="33">
        <f t="shared" si="1"/>
        <v>6208</v>
      </c>
      <c r="I13" s="33">
        <v>0</v>
      </c>
      <c r="J13" s="17"/>
      <c r="K13" s="19">
        <v>8</v>
      </c>
      <c r="L13" s="25">
        <v>0</v>
      </c>
      <c r="M13" s="25">
        <v>7</v>
      </c>
      <c r="N13" s="25">
        <v>1</v>
      </c>
      <c r="O13" s="33">
        <f t="shared" si="0"/>
        <v>8</v>
      </c>
      <c r="P13" s="6">
        <f t="shared" si="2"/>
        <v>6135</v>
      </c>
    </row>
    <row r="14" spans="1:19" s="15" customFormat="1" ht="18" customHeight="1" thickTop="1" thickBot="1" x14ac:dyDescent="0.35">
      <c r="A14" s="19">
        <v>9</v>
      </c>
      <c r="B14" s="33">
        <f>2200+21</f>
        <v>2221</v>
      </c>
      <c r="C14" s="33">
        <v>4</v>
      </c>
      <c r="D14" s="33">
        <v>992</v>
      </c>
      <c r="E14" s="33">
        <v>164</v>
      </c>
      <c r="F14" s="33">
        <v>186</v>
      </c>
      <c r="G14" s="33">
        <v>214</v>
      </c>
      <c r="H14" s="33">
        <f t="shared" si="1"/>
        <v>3781</v>
      </c>
      <c r="I14" s="33">
        <v>0</v>
      </c>
      <c r="J14" s="17"/>
      <c r="K14" s="19">
        <v>9</v>
      </c>
      <c r="L14" s="25">
        <v>3</v>
      </c>
      <c r="M14" s="25">
        <v>12</v>
      </c>
      <c r="N14" s="25">
        <v>2</v>
      </c>
      <c r="O14" s="33">
        <f t="shared" si="0"/>
        <v>17</v>
      </c>
      <c r="P14" s="16">
        <f t="shared" si="2"/>
        <v>6135</v>
      </c>
    </row>
    <row r="15" spans="1:19" ht="18" customHeight="1" thickTop="1" thickBot="1" x14ac:dyDescent="0.35">
      <c r="A15" s="19">
        <v>10</v>
      </c>
      <c r="B15" s="33">
        <f>2028+25</f>
        <v>2053</v>
      </c>
      <c r="C15" s="33">
        <v>4</v>
      </c>
      <c r="D15" s="33">
        <v>1152</v>
      </c>
      <c r="E15" s="33">
        <v>187</v>
      </c>
      <c r="F15" s="33">
        <v>202</v>
      </c>
      <c r="G15" s="33">
        <v>210</v>
      </c>
      <c r="H15" s="33">
        <f t="shared" si="1"/>
        <v>3808</v>
      </c>
      <c r="I15" s="33">
        <v>0</v>
      </c>
      <c r="J15" s="17"/>
      <c r="K15" s="19">
        <v>10</v>
      </c>
      <c r="L15" s="25">
        <v>0</v>
      </c>
      <c r="M15" s="25">
        <v>6</v>
      </c>
      <c r="N15" s="25">
        <v>2</v>
      </c>
      <c r="O15" s="33">
        <f t="shared" si="0"/>
        <v>8</v>
      </c>
      <c r="P15" s="6">
        <f t="shared" si="2"/>
        <v>6135</v>
      </c>
    </row>
    <row r="16" spans="1:19" ht="18" customHeight="1" thickTop="1" thickBot="1" x14ac:dyDescent="0.35">
      <c r="A16" s="19">
        <v>11</v>
      </c>
      <c r="B16" s="33">
        <f>2041+25</f>
        <v>2066</v>
      </c>
      <c r="C16" s="33">
        <v>0</v>
      </c>
      <c r="D16" s="33">
        <v>1163</v>
      </c>
      <c r="E16" s="33">
        <v>181</v>
      </c>
      <c r="F16" s="33">
        <v>240</v>
      </c>
      <c r="G16" s="33">
        <v>273</v>
      </c>
      <c r="H16" s="33">
        <f t="shared" si="1"/>
        <v>3923</v>
      </c>
      <c r="I16" s="33">
        <v>0</v>
      </c>
      <c r="J16" s="17"/>
      <c r="K16" s="19">
        <v>11</v>
      </c>
      <c r="L16" s="25">
        <v>3</v>
      </c>
      <c r="M16" s="25">
        <v>4</v>
      </c>
      <c r="N16" s="25">
        <v>4</v>
      </c>
      <c r="O16" s="33">
        <f t="shared" si="0"/>
        <v>11</v>
      </c>
      <c r="P16" s="6">
        <f t="shared" si="2"/>
        <v>6135</v>
      </c>
    </row>
    <row r="17" spans="1:26" ht="18" customHeight="1" thickTop="1" thickBot="1" x14ac:dyDescent="0.35">
      <c r="A17" s="19">
        <v>12</v>
      </c>
      <c r="B17" s="33">
        <v>2226</v>
      </c>
      <c r="C17" s="33">
        <v>0</v>
      </c>
      <c r="D17" s="33">
        <v>1143</v>
      </c>
      <c r="E17" s="33">
        <v>146</v>
      </c>
      <c r="F17" s="33">
        <v>205</v>
      </c>
      <c r="G17" s="33">
        <v>278</v>
      </c>
      <c r="H17" s="33">
        <f t="shared" si="1"/>
        <v>3998</v>
      </c>
      <c r="I17" s="33">
        <v>0</v>
      </c>
      <c r="J17" s="17"/>
      <c r="K17" s="19">
        <v>12</v>
      </c>
      <c r="L17" s="25">
        <v>2</v>
      </c>
      <c r="M17" s="25">
        <v>6</v>
      </c>
      <c r="N17" s="25">
        <v>0</v>
      </c>
      <c r="O17" s="33">
        <f t="shared" si="0"/>
        <v>8</v>
      </c>
      <c r="P17" s="6">
        <f t="shared" si="2"/>
        <v>6135</v>
      </c>
    </row>
    <row r="18" spans="1:26" ht="18" customHeight="1" thickTop="1" thickBot="1" x14ac:dyDescent="0.35">
      <c r="A18" s="19">
        <v>13</v>
      </c>
      <c r="B18" s="33">
        <f>3148+31</f>
        <v>3179</v>
      </c>
      <c r="C18" s="33">
        <v>2</v>
      </c>
      <c r="D18" s="33">
        <v>1187</v>
      </c>
      <c r="E18" s="33">
        <v>146</v>
      </c>
      <c r="F18" s="33">
        <v>209</v>
      </c>
      <c r="G18" s="33">
        <v>215</v>
      </c>
      <c r="H18" s="33">
        <f t="shared" si="1"/>
        <v>4938</v>
      </c>
      <c r="I18" s="33">
        <v>0</v>
      </c>
      <c r="J18" s="17"/>
      <c r="K18" s="19">
        <v>13</v>
      </c>
      <c r="L18" s="25">
        <v>0</v>
      </c>
      <c r="M18" s="25">
        <v>13</v>
      </c>
      <c r="N18" s="25">
        <v>3</v>
      </c>
      <c r="O18" s="33">
        <f t="shared" si="0"/>
        <v>16</v>
      </c>
      <c r="P18" s="6">
        <f t="shared" si="2"/>
        <v>6135</v>
      </c>
    </row>
    <row r="19" spans="1:26" ht="18" customHeight="1" thickTop="1" thickBot="1" x14ac:dyDescent="0.35">
      <c r="A19" s="19">
        <v>14</v>
      </c>
      <c r="B19" s="33">
        <f>3235+8</f>
        <v>3243</v>
      </c>
      <c r="C19" s="33">
        <v>2</v>
      </c>
      <c r="D19" s="33">
        <v>1071</v>
      </c>
      <c r="E19" s="33">
        <v>135</v>
      </c>
      <c r="F19" s="33">
        <v>244</v>
      </c>
      <c r="G19" s="33">
        <v>280</v>
      </c>
      <c r="H19" s="33">
        <f t="shared" si="1"/>
        <v>4975</v>
      </c>
      <c r="I19" s="33">
        <v>0</v>
      </c>
      <c r="J19" s="17"/>
      <c r="K19" s="19">
        <v>14</v>
      </c>
      <c r="L19" s="25">
        <v>4</v>
      </c>
      <c r="M19" s="25">
        <v>0</v>
      </c>
      <c r="N19" s="25">
        <v>2</v>
      </c>
      <c r="O19" s="33">
        <f t="shared" si="0"/>
        <v>6</v>
      </c>
      <c r="P19" s="6">
        <f t="shared" si="2"/>
        <v>6135</v>
      </c>
    </row>
    <row r="20" spans="1:26" ht="18" customHeight="1" thickTop="1" thickBot="1" x14ac:dyDescent="0.35">
      <c r="A20" s="19">
        <v>15</v>
      </c>
      <c r="B20" s="33">
        <f>4276+14</f>
        <v>4290</v>
      </c>
      <c r="C20" s="33">
        <v>2</v>
      </c>
      <c r="D20" s="33">
        <v>822</v>
      </c>
      <c r="E20" s="33">
        <v>117</v>
      </c>
      <c r="F20" s="33">
        <v>163</v>
      </c>
      <c r="G20" s="33">
        <v>200</v>
      </c>
      <c r="H20" s="33">
        <f t="shared" si="1"/>
        <v>5594</v>
      </c>
      <c r="I20" s="33">
        <v>0</v>
      </c>
      <c r="J20" s="17"/>
      <c r="K20" s="19">
        <v>15</v>
      </c>
      <c r="L20" s="25">
        <v>0</v>
      </c>
      <c r="M20" s="25">
        <v>2</v>
      </c>
      <c r="N20" s="25">
        <v>0</v>
      </c>
      <c r="O20" s="33">
        <f t="shared" si="0"/>
        <v>2</v>
      </c>
      <c r="P20" s="6">
        <f t="shared" si="2"/>
        <v>6135</v>
      </c>
    </row>
    <row r="21" spans="1:26" ht="18" customHeight="1" thickTop="1" thickBot="1" x14ac:dyDescent="0.35">
      <c r="A21" s="19">
        <v>16</v>
      </c>
      <c r="B21" s="33">
        <f>2050+16</f>
        <v>2066</v>
      </c>
      <c r="C21" s="33">
        <v>8</v>
      </c>
      <c r="D21" s="33">
        <v>822</v>
      </c>
      <c r="E21" s="33">
        <v>95</v>
      </c>
      <c r="F21" s="33">
        <v>191</v>
      </c>
      <c r="G21" s="33">
        <v>184</v>
      </c>
      <c r="H21" s="33">
        <f t="shared" si="1"/>
        <v>3366</v>
      </c>
      <c r="I21" s="33">
        <v>0</v>
      </c>
      <c r="J21" s="17"/>
      <c r="K21" s="19">
        <v>16</v>
      </c>
      <c r="L21" s="25">
        <v>1</v>
      </c>
      <c r="M21" s="25">
        <v>15</v>
      </c>
      <c r="N21" s="25">
        <v>6</v>
      </c>
      <c r="O21" s="33">
        <f t="shared" si="0"/>
        <v>22</v>
      </c>
      <c r="P21" s="6">
        <f>+P20</f>
        <v>6135</v>
      </c>
    </row>
    <row r="22" spans="1:26" ht="18" customHeight="1" thickTop="1" thickBot="1" x14ac:dyDescent="0.35">
      <c r="A22" s="19">
        <v>17</v>
      </c>
      <c r="B22" s="33">
        <f>1956+16</f>
        <v>1972</v>
      </c>
      <c r="C22" s="33">
        <v>2</v>
      </c>
      <c r="D22" s="33">
        <v>1049</v>
      </c>
      <c r="E22" s="33">
        <v>113</v>
      </c>
      <c r="F22" s="33">
        <v>237</v>
      </c>
      <c r="G22" s="33">
        <v>203</v>
      </c>
      <c r="H22" s="33">
        <f>SUM(B22:G22)</f>
        <v>3576</v>
      </c>
      <c r="I22" s="33">
        <v>0</v>
      </c>
      <c r="J22" s="17"/>
      <c r="K22" s="19">
        <v>17</v>
      </c>
      <c r="L22" s="25">
        <v>1</v>
      </c>
      <c r="M22" s="25">
        <v>7</v>
      </c>
      <c r="N22" s="25">
        <v>3</v>
      </c>
      <c r="O22" s="33">
        <f t="shared" si="0"/>
        <v>11</v>
      </c>
      <c r="P22" s="6">
        <f t="shared" si="2"/>
        <v>6135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thickTop="1" thickBot="1" x14ac:dyDescent="0.35">
      <c r="A23" s="19">
        <v>18</v>
      </c>
      <c r="B23" s="33">
        <f>2086+16</f>
        <v>2102</v>
      </c>
      <c r="C23" s="33">
        <v>2</v>
      </c>
      <c r="D23" s="33">
        <v>1185</v>
      </c>
      <c r="E23" s="33">
        <v>173</v>
      </c>
      <c r="F23" s="33">
        <v>285</v>
      </c>
      <c r="G23" s="33">
        <v>248</v>
      </c>
      <c r="H23" s="33">
        <f t="shared" si="1"/>
        <v>3995</v>
      </c>
      <c r="I23" s="33">
        <v>0</v>
      </c>
      <c r="J23" s="17"/>
      <c r="K23" s="19">
        <v>18</v>
      </c>
      <c r="L23" s="25">
        <v>2</v>
      </c>
      <c r="M23" s="25">
        <v>16</v>
      </c>
      <c r="N23" s="25">
        <v>0</v>
      </c>
      <c r="O23" s="33">
        <f t="shared" si="0"/>
        <v>18</v>
      </c>
      <c r="P23" s="6">
        <f t="shared" si="2"/>
        <v>6135</v>
      </c>
    </row>
    <row r="24" spans="1:26" ht="18" customHeight="1" thickTop="1" thickBot="1" x14ac:dyDescent="0.35">
      <c r="A24" s="19">
        <v>19</v>
      </c>
      <c r="B24" s="33">
        <f>2524+17</f>
        <v>2541</v>
      </c>
      <c r="C24" s="33">
        <v>4</v>
      </c>
      <c r="D24" s="33">
        <v>1355</v>
      </c>
      <c r="E24" s="33">
        <v>181</v>
      </c>
      <c r="F24" s="33">
        <v>252</v>
      </c>
      <c r="G24" s="33">
        <v>327</v>
      </c>
      <c r="H24" s="33">
        <f t="shared" si="1"/>
        <v>4660</v>
      </c>
      <c r="I24" s="33">
        <v>0</v>
      </c>
      <c r="J24" s="17"/>
      <c r="K24" s="19">
        <v>19</v>
      </c>
      <c r="L24" s="25">
        <v>1</v>
      </c>
      <c r="M24" s="25">
        <v>10</v>
      </c>
      <c r="N24" s="25">
        <v>3</v>
      </c>
      <c r="O24" s="33">
        <f t="shared" si="0"/>
        <v>14</v>
      </c>
      <c r="P24" s="6">
        <f t="shared" si="2"/>
        <v>6135</v>
      </c>
    </row>
    <row r="25" spans="1:26" ht="18" customHeight="1" thickTop="1" thickBot="1" x14ac:dyDescent="0.35">
      <c r="A25" s="19">
        <v>20</v>
      </c>
      <c r="B25" s="33">
        <f>4814+11</f>
        <v>4825</v>
      </c>
      <c r="C25" s="33">
        <v>2</v>
      </c>
      <c r="D25" s="33">
        <v>1222</v>
      </c>
      <c r="E25" s="33">
        <v>155</v>
      </c>
      <c r="F25" s="33">
        <v>230</v>
      </c>
      <c r="G25" s="33">
        <v>280</v>
      </c>
      <c r="H25" s="33">
        <f>SUM(B25:G25)</f>
        <v>6714</v>
      </c>
      <c r="I25" s="33">
        <v>0</v>
      </c>
      <c r="J25" s="17"/>
      <c r="K25" s="19">
        <v>20</v>
      </c>
      <c r="L25" s="25">
        <v>1</v>
      </c>
      <c r="M25" s="25">
        <v>8</v>
      </c>
      <c r="N25" s="25">
        <v>2</v>
      </c>
      <c r="O25" s="33">
        <f t="shared" si="0"/>
        <v>11</v>
      </c>
      <c r="P25" s="6">
        <f t="shared" si="2"/>
        <v>6135</v>
      </c>
    </row>
    <row r="26" spans="1:26" ht="18" customHeight="1" thickTop="1" thickBot="1" x14ac:dyDescent="0.35">
      <c r="A26" s="19">
        <v>21</v>
      </c>
      <c r="B26" s="33">
        <f>5943+7</f>
        <v>5950</v>
      </c>
      <c r="C26" s="33">
        <v>2</v>
      </c>
      <c r="D26" s="33">
        <v>931</v>
      </c>
      <c r="E26" s="33">
        <v>102</v>
      </c>
      <c r="F26" s="33">
        <v>168</v>
      </c>
      <c r="G26" s="33">
        <v>196</v>
      </c>
      <c r="H26" s="33">
        <f>SUM(B26:G26)</f>
        <v>7349</v>
      </c>
      <c r="I26" s="33">
        <v>0</v>
      </c>
      <c r="J26" s="17"/>
      <c r="K26" s="19">
        <v>21</v>
      </c>
      <c r="L26" s="25">
        <v>4</v>
      </c>
      <c r="M26" s="25">
        <v>9</v>
      </c>
      <c r="N26" s="25">
        <v>3</v>
      </c>
      <c r="O26" s="33">
        <f t="shared" si="0"/>
        <v>16</v>
      </c>
      <c r="P26" s="6">
        <f t="shared" si="2"/>
        <v>6135</v>
      </c>
    </row>
    <row r="27" spans="1:26" ht="18" customHeight="1" thickTop="1" thickBot="1" x14ac:dyDescent="0.35">
      <c r="A27" s="19">
        <v>22</v>
      </c>
      <c r="B27" s="33">
        <f>5277+11</f>
        <v>5288</v>
      </c>
      <c r="C27" s="33">
        <v>10</v>
      </c>
      <c r="D27" s="33">
        <v>826</v>
      </c>
      <c r="E27" s="33">
        <v>85</v>
      </c>
      <c r="F27" s="33">
        <v>121</v>
      </c>
      <c r="G27" s="33">
        <v>220</v>
      </c>
      <c r="H27" s="33">
        <f t="shared" si="1"/>
        <v>6550</v>
      </c>
      <c r="I27" s="33">
        <v>0</v>
      </c>
      <c r="J27" s="17"/>
      <c r="K27" s="19">
        <v>22</v>
      </c>
      <c r="L27" s="25">
        <v>0</v>
      </c>
      <c r="M27" s="25">
        <v>0</v>
      </c>
      <c r="N27" s="25">
        <v>0</v>
      </c>
      <c r="O27" s="33">
        <f t="shared" si="0"/>
        <v>0</v>
      </c>
      <c r="P27" s="6">
        <f t="shared" si="2"/>
        <v>6135</v>
      </c>
    </row>
    <row r="28" spans="1:26" ht="18" customHeight="1" thickTop="1" thickBot="1" x14ac:dyDescent="0.35">
      <c r="A28" s="19">
        <v>23</v>
      </c>
      <c r="B28" s="33">
        <f>8542+7</f>
        <v>8549</v>
      </c>
      <c r="C28" s="33">
        <v>0</v>
      </c>
      <c r="D28" s="33">
        <v>893</v>
      </c>
      <c r="E28" s="33">
        <v>95</v>
      </c>
      <c r="F28" s="33">
        <v>90</v>
      </c>
      <c r="G28" s="33">
        <v>208</v>
      </c>
      <c r="H28" s="33">
        <f t="shared" si="1"/>
        <v>9835</v>
      </c>
      <c r="I28" s="33">
        <v>0</v>
      </c>
      <c r="J28" s="17"/>
      <c r="K28" s="19">
        <v>23</v>
      </c>
      <c r="L28" s="25">
        <v>0</v>
      </c>
      <c r="M28" s="25">
        <v>8</v>
      </c>
      <c r="N28" s="25">
        <v>0</v>
      </c>
      <c r="O28" s="33">
        <f t="shared" si="0"/>
        <v>8</v>
      </c>
      <c r="P28" s="6">
        <f t="shared" si="2"/>
        <v>6135</v>
      </c>
    </row>
    <row r="29" spans="1:26" ht="18" customHeight="1" thickTop="1" thickBot="1" x14ac:dyDescent="0.35">
      <c r="A29" s="19">
        <v>24</v>
      </c>
      <c r="B29" s="33">
        <f>2390+21</f>
        <v>2411</v>
      </c>
      <c r="C29" s="33">
        <v>6</v>
      </c>
      <c r="D29" s="33">
        <v>1152</v>
      </c>
      <c r="E29" s="33">
        <v>153</v>
      </c>
      <c r="F29" s="33">
        <v>180</v>
      </c>
      <c r="G29" s="33">
        <v>228</v>
      </c>
      <c r="H29" s="33">
        <f t="shared" si="1"/>
        <v>4130</v>
      </c>
      <c r="I29" s="33">
        <v>0</v>
      </c>
      <c r="J29" s="17"/>
      <c r="K29" s="19">
        <v>24</v>
      </c>
      <c r="L29" s="25">
        <v>0</v>
      </c>
      <c r="M29" s="25">
        <v>19</v>
      </c>
      <c r="N29" s="25">
        <v>7</v>
      </c>
      <c r="O29" s="33">
        <f t="shared" si="0"/>
        <v>26</v>
      </c>
      <c r="P29" s="6">
        <f t="shared" si="2"/>
        <v>6135</v>
      </c>
    </row>
    <row r="30" spans="1:26" ht="18" customHeight="1" thickTop="1" thickBot="1" x14ac:dyDescent="0.35">
      <c r="A30" s="19">
        <v>25</v>
      </c>
      <c r="B30" s="33">
        <f>2281+25</f>
        <v>2306</v>
      </c>
      <c r="C30" s="33">
        <v>6</v>
      </c>
      <c r="D30" s="33">
        <v>1214</v>
      </c>
      <c r="E30" s="33">
        <v>166</v>
      </c>
      <c r="F30" s="33">
        <v>227</v>
      </c>
      <c r="G30" s="33">
        <v>308</v>
      </c>
      <c r="H30" s="33">
        <f t="shared" si="1"/>
        <v>4227</v>
      </c>
      <c r="I30" s="33">
        <v>0</v>
      </c>
      <c r="J30" s="17"/>
      <c r="K30" s="19">
        <v>25</v>
      </c>
      <c r="L30" s="25">
        <v>1</v>
      </c>
      <c r="M30" s="25">
        <v>10</v>
      </c>
      <c r="N30" s="25">
        <v>3</v>
      </c>
      <c r="O30" s="33">
        <f t="shared" si="0"/>
        <v>14</v>
      </c>
      <c r="P30" s="6">
        <f t="shared" si="2"/>
        <v>6135</v>
      </c>
    </row>
    <row r="31" spans="1:26" ht="18" customHeight="1" thickTop="1" thickBot="1" x14ac:dyDescent="0.35">
      <c r="A31" s="19">
        <v>26</v>
      </c>
      <c r="B31" s="33">
        <f>2728+14</f>
        <v>2742</v>
      </c>
      <c r="C31" s="33">
        <v>4</v>
      </c>
      <c r="D31" s="33">
        <v>1325</v>
      </c>
      <c r="E31" s="33">
        <v>196</v>
      </c>
      <c r="F31" s="33">
        <v>226</v>
      </c>
      <c r="G31" s="33">
        <v>359</v>
      </c>
      <c r="H31" s="33">
        <f t="shared" si="1"/>
        <v>4852</v>
      </c>
      <c r="I31" s="33">
        <v>0</v>
      </c>
      <c r="J31" s="17"/>
      <c r="K31" s="19">
        <v>26</v>
      </c>
      <c r="L31" s="25">
        <v>2</v>
      </c>
      <c r="M31" s="25">
        <v>13</v>
      </c>
      <c r="N31" s="25">
        <v>3</v>
      </c>
      <c r="O31" s="33">
        <f t="shared" si="0"/>
        <v>18</v>
      </c>
      <c r="P31" s="6">
        <f t="shared" si="2"/>
        <v>6135</v>
      </c>
    </row>
    <row r="32" spans="1:26" ht="18" customHeight="1" thickTop="1" thickBot="1" x14ac:dyDescent="0.35">
      <c r="A32" s="19">
        <v>27</v>
      </c>
      <c r="B32" s="33">
        <f>4600+17</f>
        <v>4617</v>
      </c>
      <c r="C32" s="33">
        <v>6</v>
      </c>
      <c r="D32" s="33">
        <v>1200</v>
      </c>
      <c r="E32" s="33">
        <v>178</v>
      </c>
      <c r="F32" s="33">
        <v>238</v>
      </c>
      <c r="G32" s="33">
        <v>307</v>
      </c>
      <c r="H32" s="33">
        <f t="shared" si="1"/>
        <v>6546</v>
      </c>
      <c r="I32" s="33">
        <v>0</v>
      </c>
      <c r="J32" s="17"/>
      <c r="K32" s="19">
        <v>27</v>
      </c>
      <c r="L32" s="25">
        <v>0</v>
      </c>
      <c r="M32" s="25">
        <v>9</v>
      </c>
      <c r="N32" s="25">
        <v>5</v>
      </c>
      <c r="O32" s="33">
        <f t="shared" si="0"/>
        <v>14</v>
      </c>
      <c r="P32" s="6">
        <f t="shared" si="2"/>
        <v>6135</v>
      </c>
    </row>
    <row r="33" spans="1:16" ht="18" customHeight="1" thickTop="1" thickBot="1" x14ac:dyDescent="0.35">
      <c r="A33" s="19">
        <v>28</v>
      </c>
      <c r="B33" s="33">
        <f>5689+12</f>
        <v>5701</v>
      </c>
      <c r="C33" s="33">
        <v>6</v>
      </c>
      <c r="D33" s="33">
        <v>909</v>
      </c>
      <c r="E33" s="33">
        <v>74</v>
      </c>
      <c r="F33" s="33">
        <v>123</v>
      </c>
      <c r="G33" s="33">
        <v>173</v>
      </c>
      <c r="H33" s="33">
        <f t="shared" si="1"/>
        <v>6986</v>
      </c>
      <c r="I33" s="33">
        <v>0</v>
      </c>
      <c r="J33" s="17"/>
      <c r="K33" s="19">
        <v>28</v>
      </c>
      <c r="L33" s="25">
        <v>0</v>
      </c>
      <c r="M33" s="25">
        <v>7</v>
      </c>
      <c r="N33" s="25">
        <v>4</v>
      </c>
      <c r="O33" s="33">
        <f t="shared" si="0"/>
        <v>11</v>
      </c>
      <c r="P33" s="6">
        <f t="shared" si="2"/>
        <v>6135</v>
      </c>
    </row>
    <row r="34" spans="1:16" ht="18" customHeight="1" thickTop="1" thickBot="1" x14ac:dyDescent="0.35">
      <c r="A34" s="19">
        <v>29</v>
      </c>
      <c r="B34" s="33">
        <f>5818+10</f>
        <v>5828</v>
      </c>
      <c r="C34" s="33">
        <v>2</v>
      </c>
      <c r="D34" s="33">
        <v>900</v>
      </c>
      <c r="E34" s="33">
        <v>87</v>
      </c>
      <c r="F34" s="33">
        <v>92</v>
      </c>
      <c r="G34" s="33">
        <v>183</v>
      </c>
      <c r="H34" s="33">
        <f t="shared" si="1"/>
        <v>7092</v>
      </c>
      <c r="I34" s="33">
        <v>0</v>
      </c>
      <c r="J34" s="17"/>
      <c r="K34" s="19">
        <v>29</v>
      </c>
      <c r="L34" s="33">
        <v>0</v>
      </c>
      <c r="M34" s="33">
        <v>0</v>
      </c>
      <c r="N34" s="33">
        <v>0</v>
      </c>
      <c r="O34" s="33">
        <f>SUM(L34:N34)</f>
        <v>0</v>
      </c>
      <c r="P34" s="6">
        <f t="shared" si="2"/>
        <v>6135</v>
      </c>
    </row>
    <row r="35" spans="1:16" ht="18" customHeight="1" thickTop="1" thickBot="1" x14ac:dyDescent="0.35">
      <c r="A35" s="19">
        <v>30</v>
      </c>
      <c r="B35" s="33">
        <f>4174+30</f>
        <v>4204</v>
      </c>
      <c r="C35" s="33">
        <v>4</v>
      </c>
      <c r="D35" s="33">
        <v>1230</v>
      </c>
      <c r="E35" s="33">
        <v>185</v>
      </c>
      <c r="F35" s="33">
        <v>208</v>
      </c>
      <c r="G35" s="33">
        <v>313</v>
      </c>
      <c r="H35" s="33">
        <f t="shared" si="1"/>
        <v>6144</v>
      </c>
      <c r="I35" s="33">
        <v>0</v>
      </c>
      <c r="J35" s="17"/>
      <c r="K35" s="19">
        <v>30</v>
      </c>
      <c r="L35" s="33">
        <v>3</v>
      </c>
      <c r="M35" s="33">
        <v>5</v>
      </c>
      <c r="N35" s="33">
        <v>0</v>
      </c>
      <c r="O35" s="33">
        <f>SUM(L35:N35)</f>
        <v>8</v>
      </c>
      <c r="P35" s="6">
        <f t="shared" si="2"/>
        <v>6135</v>
      </c>
    </row>
    <row r="36" spans="1:16" ht="18" customHeight="1" thickTop="1" thickBot="1" x14ac:dyDescent="0.35">
      <c r="A36" s="19">
        <v>31</v>
      </c>
      <c r="B36" s="33">
        <f>5414+22</f>
        <v>5436</v>
      </c>
      <c r="C36" s="33">
        <v>6</v>
      </c>
      <c r="D36" s="33">
        <v>1289</v>
      </c>
      <c r="E36" s="33">
        <v>190</v>
      </c>
      <c r="F36" s="33">
        <v>229</v>
      </c>
      <c r="G36" s="33">
        <v>219</v>
      </c>
      <c r="H36" s="33">
        <f t="shared" si="1"/>
        <v>7369</v>
      </c>
      <c r="I36" s="33">
        <v>0</v>
      </c>
      <c r="J36" s="17"/>
      <c r="K36" s="19">
        <v>31</v>
      </c>
      <c r="L36" s="33">
        <v>3</v>
      </c>
      <c r="M36" s="33">
        <v>10</v>
      </c>
      <c r="N36" s="33">
        <v>5</v>
      </c>
      <c r="O36" s="33">
        <f>SUM(L36:N36)</f>
        <v>18</v>
      </c>
      <c r="P36" s="6">
        <f t="shared" si="2"/>
        <v>6135</v>
      </c>
    </row>
    <row r="37" spans="1:16" ht="18" customHeight="1" thickTop="1" x14ac:dyDescent="0.3">
      <c r="A37" s="20" t="s">
        <v>19</v>
      </c>
      <c r="B37" s="14">
        <f>SUM(B6:B36)</f>
        <v>111767</v>
      </c>
      <c r="C37" s="14">
        <f t="shared" ref="C37:H37" si="3">SUM(C6:C36)</f>
        <v>104</v>
      </c>
      <c r="D37" s="14">
        <f t="shared" si="3"/>
        <v>33306</v>
      </c>
      <c r="E37" s="14">
        <f t="shared" si="3"/>
        <v>4386</v>
      </c>
      <c r="F37" s="14">
        <f t="shared" si="3"/>
        <v>5839</v>
      </c>
      <c r="G37" s="14">
        <f t="shared" si="3"/>
        <v>7344</v>
      </c>
      <c r="H37" s="14">
        <f t="shared" si="3"/>
        <v>162746</v>
      </c>
      <c r="I37" s="14">
        <f t="shared" ref="I37" si="4">SUM(I6:I33)</f>
        <v>0</v>
      </c>
      <c r="J37" s="14"/>
      <c r="K37" s="14" t="s">
        <v>29</v>
      </c>
      <c r="L37" s="14">
        <f>SUM(L6:L36)</f>
        <v>34</v>
      </c>
      <c r="M37" s="14">
        <f t="shared" ref="M37:N37" si="5">SUM(M6:M36)</f>
        <v>255</v>
      </c>
      <c r="N37" s="14">
        <f t="shared" si="5"/>
        <v>77</v>
      </c>
      <c r="O37" s="8">
        <f>SUM(O6:O36)</f>
        <v>366</v>
      </c>
    </row>
    <row r="38" spans="1:16" ht="18" customHeight="1" x14ac:dyDescent="0.3">
      <c r="A38" s="20" t="s">
        <v>19</v>
      </c>
      <c r="B38" s="59">
        <f>+B37+C37</f>
        <v>111871</v>
      </c>
      <c r="C38" s="59"/>
      <c r="D38" s="14">
        <f>+D37</f>
        <v>33306</v>
      </c>
      <c r="E38" s="14">
        <f>+E37</f>
        <v>4386</v>
      </c>
      <c r="F38" s="14">
        <f>+F37</f>
        <v>5839</v>
      </c>
      <c r="G38" s="14">
        <f>+G37</f>
        <v>7344</v>
      </c>
      <c r="H38" s="8">
        <f>+H37</f>
        <v>162746</v>
      </c>
      <c r="I38" s="14">
        <v>0</v>
      </c>
      <c r="J38" s="31"/>
      <c r="K38" s="20"/>
      <c r="L38" s="13" t="s">
        <v>20</v>
      </c>
      <c r="M38" s="13" t="s">
        <v>21</v>
      </c>
      <c r="N38" s="13" t="s">
        <v>20</v>
      </c>
      <c r="O38" s="13" t="s">
        <v>21</v>
      </c>
    </row>
    <row r="39" spans="1:16" ht="18" customHeight="1" x14ac:dyDescent="0.3">
      <c r="A39" s="30" t="s">
        <v>22</v>
      </c>
      <c r="B39" s="12"/>
      <c r="C39" s="12"/>
      <c r="D39" s="12"/>
      <c r="E39" s="12"/>
      <c r="F39" s="12"/>
      <c r="G39" s="12"/>
      <c r="H39" s="12"/>
      <c r="L39" s="11"/>
    </row>
    <row r="40" spans="1:16" x14ac:dyDescent="0.3">
      <c r="A40" s="28"/>
      <c r="B40" s="10"/>
      <c r="C40" s="10"/>
      <c r="D40" s="10"/>
      <c r="E40" s="10"/>
      <c r="F40" s="10"/>
      <c r="G40" s="10"/>
      <c r="H40" s="10"/>
      <c r="I40" s="10"/>
      <c r="J40" s="11"/>
      <c r="K40" s="57"/>
      <c r="L40" s="56"/>
    </row>
    <row r="41" spans="1:16" x14ac:dyDescent="0.3">
      <c r="A41" s="32"/>
      <c r="H41" s="32"/>
      <c r="K41" s="57"/>
      <c r="L41" s="56"/>
    </row>
    <row r="42" spans="1:16" x14ac:dyDescent="0.3">
      <c r="K42" s="57"/>
      <c r="L42" s="56"/>
    </row>
    <row r="43" spans="1:16" x14ac:dyDescent="0.3">
      <c r="I43" s="32"/>
      <c r="J43" s="32"/>
    </row>
    <row r="45" spans="1:16" x14ac:dyDescent="0.3">
      <c r="A45" s="27"/>
    </row>
    <row r="46" spans="1:16" x14ac:dyDescent="0.3">
      <c r="A46" s="27"/>
      <c r="B46" s="32"/>
      <c r="C46" s="32"/>
      <c r="D46" s="32"/>
      <c r="E46" s="32"/>
      <c r="F46" s="32"/>
      <c r="G46" s="32"/>
      <c r="H46" s="32"/>
      <c r="I46" s="32"/>
      <c r="J46" s="32"/>
      <c r="K46" s="9"/>
      <c r="L46" s="32"/>
      <c r="M46" s="32"/>
      <c r="N46" s="32"/>
      <c r="O46" s="32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FD9F-40EB-47FF-89CD-5BE22B9ACC71}">
  <dimension ref="A1:Z46"/>
  <sheetViews>
    <sheetView topLeftCell="A16" workbookViewId="0">
      <selection activeCell="R33" sqref="R33"/>
    </sheetView>
  </sheetViews>
  <sheetFormatPr baseColWidth="10" defaultRowHeight="14.4" x14ac:dyDescent="0.3"/>
  <cols>
    <col min="16" max="16" width="0" hidden="1" customWidth="1"/>
  </cols>
  <sheetData>
    <row r="1" spans="1:19" ht="15.6" x14ac:dyDescent="0.3">
      <c r="A1" s="64" t="s">
        <v>23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46"/>
      <c r="Q1" s="46"/>
      <c r="R1" s="46"/>
      <c r="S1" s="46"/>
    </row>
    <row r="2" spans="1:19" ht="15.6" x14ac:dyDescent="0.3">
      <c r="A2" s="64" t="s">
        <v>24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46"/>
      <c r="Q2" s="46"/>
      <c r="R2" s="46"/>
      <c r="S2" s="46"/>
    </row>
    <row r="3" spans="1:19" ht="15.6" x14ac:dyDescent="0.3">
      <c r="A3" s="68" t="s">
        <v>27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46"/>
      <c r="Q3" s="46"/>
      <c r="R3" s="46"/>
      <c r="S3" s="46"/>
    </row>
    <row r="4" spans="1:19" ht="82.8" x14ac:dyDescent="0.3">
      <c r="A4" s="66" t="s">
        <v>1</v>
      </c>
      <c r="B4" s="69" t="s">
        <v>2</v>
      </c>
      <c r="C4" s="69"/>
      <c r="D4" s="2" t="s">
        <v>3</v>
      </c>
      <c r="E4" s="2" t="s">
        <v>4</v>
      </c>
      <c r="F4" s="2" t="s">
        <v>5</v>
      </c>
      <c r="G4" s="2" t="s">
        <v>6</v>
      </c>
      <c r="H4" s="69" t="s">
        <v>7</v>
      </c>
      <c r="I4" s="69" t="s">
        <v>8</v>
      </c>
      <c r="J4" s="37"/>
      <c r="K4" s="71" t="s">
        <v>1</v>
      </c>
      <c r="L4" s="69" t="s">
        <v>9</v>
      </c>
      <c r="M4" s="69" t="s">
        <v>10</v>
      </c>
      <c r="N4" s="69" t="s">
        <v>11</v>
      </c>
      <c r="O4" s="69" t="s">
        <v>12</v>
      </c>
      <c r="P4" s="36"/>
      <c r="Q4" s="36"/>
      <c r="R4" s="36"/>
      <c r="S4" s="36"/>
    </row>
    <row r="5" spans="1:19" x14ac:dyDescent="0.3">
      <c r="A5" s="67"/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69"/>
      <c r="I5" s="69"/>
      <c r="J5" s="37"/>
      <c r="K5" s="71"/>
      <c r="L5" s="69"/>
      <c r="M5" s="69"/>
      <c r="N5" s="69"/>
      <c r="O5" s="69"/>
      <c r="P5" s="36"/>
      <c r="Q5" s="36"/>
      <c r="R5" s="36"/>
      <c r="S5" s="36"/>
    </row>
    <row r="6" spans="1:19" ht="15" thickBot="1" x14ac:dyDescent="0.35">
      <c r="A6" s="38">
        <v>1</v>
      </c>
      <c r="B6" s="39">
        <v>11451</v>
      </c>
      <c r="C6" s="39">
        <v>4</v>
      </c>
      <c r="D6" s="39">
        <v>1075</v>
      </c>
      <c r="E6" s="39">
        <v>81</v>
      </c>
      <c r="F6" s="39">
        <v>116</v>
      </c>
      <c r="G6" s="39">
        <v>144</v>
      </c>
      <c r="H6" s="39">
        <v>12871</v>
      </c>
      <c r="I6" s="39">
        <v>0</v>
      </c>
      <c r="J6" s="40"/>
      <c r="K6" s="38">
        <v>1</v>
      </c>
      <c r="L6" s="58">
        <v>0</v>
      </c>
      <c r="M6" s="58">
        <v>6</v>
      </c>
      <c r="N6" s="58">
        <v>1</v>
      </c>
      <c r="O6" s="39">
        <v>7</v>
      </c>
      <c r="P6" s="50">
        <v>6135</v>
      </c>
      <c r="Q6" s="36"/>
      <c r="R6" s="36"/>
      <c r="S6" s="36"/>
    </row>
    <row r="7" spans="1:19" ht="15.6" thickTop="1" thickBot="1" x14ac:dyDescent="0.35">
      <c r="A7" s="38">
        <v>2</v>
      </c>
      <c r="B7" s="39">
        <v>7729</v>
      </c>
      <c r="C7" s="39">
        <v>0</v>
      </c>
      <c r="D7" s="39">
        <v>704</v>
      </c>
      <c r="E7" s="39">
        <v>43</v>
      </c>
      <c r="F7" s="39">
        <v>74</v>
      </c>
      <c r="G7" s="39">
        <v>96</v>
      </c>
      <c r="H7" s="39">
        <v>8646</v>
      </c>
      <c r="I7" s="39">
        <v>0</v>
      </c>
      <c r="J7" s="40"/>
      <c r="K7" s="38">
        <v>2</v>
      </c>
      <c r="L7" s="58">
        <v>0</v>
      </c>
      <c r="M7" s="58">
        <v>3</v>
      </c>
      <c r="N7" s="58">
        <v>0</v>
      </c>
      <c r="O7" s="39">
        <v>3</v>
      </c>
      <c r="P7" s="50">
        <v>6135</v>
      </c>
      <c r="Q7" s="36"/>
      <c r="R7" s="36"/>
      <c r="S7" s="36"/>
    </row>
    <row r="8" spans="1:19" ht="15.6" thickTop="1" thickBot="1" x14ac:dyDescent="0.35">
      <c r="A8" s="38">
        <v>3</v>
      </c>
      <c r="B8" s="39">
        <v>4998</v>
      </c>
      <c r="C8" s="39">
        <v>0</v>
      </c>
      <c r="D8" s="39">
        <v>376</v>
      </c>
      <c r="E8" s="39">
        <v>56</v>
      </c>
      <c r="F8" s="39">
        <v>84</v>
      </c>
      <c r="G8" s="39">
        <v>113</v>
      </c>
      <c r="H8" s="39">
        <v>5627</v>
      </c>
      <c r="I8" s="39">
        <v>0</v>
      </c>
      <c r="J8" s="40"/>
      <c r="K8" s="38">
        <v>3</v>
      </c>
      <c r="L8" s="58">
        <v>0</v>
      </c>
      <c r="M8" s="58">
        <v>0</v>
      </c>
      <c r="N8" s="58">
        <v>0</v>
      </c>
      <c r="O8" s="39">
        <v>0</v>
      </c>
      <c r="P8" s="50">
        <v>6135</v>
      </c>
      <c r="Q8" s="36"/>
      <c r="R8" s="36"/>
      <c r="S8" s="44"/>
    </row>
    <row r="9" spans="1:19" ht="15.6" thickTop="1" thickBot="1" x14ac:dyDescent="0.35">
      <c r="A9" s="38">
        <v>4</v>
      </c>
      <c r="B9" s="39">
        <v>10529</v>
      </c>
      <c r="C9" s="39">
        <v>4</v>
      </c>
      <c r="D9" s="39">
        <v>713</v>
      </c>
      <c r="E9" s="39">
        <v>49</v>
      </c>
      <c r="F9" s="39">
        <v>88</v>
      </c>
      <c r="G9" s="39">
        <v>88</v>
      </c>
      <c r="H9" s="39">
        <v>11471</v>
      </c>
      <c r="I9" s="39">
        <v>0</v>
      </c>
      <c r="J9" s="40"/>
      <c r="K9" s="38">
        <v>4</v>
      </c>
      <c r="L9" s="58">
        <v>0</v>
      </c>
      <c r="M9" s="58">
        <v>5</v>
      </c>
      <c r="N9" s="58">
        <v>0</v>
      </c>
      <c r="O9" s="39">
        <v>5</v>
      </c>
      <c r="P9" s="50">
        <v>6135</v>
      </c>
      <c r="Q9" s="36"/>
      <c r="R9" s="36"/>
      <c r="S9" s="36"/>
    </row>
    <row r="10" spans="1:19" ht="15.6" thickTop="1" thickBot="1" x14ac:dyDescent="0.35">
      <c r="A10" s="38">
        <v>5</v>
      </c>
      <c r="B10" s="39">
        <v>16087</v>
      </c>
      <c r="C10" s="39">
        <v>4</v>
      </c>
      <c r="D10" s="39">
        <v>760</v>
      </c>
      <c r="E10" s="39">
        <v>43</v>
      </c>
      <c r="F10" s="39">
        <v>43</v>
      </c>
      <c r="G10" s="39">
        <v>72</v>
      </c>
      <c r="H10" s="39">
        <v>17009</v>
      </c>
      <c r="I10" s="39">
        <v>0</v>
      </c>
      <c r="J10" s="40"/>
      <c r="K10" s="38">
        <v>5</v>
      </c>
      <c r="L10" s="58">
        <v>0</v>
      </c>
      <c r="M10" s="58">
        <v>0</v>
      </c>
      <c r="N10" s="58">
        <v>0</v>
      </c>
      <c r="O10" s="39">
        <v>0</v>
      </c>
      <c r="P10" s="50">
        <v>6135</v>
      </c>
      <c r="Q10" s="36"/>
      <c r="R10" s="36"/>
      <c r="S10" s="36"/>
    </row>
    <row r="11" spans="1:19" ht="15.6" thickTop="1" thickBot="1" x14ac:dyDescent="0.35">
      <c r="A11" s="38">
        <v>6</v>
      </c>
      <c r="B11" s="39">
        <v>3843</v>
      </c>
      <c r="C11" s="39">
        <v>0</v>
      </c>
      <c r="D11" s="39">
        <v>1127</v>
      </c>
      <c r="E11" s="39">
        <v>136</v>
      </c>
      <c r="F11" s="39">
        <v>201</v>
      </c>
      <c r="G11" s="39">
        <v>359</v>
      </c>
      <c r="H11" s="39">
        <v>5666</v>
      </c>
      <c r="I11" s="39">
        <v>0</v>
      </c>
      <c r="J11" s="40"/>
      <c r="K11" s="38">
        <v>6</v>
      </c>
      <c r="L11" s="58">
        <v>0</v>
      </c>
      <c r="M11" s="58">
        <v>5</v>
      </c>
      <c r="N11" s="58">
        <v>6</v>
      </c>
      <c r="O11" s="39">
        <v>11</v>
      </c>
      <c r="P11" s="50">
        <v>6135</v>
      </c>
      <c r="Q11" s="36"/>
      <c r="R11" s="36"/>
      <c r="S11" s="36"/>
    </row>
    <row r="12" spans="1:19" ht="15.6" thickTop="1" thickBot="1" x14ac:dyDescent="0.35">
      <c r="A12" s="38">
        <v>7</v>
      </c>
      <c r="B12" s="39">
        <v>2425</v>
      </c>
      <c r="C12" s="39">
        <v>2</v>
      </c>
      <c r="D12" s="39">
        <v>1182</v>
      </c>
      <c r="E12" s="39">
        <v>171</v>
      </c>
      <c r="F12" s="39">
        <v>228</v>
      </c>
      <c r="G12" s="39">
        <v>301</v>
      </c>
      <c r="H12" s="39">
        <v>4309</v>
      </c>
      <c r="I12" s="39">
        <v>0</v>
      </c>
      <c r="J12" s="41"/>
      <c r="K12" s="38">
        <v>7</v>
      </c>
      <c r="L12" s="58">
        <v>0</v>
      </c>
      <c r="M12" s="58">
        <v>10</v>
      </c>
      <c r="N12" s="58">
        <v>5</v>
      </c>
      <c r="O12" s="39">
        <v>15</v>
      </c>
      <c r="P12" s="50">
        <v>6135</v>
      </c>
      <c r="Q12" s="36"/>
      <c r="R12" s="36"/>
      <c r="S12" s="36"/>
    </row>
    <row r="13" spans="1:19" ht="15.6" thickTop="1" thickBot="1" x14ac:dyDescent="0.35">
      <c r="A13" s="38">
        <v>8</v>
      </c>
      <c r="B13" s="39">
        <v>2209</v>
      </c>
      <c r="C13" s="39">
        <v>4</v>
      </c>
      <c r="D13" s="39">
        <v>1327</v>
      </c>
      <c r="E13" s="39">
        <v>194</v>
      </c>
      <c r="F13" s="39">
        <v>225</v>
      </c>
      <c r="G13" s="39">
        <v>338</v>
      </c>
      <c r="H13" s="39">
        <v>4297</v>
      </c>
      <c r="I13" s="39">
        <v>0</v>
      </c>
      <c r="J13" s="41"/>
      <c r="K13" s="38">
        <v>8</v>
      </c>
      <c r="L13" s="58">
        <v>1</v>
      </c>
      <c r="M13" s="58">
        <v>8</v>
      </c>
      <c r="N13" s="58">
        <v>0</v>
      </c>
      <c r="O13" s="39">
        <v>9</v>
      </c>
      <c r="P13" s="50">
        <v>6135</v>
      </c>
      <c r="Q13" s="36"/>
      <c r="R13" s="36"/>
      <c r="S13" s="36"/>
    </row>
    <row r="14" spans="1:19" ht="15.6" thickTop="1" thickBot="1" x14ac:dyDescent="0.35">
      <c r="A14" s="38">
        <v>9</v>
      </c>
      <c r="B14" s="39">
        <v>2284</v>
      </c>
      <c r="C14" s="39">
        <v>2</v>
      </c>
      <c r="D14" s="39">
        <v>1268</v>
      </c>
      <c r="E14" s="39">
        <v>175</v>
      </c>
      <c r="F14" s="39">
        <v>230</v>
      </c>
      <c r="G14" s="39">
        <v>314</v>
      </c>
      <c r="H14" s="39">
        <v>4273</v>
      </c>
      <c r="I14" s="39">
        <v>0</v>
      </c>
      <c r="J14" s="41"/>
      <c r="K14" s="38">
        <v>9</v>
      </c>
      <c r="L14" s="58">
        <v>1</v>
      </c>
      <c r="M14" s="58">
        <v>6</v>
      </c>
      <c r="N14" s="58">
        <v>8</v>
      </c>
      <c r="O14" s="39">
        <v>15</v>
      </c>
      <c r="P14" s="51">
        <v>6135</v>
      </c>
      <c r="Q14" s="47"/>
      <c r="R14" s="47"/>
      <c r="S14" s="47"/>
    </row>
    <row r="15" spans="1:19" ht="15.6" thickTop="1" thickBot="1" x14ac:dyDescent="0.35">
      <c r="A15" s="38">
        <v>10</v>
      </c>
      <c r="B15" s="39">
        <v>2908</v>
      </c>
      <c r="C15" s="39">
        <v>4</v>
      </c>
      <c r="D15" s="39">
        <v>1163</v>
      </c>
      <c r="E15" s="39">
        <v>166</v>
      </c>
      <c r="F15" s="39">
        <v>205</v>
      </c>
      <c r="G15" s="39">
        <v>306</v>
      </c>
      <c r="H15" s="39">
        <v>4752</v>
      </c>
      <c r="I15" s="39">
        <v>0</v>
      </c>
      <c r="J15" s="41"/>
      <c r="K15" s="38">
        <v>10</v>
      </c>
      <c r="L15" s="58">
        <v>0</v>
      </c>
      <c r="M15" s="58">
        <v>26</v>
      </c>
      <c r="N15" s="58">
        <v>4</v>
      </c>
      <c r="O15" s="39">
        <v>30</v>
      </c>
      <c r="P15" s="50">
        <v>6135</v>
      </c>
      <c r="Q15" s="36"/>
      <c r="R15" s="36"/>
      <c r="S15" s="36"/>
    </row>
    <row r="16" spans="1:19" ht="15.6" thickTop="1" thickBot="1" x14ac:dyDescent="0.35">
      <c r="A16" s="38">
        <v>11</v>
      </c>
      <c r="B16" s="39">
        <v>3157</v>
      </c>
      <c r="C16" s="39">
        <v>0</v>
      </c>
      <c r="D16" s="39">
        <v>1009</v>
      </c>
      <c r="E16" s="39">
        <v>140</v>
      </c>
      <c r="F16" s="39">
        <v>168</v>
      </c>
      <c r="G16" s="39">
        <v>244</v>
      </c>
      <c r="H16" s="39">
        <v>4718</v>
      </c>
      <c r="I16" s="39">
        <v>0</v>
      </c>
      <c r="J16" s="41"/>
      <c r="K16" s="38">
        <v>11</v>
      </c>
      <c r="L16" s="58">
        <v>0</v>
      </c>
      <c r="M16" s="58">
        <v>9</v>
      </c>
      <c r="N16" s="58">
        <v>0</v>
      </c>
      <c r="O16" s="39">
        <v>9</v>
      </c>
      <c r="P16" s="50">
        <v>6135</v>
      </c>
      <c r="Q16" s="36"/>
      <c r="R16" s="36"/>
      <c r="S16" s="36"/>
    </row>
    <row r="17" spans="1:26" ht="15.6" thickTop="1" thickBot="1" x14ac:dyDescent="0.35">
      <c r="A17" s="38">
        <v>12</v>
      </c>
      <c r="B17" s="39">
        <v>3794</v>
      </c>
      <c r="C17" s="39">
        <v>4</v>
      </c>
      <c r="D17" s="39">
        <v>812</v>
      </c>
      <c r="E17" s="39">
        <v>119</v>
      </c>
      <c r="F17" s="39">
        <v>118</v>
      </c>
      <c r="G17" s="39">
        <v>174</v>
      </c>
      <c r="H17" s="39">
        <v>5021</v>
      </c>
      <c r="I17" s="39">
        <v>0</v>
      </c>
      <c r="J17" s="41"/>
      <c r="K17" s="38">
        <v>12</v>
      </c>
      <c r="L17" s="58">
        <v>1</v>
      </c>
      <c r="M17" s="58">
        <v>8</v>
      </c>
      <c r="N17" s="58">
        <v>0</v>
      </c>
      <c r="O17" s="39">
        <v>9</v>
      </c>
      <c r="P17" s="50">
        <v>6135</v>
      </c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6" thickTop="1" thickBot="1" x14ac:dyDescent="0.35">
      <c r="A18" s="38">
        <v>13</v>
      </c>
      <c r="B18" s="39">
        <v>2183</v>
      </c>
      <c r="C18" s="39">
        <v>2</v>
      </c>
      <c r="D18" s="39">
        <v>1004</v>
      </c>
      <c r="E18" s="39">
        <v>170</v>
      </c>
      <c r="F18" s="39">
        <v>167</v>
      </c>
      <c r="G18" s="39">
        <v>266</v>
      </c>
      <c r="H18" s="39">
        <v>3792</v>
      </c>
      <c r="I18" s="39">
        <v>0</v>
      </c>
      <c r="J18" s="41"/>
      <c r="K18" s="38">
        <v>13</v>
      </c>
      <c r="L18" s="58">
        <v>1</v>
      </c>
      <c r="M18" s="58">
        <v>4</v>
      </c>
      <c r="N18" s="58">
        <v>0</v>
      </c>
      <c r="O18" s="39">
        <v>5</v>
      </c>
      <c r="P18" s="50">
        <v>6135</v>
      </c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6" thickTop="1" thickBot="1" x14ac:dyDescent="0.35">
      <c r="A19" s="38">
        <v>14</v>
      </c>
      <c r="B19" s="39">
        <v>2122</v>
      </c>
      <c r="C19" s="39">
        <v>7</v>
      </c>
      <c r="D19" s="39">
        <v>1166</v>
      </c>
      <c r="E19" s="39">
        <v>158</v>
      </c>
      <c r="F19" s="39">
        <v>174</v>
      </c>
      <c r="G19" s="39">
        <v>290</v>
      </c>
      <c r="H19" s="39">
        <v>3917</v>
      </c>
      <c r="I19" s="39">
        <v>0</v>
      </c>
      <c r="J19" s="41"/>
      <c r="K19" s="38">
        <v>14</v>
      </c>
      <c r="L19" s="58">
        <v>0</v>
      </c>
      <c r="M19" s="58">
        <v>17</v>
      </c>
      <c r="N19" s="58">
        <v>4</v>
      </c>
      <c r="O19" s="39">
        <v>21</v>
      </c>
      <c r="P19" s="50">
        <v>6135</v>
      </c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6" thickTop="1" thickBot="1" x14ac:dyDescent="0.35">
      <c r="A20" s="38">
        <v>15</v>
      </c>
      <c r="B20" s="39">
        <v>1948</v>
      </c>
      <c r="C20" s="39">
        <v>2</v>
      </c>
      <c r="D20" s="39">
        <v>1174</v>
      </c>
      <c r="E20" s="39">
        <v>170</v>
      </c>
      <c r="F20" s="39">
        <v>202</v>
      </c>
      <c r="G20" s="39">
        <v>328</v>
      </c>
      <c r="H20" s="39">
        <v>3824</v>
      </c>
      <c r="I20" s="39">
        <v>0</v>
      </c>
      <c r="J20" s="41"/>
      <c r="K20" s="38">
        <v>15</v>
      </c>
      <c r="L20" s="58">
        <v>0</v>
      </c>
      <c r="M20" s="58">
        <v>16</v>
      </c>
      <c r="N20" s="58">
        <v>7</v>
      </c>
      <c r="O20" s="39">
        <v>23</v>
      </c>
      <c r="P20" s="50">
        <v>6135</v>
      </c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6" thickTop="1" thickBot="1" x14ac:dyDescent="0.35">
      <c r="A21" s="38">
        <v>16</v>
      </c>
      <c r="B21" s="39">
        <v>2317</v>
      </c>
      <c r="C21" s="39">
        <v>2</v>
      </c>
      <c r="D21" s="39">
        <v>1321</v>
      </c>
      <c r="E21" s="39">
        <v>197</v>
      </c>
      <c r="F21" s="39">
        <v>213</v>
      </c>
      <c r="G21" s="39">
        <v>321</v>
      </c>
      <c r="H21" s="39">
        <v>4371</v>
      </c>
      <c r="I21" s="39">
        <v>0</v>
      </c>
      <c r="J21" s="41"/>
      <c r="K21" s="38">
        <v>16</v>
      </c>
      <c r="L21" s="58">
        <v>0</v>
      </c>
      <c r="M21" s="58">
        <v>14</v>
      </c>
      <c r="N21" s="58">
        <v>0</v>
      </c>
      <c r="O21" s="39">
        <v>14</v>
      </c>
      <c r="P21" s="50">
        <v>6135</v>
      </c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6" thickTop="1" thickBot="1" x14ac:dyDescent="0.35">
      <c r="A22" s="38">
        <v>17</v>
      </c>
      <c r="B22" s="39">
        <v>3103</v>
      </c>
      <c r="C22" s="39">
        <v>3</v>
      </c>
      <c r="D22" s="39">
        <v>1164</v>
      </c>
      <c r="E22" s="39">
        <v>151</v>
      </c>
      <c r="F22" s="39">
        <v>210</v>
      </c>
      <c r="G22" s="39">
        <v>284</v>
      </c>
      <c r="H22" s="39">
        <v>4915</v>
      </c>
      <c r="I22" s="39">
        <v>0</v>
      </c>
      <c r="J22" s="41"/>
      <c r="K22" s="38">
        <v>17</v>
      </c>
      <c r="L22" s="58">
        <v>3</v>
      </c>
      <c r="M22" s="58">
        <v>5</v>
      </c>
      <c r="N22" s="58">
        <v>1</v>
      </c>
      <c r="O22" s="39">
        <v>9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8">
        <v>18</v>
      </c>
      <c r="B23" s="39">
        <v>3324</v>
      </c>
      <c r="C23" s="39">
        <v>2</v>
      </c>
      <c r="D23" s="39">
        <v>1288</v>
      </c>
      <c r="E23" s="39">
        <v>214</v>
      </c>
      <c r="F23" s="39">
        <v>262</v>
      </c>
      <c r="G23" s="39">
        <v>404</v>
      </c>
      <c r="H23" s="39">
        <v>5494</v>
      </c>
      <c r="I23" s="39">
        <v>0</v>
      </c>
      <c r="J23" s="41"/>
      <c r="K23" s="38">
        <v>18</v>
      </c>
      <c r="L23" s="58">
        <v>2</v>
      </c>
      <c r="M23" s="58">
        <v>7</v>
      </c>
      <c r="N23" s="58">
        <v>4</v>
      </c>
      <c r="O23" s="39">
        <v>13</v>
      </c>
      <c r="P23" s="50">
        <v>6135</v>
      </c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6" thickTop="1" thickBot="1" x14ac:dyDescent="0.35">
      <c r="A24" s="38">
        <v>19</v>
      </c>
      <c r="B24" s="39">
        <v>4131</v>
      </c>
      <c r="C24" s="39">
        <v>2</v>
      </c>
      <c r="D24" s="39">
        <v>837</v>
      </c>
      <c r="E24" s="39">
        <v>121</v>
      </c>
      <c r="F24" s="39">
        <v>95</v>
      </c>
      <c r="G24" s="39">
        <v>208</v>
      </c>
      <c r="H24" s="39">
        <v>5394</v>
      </c>
      <c r="I24" s="39">
        <v>0</v>
      </c>
      <c r="J24" s="41"/>
      <c r="K24" s="38">
        <v>19</v>
      </c>
      <c r="L24" s="58">
        <v>1</v>
      </c>
      <c r="M24" s="58">
        <v>2</v>
      </c>
      <c r="N24" s="58">
        <v>2</v>
      </c>
      <c r="O24" s="39">
        <v>5</v>
      </c>
      <c r="P24" s="50">
        <v>6135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6" thickTop="1" thickBot="1" x14ac:dyDescent="0.35">
      <c r="A25" s="38">
        <v>20</v>
      </c>
      <c r="B25" s="39">
        <v>2159</v>
      </c>
      <c r="C25" s="39">
        <v>4</v>
      </c>
      <c r="D25" s="39">
        <v>1037</v>
      </c>
      <c r="E25" s="39">
        <v>163</v>
      </c>
      <c r="F25" s="39">
        <v>187</v>
      </c>
      <c r="G25" s="39">
        <v>266</v>
      </c>
      <c r="H25" s="39">
        <v>3816</v>
      </c>
      <c r="I25" s="39">
        <v>0</v>
      </c>
      <c r="J25" s="41"/>
      <c r="K25" s="38">
        <v>20</v>
      </c>
      <c r="L25" s="58">
        <v>2</v>
      </c>
      <c r="M25" s="58">
        <v>15</v>
      </c>
      <c r="N25" s="58">
        <v>0</v>
      </c>
      <c r="O25" s="39">
        <v>17</v>
      </c>
      <c r="P25" s="50">
        <v>6135</v>
      </c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6" thickTop="1" thickBot="1" x14ac:dyDescent="0.35">
      <c r="A26" s="38">
        <v>21</v>
      </c>
      <c r="B26" s="39">
        <v>2171</v>
      </c>
      <c r="C26" s="39">
        <v>2</v>
      </c>
      <c r="D26" s="39">
        <v>1175</v>
      </c>
      <c r="E26" s="39">
        <v>161</v>
      </c>
      <c r="F26" s="39">
        <v>206</v>
      </c>
      <c r="G26" s="39">
        <v>281</v>
      </c>
      <c r="H26" s="39">
        <v>3996</v>
      </c>
      <c r="I26" s="39">
        <v>0</v>
      </c>
      <c r="J26" s="41"/>
      <c r="K26" s="38">
        <v>21</v>
      </c>
      <c r="L26" s="58">
        <v>0</v>
      </c>
      <c r="M26" s="58">
        <v>14</v>
      </c>
      <c r="N26" s="58">
        <v>6</v>
      </c>
      <c r="O26" s="39">
        <v>20</v>
      </c>
      <c r="P26" s="50">
        <v>6135</v>
      </c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6" thickTop="1" thickBot="1" x14ac:dyDescent="0.35">
      <c r="A27" s="38">
        <v>22</v>
      </c>
      <c r="B27" s="39">
        <v>1647</v>
      </c>
      <c r="C27" s="39">
        <v>2</v>
      </c>
      <c r="D27" s="39">
        <v>1257</v>
      </c>
      <c r="E27" s="39">
        <v>166</v>
      </c>
      <c r="F27" s="39">
        <v>218</v>
      </c>
      <c r="G27" s="39">
        <v>338</v>
      </c>
      <c r="H27" s="39">
        <v>3628</v>
      </c>
      <c r="I27" s="39">
        <v>0</v>
      </c>
      <c r="J27" s="41"/>
      <c r="K27" s="38">
        <v>22</v>
      </c>
      <c r="L27" s="58">
        <v>0</v>
      </c>
      <c r="M27" s="58">
        <v>10</v>
      </c>
      <c r="N27" s="58">
        <v>1</v>
      </c>
      <c r="O27" s="39">
        <v>11</v>
      </c>
      <c r="P27" s="50">
        <v>6135</v>
      </c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6" thickTop="1" thickBot="1" x14ac:dyDescent="0.35">
      <c r="A28" s="38">
        <v>23</v>
      </c>
      <c r="B28" s="39">
        <v>2369</v>
      </c>
      <c r="C28" s="39">
        <v>2</v>
      </c>
      <c r="D28" s="39">
        <v>1286</v>
      </c>
      <c r="E28" s="39">
        <v>182</v>
      </c>
      <c r="F28" s="39">
        <v>230</v>
      </c>
      <c r="G28" s="39">
        <v>331</v>
      </c>
      <c r="H28" s="39">
        <v>4400</v>
      </c>
      <c r="I28" s="39">
        <v>0</v>
      </c>
      <c r="J28" s="41"/>
      <c r="K28" s="38">
        <v>23</v>
      </c>
      <c r="L28" s="58">
        <v>4</v>
      </c>
      <c r="M28" s="58">
        <v>8</v>
      </c>
      <c r="N28" s="58">
        <v>2</v>
      </c>
      <c r="O28" s="39">
        <v>14</v>
      </c>
      <c r="P28" s="50">
        <v>6135</v>
      </c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6" thickTop="1" thickBot="1" x14ac:dyDescent="0.35">
      <c r="A29" s="38">
        <v>24</v>
      </c>
      <c r="B29" s="39">
        <v>3105</v>
      </c>
      <c r="C29" s="39">
        <v>6</v>
      </c>
      <c r="D29" s="39">
        <v>1185</v>
      </c>
      <c r="E29" s="39">
        <v>153</v>
      </c>
      <c r="F29" s="39">
        <v>219</v>
      </c>
      <c r="G29" s="39">
        <v>321</v>
      </c>
      <c r="H29" s="39">
        <v>4989</v>
      </c>
      <c r="I29" s="39">
        <v>0</v>
      </c>
      <c r="J29" s="41"/>
      <c r="K29" s="38">
        <v>24</v>
      </c>
      <c r="L29" s="58">
        <v>0</v>
      </c>
      <c r="M29" s="58">
        <v>7</v>
      </c>
      <c r="N29" s="58">
        <v>3</v>
      </c>
      <c r="O29" s="39">
        <v>10</v>
      </c>
      <c r="P29" s="50">
        <v>6135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6" thickTop="1" thickBot="1" x14ac:dyDescent="0.35">
      <c r="A30" s="38">
        <v>25</v>
      </c>
      <c r="B30" s="39">
        <v>3124</v>
      </c>
      <c r="C30" s="39">
        <v>4</v>
      </c>
      <c r="D30" s="39">
        <v>1020</v>
      </c>
      <c r="E30" s="39">
        <v>119</v>
      </c>
      <c r="F30" s="39">
        <v>171</v>
      </c>
      <c r="G30" s="39">
        <v>265</v>
      </c>
      <c r="H30" s="39">
        <v>4703</v>
      </c>
      <c r="I30" s="39">
        <v>0</v>
      </c>
      <c r="J30" s="41"/>
      <c r="K30" s="38">
        <v>25</v>
      </c>
      <c r="L30" s="58">
        <v>0</v>
      </c>
      <c r="M30" s="58">
        <v>9</v>
      </c>
      <c r="N30" s="58">
        <v>4</v>
      </c>
      <c r="O30" s="39">
        <v>13</v>
      </c>
      <c r="P30" s="50">
        <v>6135</v>
      </c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6" thickTop="1" thickBot="1" x14ac:dyDescent="0.35">
      <c r="A31" s="38">
        <v>26</v>
      </c>
      <c r="B31" s="39">
        <v>4329</v>
      </c>
      <c r="C31" s="39">
        <v>0</v>
      </c>
      <c r="D31" s="39">
        <v>928</v>
      </c>
      <c r="E31" s="39">
        <v>108</v>
      </c>
      <c r="F31" s="39">
        <v>130</v>
      </c>
      <c r="G31" s="39">
        <v>201</v>
      </c>
      <c r="H31" s="39">
        <v>5696</v>
      </c>
      <c r="I31" s="39">
        <v>0</v>
      </c>
      <c r="J31" s="41"/>
      <c r="K31" s="38">
        <v>26</v>
      </c>
      <c r="L31" s="58">
        <v>0</v>
      </c>
      <c r="M31" s="58">
        <v>3</v>
      </c>
      <c r="N31" s="58">
        <v>2</v>
      </c>
      <c r="O31" s="39">
        <v>5</v>
      </c>
      <c r="P31" s="50">
        <v>6135</v>
      </c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6" thickTop="1" thickBot="1" x14ac:dyDescent="0.35">
      <c r="A32" s="38">
        <v>27</v>
      </c>
      <c r="B32" s="39">
        <v>2266</v>
      </c>
      <c r="C32" s="39">
        <v>2</v>
      </c>
      <c r="D32" s="39">
        <v>1148</v>
      </c>
      <c r="E32" s="39">
        <v>157</v>
      </c>
      <c r="F32" s="39">
        <v>216</v>
      </c>
      <c r="G32" s="39">
        <v>289</v>
      </c>
      <c r="H32" s="39">
        <v>4078</v>
      </c>
      <c r="I32" s="39">
        <v>0</v>
      </c>
      <c r="J32" s="41"/>
      <c r="K32" s="38">
        <v>27</v>
      </c>
      <c r="L32" s="58">
        <v>3</v>
      </c>
      <c r="M32" s="58">
        <v>6</v>
      </c>
      <c r="N32" s="58">
        <v>0</v>
      </c>
      <c r="O32" s="39">
        <v>9</v>
      </c>
      <c r="P32" s="50">
        <v>6135</v>
      </c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16" ht="15.6" thickTop="1" thickBot="1" x14ac:dyDescent="0.35">
      <c r="A33" s="38">
        <v>28</v>
      </c>
      <c r="B33" s="39">
        <v>2262</v>
      </c>
      <c r="C33" s="39">
        <v>6</v>
      </c>
      <c r="D33" s="39">
        <v>1276</v>
      </c>
      <c r="E33" s="39">
        <v>178</v>
      </c>
      <c r="F33" s="39">
        <v>216</v>
      </c>
      <c r="G33" s="39">
        <v>303</v>
      </c>
      <c r="H33" s="39">
        <v>4241</v>
      </c>
      <c r="I33" s="39">
        <v>0</v>
      </c>
      <c r="J33" s="41"/>
      <c r="K33" s="38">
        <v>28</v>
      </c>
      <c r="L33" s="58">
        <v>2</v>
      </c>
      <c r="M33" s="58">
        <v>12</v>
      </c>
      <c r="N33" s="58">
        <v>1</v>
      </c>
      <c r="O33" s="39">
        <v>15</v>
      </c>
      <c r="P33" s="50">
        <v>6135</v>
      </c>
    </row>
    <row r="34" spans="1:16" ht="15.6" thickTop="1" thickBot="1" x14ac:dyDescent="0.35">
      <c r="A34" s="38">
        <v>29</v>
      </c>
      <c r="B34" s="39">
        <v>2584</v>
      </c>
      <c r="C34" s="39">
        <v>4</v>
      </c>
      <c r="D34" s="39">
        <v>1267</v>
      </c>
      <c r="E34" s="39">
        <v>166</v>
      </c>
      <c r="F34" s="39">
        <v>211</v>
      </c>
      <c r="G34" s="39">
        <v>300</v>
      </c>
      <c r="H34" s="39">
        <v>4532</v>
      </c>
      <c r="I34" s="39">
        <v>0</v>
      </c>
      <c r="J34" s="41"/>
      <c r="K34" s="38">
        <v>29</v>
      </c>
      <c r="L34" s="39">
        <v>0</v>
      </c>
      <c r="M34" s="39">
        <v>22</v>
      </c>
      <c r="N34" s="39">
        <v>2</v>
      </c>
      <c r="O34" s="39">
        <v>24</v>
      </c>
      <c r="P34" s="50">
        <v>6135</v>
      </c>
    </row>
    <row r="35" spans="1:16" ht="15.6" thickTop="1" thickBot="1" x14ac:dyDescent="0.35">
      <c r="A35" s="38">
        <v>30</v>
      </c>
      <c r="B35" s="39">
        <v>5658</v>
      </c>
      <c r="C35" s="39">
        <v>8</v>
      </c>
      <c r="D35" s="39">
        <v>1175</v>
      </c>
      <c r="E35" s="39">
        <v>150</v>
      </c>
      <c r="F35" s="39">
        <v>193</v>
      </c>
      <c r="G35" s="39">
        <v>299</v>
      </c>
      <c r="H35" s="39">
        <v>7483</v>
      </c>
      <c r="I35" s="39">
        <v>0</v>
      </c>
      <c r="J35" s="41"/>
      <c r="K35" s="38">
        <v>30</v>
      </c>
      <c r="L35" s="39">
        <v>1</v>
      </c>
      <c r="M35" s="39">
        <v>15</v>
      </c>
      <c r="N35" s="39">
        <v>0</v>
      </c>
      <c r="O35" s="39">
        <v>16</v>
      </c>
      <c r="P35" s="50">
        <v>6135</v>
      </c>
    </row>
    <row r="36" spans="1:16" ht="15.6" hidden="1" thickTop="1" thickBot="1" x14ac:dyDescent="0.35">
      <c r="A36" s="38">
        <v>31</v>
      </c>
      <c r="B36" s="39"/>
      <c r="C36" s="39"/>
      <c r="D36" s="39"/>
      <c r="E36" s="39"/>
      <c r="F36" s="39"/>
      <c r="G36" s="39"/>
      <c r="H36" s="39">
        <v>0</v>
      </c>
      <c r="I36" s="39">
        <v>0</v>
      </c>
      <c r="J36" s="41"/>
      <c r="K36" s="38">
        <v>31</v>
      </c>
      <c r="L36" s="39"/>
      <c r="M36" s="39"/>
      <c r="N36" s="39"/>
      <c r="O36" s="39">
        <v>0</v>
      </c>
      <c r="P36" s="50">
        <v>6135</v>
      </c>
    </row>
    <row r="37" spans="1:16" ht="15" thickTop="1" x14ac:dyDescent="0.3">
      <c r="A37" s="4" t="s">
        <v>19</v>
      </c>
      <c r="B37" s="3">
        <v>122216</v>
      </c>
      <c r="C37" s="3">
        <v>88</v>
      </c>
      <c r="D37" s="3">
        <v>32224</v>
      </c>
      <c r="E37" s="3">
        <v>4257</v>
      </c>
      <c r="F37" s="3">
        <v>5300</v>
      </c>
      <c r="G37" s="3">
        <v>7844</v>
      </c>
      <c r="H37" s="3">
        <v>171929</v>
      </c>
      <c r="I37" s="3">
        <v>0</v>
      </c>
      <c r="J37" s="3"/>
      <c r="K37" s="3" t="s">
        <v>29</v>
      </c>
      <c r="L37" s="3">
        <v>22</v>
      </c>
      <c r="M37" s="3">
        <v>272</v>
      </c>
      <c r="N37" s="3">
        <v>63</v>
      </c>
      <c r="O37" s="5">
        <f>SUM(O6:O35)</f>
        <v>357</v>
      </c>
      <c r="P37" s="36"/>
    </row>
    <row r="38" spans="1:16" x14ac:dyDescent="0.3">
      <c r="A38" s="4" t="s">
        <v>19</v>
      </c>
      <c r="B38" s="70">
        <v>122304</v>
      </c>
      <c r="C38" s="70"/>
      <c r="D38" s="3">
        <v>32224</v>
      </c>
      <c r="E38" s="3">
        <v>4257</v>
      </c>
      <c r="F38" s="3">
        <v>5300</v>
      </c>
      <c r="G38" s="3">
        <v>7844</v>
      </c>
      <c r="H38" s="5">
        <v>171929</v>
      </c>
      <c r="I38" s="3">
        <v>0</v>
      </c>
      <c r="J38" s="42"/>
      <c r="K38" s="4"/>
      <c r="L38" s="35" t="s">
        <v>20</v>
      </c>
      <c r="M38" s="35" t="s">
        <v>21</v>
      </c>
      <c r="N38" s="35" t="s">
        <v>20</v>
      </c>
      <c r="O38" s="35" t="s">
        <v>21</v>
      </c>
      <c r="P38" s="36"/>
    </row>
    <row r="39" spans="1:16" x14ac:dyDescent="0.3">
      <c r="A39" s="43" t="s">
        <v>22</v>
      </c>
      <c r="B39" s="45"/>
      <c r="C39" s="45"/>
      <c r="D39" s="45"/>
      <c r="E39" s="45"/>
      <c r="F39" s="45"/>
      <c r="G39" s="45"/>
      <c r="H39" s="45"/>
      <c r="I39" s="36"/>
      <c r="J39" s="36"/>
      <c r="K39" s="36"/>
      <c r="L39" s="48"/>
      <c r="M39" s="36"/>
      <c r="N39" s="36"/>
      <c r="O39" s="36"/>
      <c r="P39" s="36"/>
    </row>
    <row r="40" spans="1:16" x14ac:dyDescent="0.3">
      <c r="A40" s="54"/>
      <c r="B40" s="55"/>
      <c r="C40" s="55"/>
      <c r="D40" s="55"/>
      <c r="E40" s="55"/>
      <c r="F40" s="55"/>
      <c r="G40" s="55"/>
      <c r="H40" s="55"/>
      <c r="I40" s="55"/>
      <c r="J40" s="48"/>
      <c r="K40" s="57"/>
      <c r="L40" s="56"/>
      <c r="M40" s="36"/>
      <c r="N40" s="36"/>
      <c r="O40" s="36"/>
      <c r="P40" s="36"/>
    </row>
    <row r="41" spans="1:16" x14ac:dyDescent="0.3">
      <c r="A41" s="44"/>
      <c r="B41" s="36"/>
      <c r="C41" s="36"/>
      <c r="D41" s="36"/>
      <c r="E41" s="36"/>
      <c r="F41" s="36"/>
      <c r="G41" s="36"/>
      <c r="H41" s="44"/>
      <c r="I41" s="36"/>
      <c r="J41" s="36"/>
      <c r="K41" s="57"/>
      <c r="L41" s="56"/>
      <c r="M41" s="36"/>
      <c r="N41" s="36"/>
      <c r="O41" s="36"/>
      <c r="P41" s="36"/>
    </row>
    <row r="42" spans="1:16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57"/>
      <c r="L42" s="56"/>
      <c r="M42" s="36"/>
      <c r="N42" s="36"/>
      <c r="O42" s="36"/>
      <c r="P42" s="36"/>
    </row>
    <row r="43" spans="1:16" x14ac:dyDescent="0.3">
      <c r="A43" s="36"/>
      <c r="B43" s="36"/>
      <c r="C43" s="36"/>
      <c r="D43" s="36"/>
      <c r="E43" s="36"/>
      <c r="F43" s="36"/>
      <c r="G43" s="36"/>
      <c r="H43" s="36"/>
      <c r="I43" s="44"/>
      <c r="J43" s="44"/>
      <c r="K43" s="36"/>
      <c r="L43" s="36"/>
      <c r="M43" s="36"/>
      <c r="N43" s="36"/>
      <c r="O43" s="36"/>
      <c r="P43" s="36"/>
    </row>
    <row r="45" spans="1:16" x14ac:dyDescent="0.3">
      <c r="A45" s="53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</row>
    <row r="46" spans="1:16" x14ac:dyDescent="0.3">
      <c r="A46" s="53"/>
      <c r="B46" s="44"/>
      <c r="C46" s="44"/>
      <c r="D46" s="44"/>
      <c r="E46" s="44"/>
      <c r="F46" s="44"/>
      <c r="G46" s="44"/>
      <c r="H46" s="44"/>
      <c r="I46" s="44"/>
      <c r="J46" s="44"/>
      <c r="K46" s="49"/>
      <c r="L46" s="44"/>
      <c r="M46" s="44"/>
      <c r="N46" s="44"/>
      <c r="O46" s="44"/>
      <c r="P46" s="36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43708-89B7-45D1-8E08-8E7FFD784326}">
  <dimension ref="A1:Z46"/>
  <sheetViews>
    <sheetView topLeftCell="A16" workbookViewId="0">
      <selection activeCell="H13" sqref="H13"/>
    </sheetView>
  </sheetViews>
  <sheetFormatPr baseColWidth="10" defaultRowHeight="14.4" x14ac:dyDescent="0.3"/>
  <cols>
    <col min="16" max="16" width="0" hidden="1" customWidth="1"/>
  </cols>
  <sheetData>
    <row r="1" spans="1:19" ht="15.6" x14ac:dyDescent="0.3">
      <c r="A1" s="64" t="s">
        <v>23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46"/>
      <c r="Q1" s="46"/>
      <c r="R1" s="46"/>
      <c r="S1" s="46"/>
    </row>
    <row r="2" spans="1:19" ht="15.6" x14ac:dyDescent="0.3">
      <c r="A2" s="64" t="s">
        <v>24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46"/>
      <c r="Q2" s="46"/>
      <c r="R2" s="46"/>
      <c r="S2" s="46"/>
    </row>
    <row r="3" spans="1:19" ht="15.6" x14ac:dyDescent="0.3">
      <c r="A3" s="68" t="s">
        <v>28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46"/>
      <c r="Q3" s="46"/>
      <c r="R3" s="46"/>
      <c r="S3" s="46"/>
    </row>
    <row r="4" spans="1:19" ht="82.8" x14ac:dyDescent="0.3">
      <c r="A4" s="66" t="s">
        <v>1</v>
      </c>
      <c r="B4" s="69" t="s">
        <v>2</v>
      </c>
      <c r="C4" s="69"/>
      <c r="D4" s="2" t="s">
        <v>3</v>
      </c>
      <c r="E4" s="2" t="s">
        <v>4</v>
      </c>
      <c r="F4" s="2" t="s">
        <v>5</v>
      </c>
      <c r="G4" s="2" t="s">
        <v>6</v>
      </c>
      <c r="H4" s="69" t="s">
        <v>7</v>
      </c>
      <c r="I4" s="69" t="s">
        <v>8</v>
      </c>
      <c r="J4" s="37"/>
      <c r="K4" s="71" t="s">
        <v>1</v>
      </c>
      <c r="L4" s="69" t="s">
        <v>9</v>
      </c>
      <c r="M4" s="69" t="s">
        <v>10</v>
      </c>
      <c r="N4" s="69" t="s">
        <v>11</v>
      </c>
      <c r="O4" s="69" t="s">
        <v>12</v>
      </c>
      <c r="P4" s="36"/>
      <c r="Q4" s="36"/>
      <c r="R4" s="36"/>
      <c r="S4" s="36"/>
    </row>
    <row r="5" spans="1:19" x14ac:dyDescent="0.3">
      <c r="A5" s="67"/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69"/>
      <c r="I5" s="69"/>
      <c r="J5" s="37"/>
      <c r="K5" s="71"/>
      <c r="L5" s="69"/>
      <c r="M5" s="69"/>
      <c r="N5" s="69"/>
      <c r="O5" s="69"/>
      <c r="P5" s="36"/>
      <c r="Q5" s="36"/>
      <c r="R5" s="36"/>
      <c r="S5" s="36"/>
    </row>
    <row r="6" spans="1:19" ht="15" thickBot="1" x14ac:dyDescent="0.35">
      <c r="A6" s="38">
        <v>1</v>
      </c>
      <c r="B6" s="39">
        <v>6579</v>
      </c>
      <c r="C6" s="39">
        <v>0</v>
      </c>
      <c r="D6" s="39">
        <v>904</v>
      </c>
      <c r="E6" s="39">
        <v>94</v>
      </c>
      <c r="F6" s="39">
        <v>89</v>
      </c>
      <c r="G6" s="39">
        <v>135</v>
      </c>
      <c r="H6" s="39">
        <v>7801</v>
      </c>
      <c r="I6" s="39">
        <v>0</v>
      </c>
      <c r="J6" s="40"/>
      <c r="K6" s="38">
        <v>1</v>
      </c>
      <c r="L6" s="58">
        <v>4</v>
      </c>
      <c r="M6" s="58">
        <v>1</v>
      </c>
      <c r="N6" s="58">
        <v>1</v>
      </c>
      <c r="O6" s="39">
        <v>6</v>
      </c>
      <c r="P6" s="50">
        <v>6135</v>
      </c>
      <c r="Q6" s="36"/>
      <c r="R6" s="36"/>
      <c r="S6" s="36"/>
    </row>
    <row r="7" spans="1:19" ht="15.6" thickTop="1" thickBot="1" x14ac:dyDescent="0.35">
      <c r="A7" s="38">
        <v>2</v>
      </c>
      <c r="B7" s="39">
        <v>3942</v>
      </c>
      <c r="C7" s="39">
        <v>2</v>
      </c>
      <c r="D7" s="39">
        <v>927</v>
      </c>
      <c r="E7" s="39">
        <v>87</v>
      </c>
      <c r="F7" s="39">
        <v>164</v>
      </c>
      <c r="G7" s="39">
        <v>221</v>
      </c>
      <c r="H7" s="39">
        <v>5343</v>
      </c>
      <c r="I7" s="39">
        <v>0</v>
      </c>
      <c r="J7" s="40"/>
      <c r="K7" s="38">
        <v>2</v>
      </c>
      <c r="L7" s="58">
        <v>5</v>
      </c>
      <c r="M7" s="58">
        <v>1</v>
      </c>
      <c r="N7" s="58">
        <v>2</v>
      </c>
      <c r="O7" s="39">
        <v>8</v>
      </c>
      <c r="P7" s="50">
        <v>6135</v>
      </c>
      <c r="Q7" s="36"/>
      <c r="R7" s="36"/>
      <c r="S7" s="36"/>
    </row>
    <row r="8" spans="1:19" ht="15.6" thickTop="1" thickBot="1" x14ac:dyDescent="0.35">
      <c r="A8" s="38">
        <v>3</v>
      </c>
      <c r="B8" s="39">
        <v>8876</v>
      </c>
      <c r="C8" s="39">
        <v>4</v>
      </c>
      <c r="D8" s="39">
        <v>717</v>
      </c>
      <c r="E8" s="39">
        <v>54</v>
      </c>
      <c r="F8" s="39">
        <v>56</v>
      </c>
      <c r="G8" s="39">
        <v>94</v>
      </c>
      <c r="H8" s="39">
        <v>9801</v>
      </c>
      <c r="I8" s="39">
        <v>0</v>
      </c>
      <c r="J8" s="40"/>
      <c r="K8" s="38">
        <v>3</v>
      </c>
      <c r="L8" s="58">
        <v>1</v>
      </c>
      <c r="M8" s="58">
        <v>0</v>
      </c>
      <c r="N8" s="58">
        <v>0</v>
      </c>
      <c r="O8" s="39">
        <v>1</v>
      </c>
      <c r="P8" s="50">
        <v>6135</v>
      </c>
      <c r="Q8" s="36"/>
      <c r="R8" s="36"/>
      <c r="S8" s="44"/>
    </row>
    <row r="9" spans="1:19" ht="15.6" thickTop="1" thickBot="1" x14ac:dyDescent="0.35">
      <c r="A9" s="38">
        <v>4</v>
      </c>
      <c r="B9" s="39">
        <v>2660</v>
      </c>
      <c r="C9" s="39">
        <v>2</v>
      </c>
      <c r="D9" s="39">
        <v>1067</v>
      </c>
      <c r="E9" s="39">
        <v>170</v>
      </c>
      <c r="F9" s="39">
        <v>212</v>
      </c>
      <c r="G9" s="39">
        <v>264</v>
      </c>
      <c r="H9" s="39">
        <v>4375</v>
      </c>
      <c r="I9" s="39">
        <v>0</v>
      </c>
      <c r="J9" s="40"/>
      <c r="K9" s="38">
        <v>4</v>
      </c>
      <c r="L9" s="58">
        <v>0</v>
      </c>
      <c r="M9" s="58">
        <v>8</v>
      </c>
      <c r="N9" s="58">
        <v>4</v>
      </c>
      <c r="O9" s="39">
        <v>12</v>
      </c>
      <c r="P9" s="50">
        <v>6135</v>
      </c>
      <c r="Q9" s="36"/>
      <c r="R9" s="36"/>
      <c r="S9" s="36"/>
    </row>
    <row r="10" spans="1:19" ht="15.6" thickTop="1" thickBot="1" x14ac:dyDescent="0.35">
      <c r="A10" s="38">
        <v>5</v>
      </c>
      <c r="B10" s="39">
        <v>2164</v>
      </c>
      <c r="C10" s="39">
        <v>4</v>
      </c>
      <c r="D10" s="39">
        <v>1240</v>
      </c>
      <c r="E10" s="39">
        <v>191</v>
      </c>
      <c r="F10" s="39">
        <v>216</v>
      </c>
      <c r="G10" s="39">
        <v>321</v>
      </c>
      <c r="H10" s="39">
        <v>4136</v>
      </c>
      <c r="I10" s="39">
        <v>0</v>
      </c>
      <c r="J10" s="40"/>
      <c r="K10" s="38">
        <v>5</v>
      </c>
      <c r="L10" s="58">
        <v>0</v>
      </c>
      <c r="M10" s="58">
        <v>18</v>
      </c>
      <c r="N10" s="58">
        <v>1</v>
      </c>
      <c r="O10" s="39">
        <v>19</v>
      </c>
      <c r="P10" s="50">
        <v>6135</v>
      </c>
      <c r="Q10" s="36"/>
      <c r="R10" s="36"/>
      <c r="S10" s="36"/>
    </row>
    <row r="11" spans="1:19" ht="15.6" thickTop="1" thickBot="1" x14ac:dyDescent="0.35">
      <c r="A11" s="38">
        <v>6</v>
      </c>
      <c r="B11" s="39">
        <v>2051</v>
      </c>
      <c r="C11" s="39">
        <v>2</v>
      </c>
      <c r="D11" s="39">
        <v>1243</v>
      </c>
      <c r="E11" s="39">
        <v>202</v>
      </c>
      <c r="F11" s="39">
        <v>206</v>
      </c>
      <c r="G11" s="39">
        <v>368</v>
      </c>
      <c r="H11" s="39">
        <v>4072</v>
      </c>
      <c r="I11" s="39">
        <v>0</v>
      </c>
      <c r="J11" s="40"/>
      <c r="K11" s="38">
        <v>6</v>
      </c>
      <c r="L11" s="58">
        <v>1</v>
      </c>
      <c r="M11" s="58">
        <v>6</v>
      </c>
      <c r="N11" s="58">
        <v>1</v>
      </c>
      <c r="O11" s="39">
        <v>8</v>
      </c>
      <c r="P11" s="50">
        <v>6135</v>
      </c>
      <c r="Q11" s="36"/>
      <c r="R11" s="36"/>
      <c r="S11" s="36"/>
    </row>
    <row r="12" spans="1:19" ht="15.6" thickTop="1" thickBot="1" x14ac:dyDescent="0.35">
      <c r="A12" s="38">
        <v>7</v>
      </c>
      <c r="B12" s="39">
        <v>2344</v>
      </c>
      <c r="C12" s="39">
        <v>2</v>
      </c>
      <c r="D12" s="39">
        <v>1285</v>
      </c>
      <c r="E12" s="39">
        <v>194</v>
      </c>
      <c r="F12" s="39">
        <v>243</v>
      </c>
      <c r="G12" s="39">
        <v>322</v>
      </c>
      <c r="H12" s="39">
        <v>4390</v>
      </c>
      <c r="I12" s="39">
        <v>0</v>
      </c>
      <c r="J12" s="41"/>
      <c r="K12" s="38">
        <v>7</v>
      </c>
      <c r="L12" s="58">
        <v>0</v>
      </c>
      <c r="M12" s="58">
        <v>9</v>
      </c>
      <c r="N12" s="58">
        <v>2</v>
      </c>
      <c r="O12" s="39">
        <v>11</v>
      </c>
      <c r="P12" s="50">
        <v>6135</v>
      </c>
      <c r="Q12" s="36"/>
      <c r="R12" s="36"/>
      <c r="S12" s="36"/>
    </row>
    <row r="13" spans="1:19" ht="15.6" thickTop="1" thickBot="1" x14ac:dyDescent="0.35">
      <c r="A13" s="38">
        <v>8</v>
      </c>
      <c r="B13" s="39">
        <v>3247</v>
      </c>
      <c r="C13" s="39">
        <v>2</v>
      </c>
      <c r="D13" s="39">
        <v>1193</v>
      </c>
      <c r="E13" s="39">
        <v>157</v>
      </c>
      <c r="F13" s="39">
        <v>221</v>
      </c>
      <c r="G13" s="39">
        <v>268</v>
      </c>
      <c r="H13" s="39">
        <v>5088</v>
      </c>
      <c r="I13" s="39">
        <v>0</v>
      </c>
      <c r="J13" s="41"/>
      <c r="K13" s="38">
        <v>8</v>
      </c>
      <c r="L13" s="58">
        <v>2</v>
      </c>
      <c r="M13" s="58">
        <v>9</v>
      </c>
      <c r="N13" s="58">
        <v>3</v>
      </c>
      <c r="O13" s="39">
        <v>14</v>
      </c>
      <c r="P13" s="50">
        <v>6135</v>
      </c>
      <c r="Q13" s="36"/>
      <c r="R13" s="36"/>
      <c r="S13" s="36"/>
    </row>
    <row r="14" spans="1:19" ht="15.6" thickTop="1" thickBot="1" x14ac:dyDescent="0.35">
      <c r="A14" s="38">
        <v>9</v>
      </c>
      <c r="B14" s="39">
        <v>3386</v>
      </c>
      <c r="C14" s="39">
        <v>2</v>
      </c>
      <c r="D14" s="39">
        <v>1001</v>
      </c>
      <c r="E14" s="39">
        <v>122</v>
      </c>
      <c r="F14" s="39">
        <v>207</v>
      </c>
      <c r="G14" s="39">
        <v>270</v>
      </c>
      <c r="H14" s="39">
        <v>4988</v>
      </c>
      <c r="I14" s="39">
        <v>0</v>
      </c>
      <c r="J14" s="41"/>
      <c r="K14" s="38">
        <v>9</v>
      </c>
      <c r="L14" s="58">
        <v>0</v>
      </c>
      <c r="M14" s="58">
        <v>2</v>
      </c>
      <c r="N14" s="58">
        <v>0</v>
      </c>
      <c r="O14" s="39">
        <v>2</v>
      </c>
      <c r="P14" s="51">
        <v>6135</v>
      </c>
      <c r="Q14" s="47"/>
      <c r="R14" s="47"/>
      <c r="S14" s="47"/>
    </row>
    <row r="15" spans="1:19" ht="15.6" thickTop="1" thickBot="1" x14ac:dyDescent="0.35">
      <c r="A15" s="38">
        <v>10</v>
      </c>
      <c r="B15" s="39">
        <v>4492</v>
      </c>
      <c r="C15" s="39">
        <v>2</v>
      </c>
      <c r="D15" s="39">
        <v>851</v>
      </c>
      <c r="E15" s="39">
        <v>107</v>
      </c>
      <c r="F15" s="39">
        <v>130</v>
      </c>
      <c r="G15" s="39">
        <v>199</v>
      </c>
      <c r="H15" s="39">
        <v>5781</v>
      </c>
      <c r="I15" s="39">
        <v>0</v>
      </c>
      <c r="J15" s="41"/>
      <c r="K15" s="38">
        <v>10</v>
      </c>
      <c r="L15" s="58">
        <v>0</v>
      </c>
      <c r="M15" s="58">
        <v>2</v>
      </c>
      <c r="N15" s="58">
        <v>0</v>
      </c>
      <c r="O15" s="39">
        <v>2</v>
      </c>
      <c r="P15" s="50">
        <v>6135</v>
      </c>
      <c r="Q15" s="36"/>
      <c r="R15" s="36"/>
      <c r="S15" s="36"/>
    </row>
    <row r="16" spans="1:19" ht="15.6" thickTop="1" thickBot="1" x14ac:dyDescent="0.35">
      <c r="A16" s="38">
        <v>11</v>
      </c>
      <c r="B16" s="39">
        <v>2116</v>
      </c>
      <c r="C16" s="39">
        <v>2</v>
      </c>
      <c r="D16" s="39">
        <v>874</v>
      </c>
      <c r="E16" s="39">
        <v>132</v>
      </c>
      <c r="F16" s="39">
        <v>127</v>
      </c>
      <c r="G16" s="39">
        <v>258</v>
      </c>
      <c r="H16" s="39">
        <v>3509</v>
      </c>
      <c r="I16" s="39">
        <v>0</v>
      </c>
      <c r="J16" s="41"/>
      <c r="K16" s="38">
        <v>11</v>
      </c>
      <c r="L16" s="58">
        <v>1</v>
      </c>
      <c r="M16" s="58">
        <v>6</v>
      </c>
      <c r="N16" s="58">
        <v>1</v>
      </c>
      <c r="O16" s="39">
        <v>8</v>
      </c>
      <c r="P16" s="50">
        <v>6135</v>
      </c>
      <c r="Q16" s="36"/>
      <c r="R16" s="36"/>
      <c r="S16" s="36"/>
    </row>
    <row r="17" spans="1:26" ht="15.6" thickTop="1" thickBot="1" x14ac:dyDescent="0.35">
      <c r="A17" s="38">
        <v>12</v>
      </c>
      <c r="B17" s="39">
        <v>2321</v>
      </c>
      <c r="C17" s="39">
        <v>0</v>
      </c>
      <c r="D17" s="39">
        <v>1242</v>
      </c>
      <c r="E17" s="39">
        <v>132</v>
      </c>
      <c r="F17" s="39">
        <v>217</v>
      </c>
      <c r="G17" s="39">
        <v>334</v>
      </c>
      <c r="H17" s="39">
        <v>4246</v>
      </c>
      <c r="I17" s="39">
        <v>0</v>
      </c>
      <c r="J17" s="41"/>
      <c r="K17" s="38">
        <v>12</v>
      </c>
      <c r="L17" s="58">
        <v>1</v>
      </c>
      <c r="M17" s="58">
        <v>4</v>
      </c>
      <c r="N17" s="58">
        <v>3</v>
      </c>
      <c r="O17" s="39">
        <v>8</v>
      </c>
      <c r="P17" s="50">
        <v>6135</v>
      </c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6" thickTop="1" thickBot="1" x14ac:dyDescent="0.35">
      <c r="A18" s="38">
        <v>13</v>
      </c>
      <c r="B18" s="39">
        <v>2331</v>
      </c>
      <c r="C18" s="39">
        <v>4</v>
      </c>
      <c r="D18" s="39">
        <v>1287</v>
      </c>
      <c r="E18" s="39">
        <v>296</v>
      </c>
      <c r="F18" s="39">
        <v>220</v>
      </c>
      <c r="G18" s="39">
        <v>352</v>
      </c>
      <c r="H18" s="39">
        <v>4490</v>
      </c>
      <c r="I18" s="39">
        <v>0</v>
      </c>
      <c r="J18" s="41"/>
      <c r="K18" s="38">
        <v>13</v>
      </c>
      <c r="L18" s="58">
        <v>2</v>
      </c>
      <c r="M18" s="58">
        <v>7</v>
      </c>
      <c r="N18" s="58">
        <v>2</v>
      </c>
      <c r="O18" s="39">
        <v>11</v>
      </c>
      <c r="P18" s="50">
        <v>6135</v>
      </c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6" thickTop="1" thickBot="1" x14ac:dyDescent="0.35">
      <c r="A19" s="38">
        <v>14</v>
      </c>
      <c r="B19" s="39">
        <v>2616</v>
      </c>
      <c r="C19" s="39">
        <v>4</v>
      </c>
      <c r="D19" s="39">
        <v>1267</v>
      </c>
      <c r="E19" s="39">
        <v>348</v>
      </c>
      <c r="F19" s="39">
        <v>231</v>
      </c>
      <c r="G19" s="39">
        <v>345</v>
      </c>
      <c r="H19" s="39">
        <v>4811</v>
      </c>
      <c r="I19" s="39">
        <v>0</v>
      </c>
      <c r="J19" s="41"/>
      <c r="K19" s="38">
        <v>14</v>
      </c>
      <c r="L19" s="58">
        <v>1</v>
      </c>
      <c r="M19" s="58">
        <v>8</v>
      </c>
      <c r="N19" s="58">
        <v>5</v>
      </c>
      <c r="O19" s="39">
        <v>14</v>
      </c>
      <c r="P19" s="50">
        <v>6135</v>
      </c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6" thickTop="1" thickBot="1" x14ac:dyDescent="0.35">
      <c r="A20" s="38">
        <v>15</v>
      </c>
      <c r="B20" s="39">
        <v>5492</v>
      </c>
      <c r="C20" s="39">
        <v>2</v>
      </c>
      <c r="D20" s="39">
        <v>1217</v>
      </c>
      <c r="E20" s="39">
        <v>290</v>
      </c>
      <c r="F20" s="39">
        <v>221</v>
      </c>
      <c r="G20" s="39">
        <v>279</v>
      </c>
      <c r="H20" s="39">
        <v>7501</v>
      </c>
      <c r="I20" s="39">
        <v>0</v>
      </c>
      <c r="J20" s="41"/>
      <c r="K20" s="38">
        <v>15</v>
      </c>
      <c r="L20" s="58">
        <v>0</v>
      </c>
      <c r="M20" s="58">
        <v>6</v>
      </c>
      <c r="N20" s="58">
        <v>3</v>
      </c>
      <c r="O20" s="39">
        <v>9</v>
      </c>
      <c r="P20" s="50">
        <v>6135</v>
      </c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6" thickTop="1" thickBot="1" x14ac:dyDescent="0.35">
      <c r="A21" s="38">
        <v>16</v>
      </c>
      <c r="B21" s="39">
        <v>6385</v>
      </c>
      <c r="C21" s="39">
        <v>2</v>
      </c>
      <c r="D21" s="39">
        <v>957</v>
      </c>
      <c r="E21" s="39">
        <v>66</v>
      </c>
      <c r="F21" s="39">
        <v>114</v>
      </c>
      <c r="G21" s="39">
        <v>130</v>
      </c>
      <c r="H21" s="39">
        <v>7654</v>
      </c>
      <c r="I21" s="39">
        <v>0</v>
      </c>
      <c r="J21" s="41"/>
      <c r="K21" s="38">
        <v>16</v>
      </c>
      <c r="L21" s="58">
        <v>0</v>
      </c>
      <c r="M21" s="58">
        <v>10</v>
      </c>
      <c r="N21" s="58">
        <v>1</v>
      </c>
      <c r="O21" s="39">
        <v>11</v>
      </c>
      <c r="P21" s="50">
        <v>6135</v>
      </c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6" thickTop="1" thickBot="1" x14ac:dyDescent="0.35">
      <c r="A22" s="38">
        <v>17</v>
      </c>
      <c r="B22" s="39">
        <v>5600</v>
      </c>
      <c r="C22" s="39">
        <v>0</v>
      </c>
      <c r="D22" s="39">
        <v>933</v>
      </c>
      <c r="E22" s="39">
        <v>93</v>
      </c>
      <c r="F22" s="39">
        <v>152</v>
      </c>
      <c r="G22" s="39">
        <v>249</v>
      </c>
      <c r="H22" s="39">
        <v>7027</v>
      </c>
      <c r="I22" s="39">
        <v>0</v>
      </c>
      <c r="J22" s="41"/>
      <c r="K22" s="38">
        <v>17</v>
      </c>
      <c r="L22" s="58">
        <v>0</v>
      </c>
      <c r="M22" s="58">
        <v>0</v>
      </c>
      <c r="N22" s="58">
        <v>0</v>
      </c>
      <c r="O22" s="39">
        <v>0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8">
        <v>18</v>
      </c>
      <c r="B23" s="39">
        <v>8933</v>
      </c>
      <c r="C23" s="39">
        <v>1</v>
      </c>
      <c r="D23" s="39">
        <v>686</v>
      </c>
      <c r="E23" s="39">
        <v>57</v>
      </c>
      <c r="F23" s="39">
        <v>44</v>
      </c>
      <c r="G23" s="39">
        <v>75</v>
      </c>
      <c r="H23" s="39">
        <v>9796</v>
      </c>
      <c r="I23" s="39">
        <v>0</v>
      </c>
      <c r="J23" s="41"/>
      <c r="K23" s="38">
        <v>18</v>
      </c>
      <c r="L23" s="58">
        <v>0</v>
      </c>
      <c r="M23" s="58">
        <v>0</v>
      </c>
      <c r="N23" s="58">
        <v>2</v>
      </c>
      <c r="O23" s="39">
        <v>2</v>
      </c>
      <c r="P23" s="50">
        <v>6135</v>
      </c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6" thickTop="1" thickBot="1" x14ac:dyDescent="0.35">
      <c r="A24" s="38">
        <v>19</v>
      </c>
      <c r="B24" s="39">
        <v>2459</v>
      </c>
      <c r="C24" s="39">
        <v>1</v>
      </c>
      <c r="D24" s="39">
        <v>1123</v>
      </c>
      <c r="E24" s="39">
        <v>328</v>
      </c>
      <c r="F24" s="39">
        <v>210</v>
      </c>
      <c r="G24" s="39">
        <v>285</v>
      </c>
      <c r="H24" s="39">
        <v>4406</v>
      </c>
      <c r="I24" s="39">
        <v>0</v>
      </c>
      <c r="J24" s="41"/>
      <c r="K24" s="38">
        <v>19</v>
      </c>
      <c r="L24" s="58">
        <v>1</v>
      </c>
      <c r="M24" s="58">
        <v>12</v>
      </c>
      <c r="N24" s="58">
        <v>1</v>
      </c>
      <c r="O24" s="39">
        <v>14</v>
      </c>
      <c r="P24" s="50">
        <v>6135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6" thickTop="1" thickBot="1" x14ac:dyDescent="0.35">
      <c r="A25" s="38">
        <v>20</v>
      </c>
      <c r="B25" s="39">
        <v>2220</v>
      </c>
      <c r="C25" s="39">
        <v>2</v>
      </c>
      <c r="D25" s="39">
        <v>1275</v>
      </c>
      <c r="E25" s="39">
        <v>460</v>
      </c>
      <c r="F25" s="39">
        <v>241</v>
      </c>
      <c r="G25" s="39">
        <v>324</v>
      </c>
      <c r="H25" s="39">
        <v>4522</v>
      </c>
      <c r="I25" s="39">
        <v>0</v>
      </c>
      <c r="J25" s="41"/>
      <c r="K25" s="38">
        <v>20</v>
      </c>
      <c r="L25" s="58">
        <v>1</v>
      </c>
      <c r="M25" s="58">
        <v>12</v>
      </c>
      <c r="N25" s="58">
        <v>3</v>
      </c>
      <c r="O25" s="39">
        <v>16</v>
      </c>
      <c r="P25" s="50">
        <v>6135</v>
      </c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6" thickTop="1" thickBot="1" x14ac:dyDescent="0.35">
      <c r="A26" s="38">
        <v>21</v>
      </c>
      <c r="B26" s="39">
        <v>2300</v>
      </c>
      <c r="C26" s="39">
        <v>2</v>
      </c>
      <c r="D26" s="39">
        <v>1264</v>
      </c>
      <c r="E26" s="39">
        <v>456</v>
      </c>
      <c r="F26" s="39">
        <v>220</v>
      </c>
      <c r="G26" s="39">
        <v>342</v>
      </c>
      <c r="H26" s="39">
        <v>4584</v>
      </c>
      <c r="I26" s="39">
        <v>0</v>
      </c>
      <c r="J26" s="41"/>
      <c r="K26" s="38">
        <v>21</v>
      </c>
      <c r="L26" s="58">
        <v>0</v>
      </c>
      <c r="M26" s="58">
        <v>5</v>
      </c>
      <c r="N26" s="58">
        <v>2</v>
      </c>
      <c r="O26" s="39">
        <v>7</v>
      </c>
      <c r="P26" s="50">
        <v>6135</v>
      </c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6" thickTop="1" thickBot="1" x14ac:dyDescent="0.35">
      <c r="A27" s="38">
        <v>22</v>
      </c>
      <c r="B27" s="39">
        <v>2962</v>
      </c>
      <c r="C27" s="39">
        <v>2</v>
      </c>
      <c r="D27" s="39">
        <v>1212</v>
      </c>
      <c r="E27" s="39">
        <v>521</v>
      </c>
      <c r="F27" s="39">
        <v>203</v>
      </c>
      <c r="G27" s="39">
        <v>283</v>
      </c>
      <c r="H27" s="39">
        <v>5183</v>
      </c>
      <c r="I27" s="39">
        <v>0</v>
      </c>
      <c r="J27" s="41"/>
      <c r="K27" s="38">
        <v>22</v>
      </c>
      <c r="L27" s="58">
        <v>0</v>
      </c>
      <c r="M27" s="58">
        <v>12</v>
      </c>
      <c r="N27" s="58">
        <v>4</v>
      </c>
      <c r="O27" s="39">
        <v>16</v>
      </c>
      <c r="P27" s="50">
        <v>6135</v>
      </c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6" thickTop="1" thickBot="1" x14ac:dyDescent="0.35">
      <c r="A28" s="38">
        <v>23</v>
      </c>
      <c r="B28" s="39">
        <v>3016</v>
      </c>
      <c r="C28" s="39">
        <v>2</v>
      </c>
      <c r="D28" s="39">
        <v>1099</v>
      </c>
      <c r="E28" s="39">
        <v>89</v>
      </c>
      <c r="F28" s="39">
        <v>187</v>
      </c>
      <c r="G28" s="39">
        <v>227</v>
      </c>
      <c r="H28" s="39">
        <v>4620</v>
      </c>
      <c r="I28" s="39">
        <v>0</v>
      </c>
      <c r="J28" s="41"/>
      <c r="K28" s="38">
        <v>23</v>
      </c>
      <c r="L28" s="58">
        <v>0</v>
      </c>
      <c r="M28" s="58">
        <v>8</v>
      </c>
      <c r="N28" s="58">
        <v>0</v>
      </c>
      <c r="O28" s="39">
        <v>8</v>
      </c>
      <c r="P28" s="50">
        <v>6135</v>
      </c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6" thickTop="1" thickBot="1" x14ac:dyDescent="0.35">
      <c r="A29" s="38">
        <v>24</v>
      </c>
      <c r="B29" s="39">
        <v>3923</v>
      </c>
      <c r="C29" s="39">
        <v>2</v>
      </c>
      <c r="D29" s="39">
        <v>864</v>
      </c>
      <c r="E29" s="39">
        <v>125</v>
      </c>
      <c r="F29" s="39">
        <v>122</v>
      </c>
      <c r="G29" s="39">
        <v>192</v>
      </c>
      <c r="H29" s="39">
        <v>5228</v>
      </c>
      <c r="I29" s="39">
        <v>0</v>
      </c>
      <c r="J29" s="41"/>
      <c r="K29" s="38">
        <v>24</v>
      </c>
      <c r="L29" s="58">
        <v>0</v>
      </c>
      <c r="M29" s="58">
        <v>2</v>
      </c>
      <c r="N29" s="58">
        <v>5</v>
      </c>
      <c r="O29" s="39">
        <v>7</v>
      </c>
      <c r="P29" s="50">
        <v>6135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6" thickTop="1" thickBot="1" x14ac:dyDescent="0.35">
      <c r="A30" s="38">
        <v>25</v>
      </c>
      <c r="B30" s="39">
        <v>2150</v>
      </c>
      <c r="C30" s="39">
        <v>2</v>
      </c>
      <c r="D30" s="39">
        <v>1061</v>
      </c>
      <c r="E30" s="39">
        <v>352</v>
      </c>
      <c r="F30" s="39">
        <v>205</v>
      </c>
      <c r="G30" s="39">
        <v>275</v>
      </c>
      <c r="H30" s="39">
        <v>4045</v>
      </c>
      <c r="I30" s="39">
        <v>0</v>
      </c>
      <c r="J30" s="41"/>
      <c r="K30" s="38">
        <v>25</v>
      </c>
      <c r="L30" s="58">
        <v>0</v>
      </c>
      <c r="M30" s="58">
        <v>10</v>
      </c>
      <c r="N30" s="58">
        <v>0</v>
      </c>
      <c r="O30" s="39">
        <v>10</v>
      </c>
      <c r="P30" s="50">
        <v>6135</v>
      </c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6" thickTop="1" thickBot="1" x14ac:dyDescent="0.35">
      <c r="A31" s="38">
        <v>26</v>
      </c>
      <c r="B31" s="39">
        <v>2146</v>
      </c>
      <c r="C31" s="39">
        <v>4</v>
      </c>
      <c r="D31" s="39">
        <v>1321</v>
      </c>
      <c r="E31" s="39">
        <v>487</v>
      </c>
      <c r="F31" s="39">
        <v>229</v>
      </c>
      <c r="G31" s="39">
        <v>326</v>
      </c>
      <c r="H31" s="39">
        <v>4513</v>
      </c>
      <c r="I31" s="39">
        <v>0</v>
      </c>
      <c r="J31" s="41"/>
      <c r="K31" s="38">
        <v>26</v>
      </c>
      <c r="L31" s="58">
        <v>0</v>
      </c>
      <c r="M31" s="58">
        <v>15</v>
      </c>
      <c r="N31" s="58">
        <v>6</v>
      </c>
      <c r="O31" s="39">
        <v>21</v>
      </c>
      <c r="P31" s="50">
        <v>6135</v>
      </c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6" thickTop="1" thickBot="1" x14ac:dyDescent="0.35">
      <c r="A32" s="38">
        <v>27</v>
      </c>
      <c r="B32" s="39">
        <v>2154</v>
      </c>
      <c r="C32" s="39">
        <v>4</v>
      </c>
      <c r="D32" s="39">
        <v>1237</v>
      </c>
      <c r="E32" s="39">
        <v>433</v>
      </c>
      <c r="F32" s="39">
        <v>224</v>
      </c>
      <c r="G32" s="39">
        <v>345</v>
      </c>
      <c r="H32" s="39">
        <v>4397</v>
      </c>
      <c r="I32" s="39">
        <v>0</v>
      </c>
      <c r="J32" s="41"/>
      <c r="K32" s="38">
        <v>27</v>
      </c>
      <c r="L32" s="58">
        <v>0</v>
      </c>
      <c r="M32" s="58">
        <v>8</v>
      </c>
      <c r="N32" s="58">
        <v>3</v>
      </c>
      <c r="O32" s="39">
        <v>11</v>
      </c>
      <c r="P32" s="50">
        <v>6135</v>
      </c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16" ht="15.6" thickTop="1" thickBot="1" x14ac:dyDescent="0.35">
      <c r="A33" s="38">
        <v>28</v>
      </c>
      <c r="B33" s="39">
        <v>2352</v>
      </c>
      <c r="C33" s="39">
        <v>2</v>
      </c>
      <c r="D33" s="39">
        <v>1277</v>
      </c>
      <c r="E33" s="39">
        <v>336</v>
      </c>
      <c r="F33" s="39">
        <v>240</v>
      </c>
      <c r="G33" s="39">
        <v>336</v>
      </c>
      <c r="H33" s="39">
        <v>4543</v>
      </c>
      <c r="I33" s="39">
        <v>0</v>
      </c>
      <c r="J33" s="41"/>
      <c r="K33" s="38">
        <v>28</v>
      </c>
      <c r="L33" s="58">
        <v>0</v>
      </c>
      <c r="M33" s="58">
        <v>13</v>
      </c>
      <c r="N33" s="58">
        <v>0</v>
      </c>
      <c r="O33" s="39">
        <v>13</v>
      </c>
      <c r="P33" s="50">
        <v>6135</v>
      </c>
    </row>
    <row r="34" spans="1:16" ht="15.6" thickTop="1" thickBot="1" x14ac:dyDescent="0.35">
      <c r="A34" s="38">
        <v>29</v>
      </c>
      <c r="B34" s="39">
        <v>3113</v>
      </c>
      <c r="C34" s="39">
        <v>2</v>
      </c>
      <c r="D34" s="39">
        <v>1256</v>
      </c>
      <c r="E34" s="39">
        <v>243</v>
      </c>
      <c r="F34" s="39">
        <v>225</v>
      </c>
      <c r="G34" s="39">
        <v>238</v>
      </c>
      <c r="H34" s="39">
        <v>5077</v>
      </c>
      <c r="I34" s="39">
        <v>0</v>
      </c>
      <c r="J34" s="41"/>
      <c r="K34" s="38">
        <v>29</v>
      </c>
      <c r="L34" s="39">
        <v>0</v>
      </c>
      <c r="M34" s="39">
        <v>18</v>
      </c>
      <c r="N34" s="39">
        <v>8</v>
      </c>
      <c r="O34" s="39">
        <v>26</v>
      </c>
      <c r="P34" s="50">
        <v>6135</v>
      </c>
    </row>
    <row r="35" spans="1:16" ht="15.6" thickTop="1" thickBot="1" x14ac:dyDescent="0.35">
      <c r="A35" s="38">
        <v>30</v>
      </c>
      <c r="B35" s="39">
        <v>3316</v>
      </c>
      <c r="C35" s="39">
        <v>2</v>
      </c>
      <c r="D35" s="39">
        <v>1056</v>
      </c>
      <c r="E35" s="39">
        <v>112</v>
      </c>
      <c r="F35" s="39">
        <v>201</v>
      </c>
      <c r="G35" s="39">
        <v>238</v>
      </c>
      <c r="H35" s="39">
        <v>4925</v>
      </c>
      <c r="I35" s="39">
        <v>0</v>
      </c>
      <c r="J35" s="41"/>
      <c r="K35" s="38">
        <v>30</v>
      </c>
      <c r="L35" s="39">
        <v>2</v>
      </c>
      <c r="M35" s="39">
        <v>10</v>
      </c>
      <c r="N35" s="39">
        <v>2</v>
      </c>
      <c r="O35" s="39">
        <v>14</v>
      </c>
      <c r="P35" s="50">
        <v>6135</v>
      </c>
    </row>
    <row r="36" spans="1:16" ht="15.6" thickTop="1" thickBot="1" x14ac:dyDescent="0.35">
      <c r="A36" s="38">
        <v>31</v>
      </c>
      <c r="B36" s="39">
        <v>4275</v>
      </c>
      <c r="C36" s="39">
        <v>8</v>
      </c>
      <c r="D36" s="39">
        <v>896</v>
      </c>
      <c r="E36" s="39">
        <v>103</v>
      </c>
      <c r="F36" s="39">
        <v>130</v>
      </c>
      <c r="G36" s="39">
        <v>203</v>
      </c>
      <c r="H36" s="39">
        <v>5615</v>
      </c>
      <c r="I36" s="39">
        <v>0</v>
      </c>
      <c r="J36" s="41"/>
      <c r="K36" s="38">
        <v>31</v>
      </c>
      <c r="L36" s="39">
        <v>1</v>
      </c>
      <c r="M36" s="39">
        <v>3</v>
      </c>
      <c r="N36" s="39">
        <v>0</v>
      </c>
      <c r="O36" s="39">
        <v>4</v>
      </c>
      <c r="P36" s="50">
        <v>6135</v>
      </c>
    </row>
    <row r="37" spans="1:16" ht="15" thickTop="1" x14ac:dyDescent="0.3">
      <c r="A37" s="4" t="s">
        <v>19</v>
      </c>
      <c r="B37" s="3">
        <v>111921</v>
      </c>
      <c r="C37" s="3">
        <v>72</v>
      </c>
      <c r="D37" s="3">
        <v>33832</v>
      </c>
      <c r="E37" s="3">
        <v>6837</v>
      </c>
      <c r="F37" s="3">
        <v>5707</v>
      </c>
      <c r="G37" s="3">
        <v>8098</v>
      </c>
      <c r="H37" s="3">
        <v>166467</v>
      </c>
      <c r="I37" s="3">
        <v>0</v>
      </c>
      <c r="J37" s="3"/>
      <c r="K37" s="34" t="s">
        <v>29</v>
      </c>
      <c r="L37" s="3">
        <v>23</v>
      </c>
      <c r="M37" s="3">
        <v>225</v>
      </c>
      <c r="N37" s="3">
        <v>65</v>
      </c>
      <c r="O37" s="5">
        <f>SUM(O6:O36)</f>
        <v>313</v>
      </c>
      <c r="P37" s="36"/>
    </row>
    <row r="38" spans="1:16" x14ac:dyDescent="0.3">
      <c r="A38" s="4" t="s">
        <v>19</v>
      </c>
      <c r="B38" s="70">
        <v>111993</v>
      </c>
      <c r="C38" s="70"/>
      <c r="D38" s="3">
        <v>33832</v>
      </c>
      <c r="E38" s="3">
        <v>6837</v>
      </c>
      <c r="F38" s="3">
        <v>5707</v>
      </c>
      <c r="G38" s="3">
        <v>8098</v>
      </c>
      <c r="H38" s="5">
        <v>166467</v>
      </c>
      <c r="I38" s="3">
        <v>0</v>
      </c>
      <c r="J38" s="42"/>
      <c r="K38" s="35"/>
      <c r="L38" s="35" t="s">
        <v>20</v>
      </c>
      <c r="M38" s="35" t="s">
        <v>21</v>
      </c>
      <c r="N38" s="35" t="s">
        <v>20</v>
      </c>
      <c r="O38" s="35" t="s">
        <v>21</v>
      </c>
      <c r="P38" s="36"/>
    </row>
    <row r="39" spans="1:16" x14ac:dyDescent="0.3">
      <c r="A39" s="43" t="s">
        <v>22</v>
      </c>
      <c r="B39" s="45"/>
      <c r="C39" s="45"/>
      <c r="D39" s="45"/>
      <c r="E39" s="45"/>
      <c r="F39" s="45"/>
      <c r="G39" s="45"/>
      <c r="H39" s="45"/>
      <c r="I39" s="36"/>
      <c r="J39" s="36"/>
      <c r="K39" s="36"/>
      <c r="L39" s="48"/>
      <c r="M39" s="36"/>
      <c r="N39" s="36"/>
      <c r="O39" s="36"/>
      <c r="P39" s="36"/>
    </row>
    <row r="40" spans="1:16" x14ac:dyDescent="0.3">
      <c r="A40" s="54"/>
      <c r="B40" s="55"/>
      <c r="C40" s="55"/>
      <c r="D40" s="55"/>
      <c r="E40" s="55"/>
      <c r="F40" s="55"/>
      <c r="G40" s="55"/>
      <c r="H40" s="55"/>
      <c r="I40" s="55"/>
      <c r="J40" s="48"/>
      <c r="K40" s="57"/>
      <c r="L40" s="56"/>
      <c r="M40" s="36"/>
      <c r="N40" s="36"/>
      <c r="O40" s="36"/>
      <c r="P40" s="36"/>
    </row>
    <row r="41" spans="1:16" x14ac:dyDescent="0.3">
      <c r="A41" s="44"/>
      <c r="B41" s="36"/>
      <c r="C41" s="36"/>
      <c r="D41" s="36"/>
      <c r="E41" s="36"/>
      <c r="F41" s="36"/>
      <c r="G41" s="36"/>
      <c r="H41" s="44"/>
      <c r="I41" s="36"/>
      <c r="J41" s="36"/>
      <c r="K41" s="57"/>
      <c r="L41" s="56"/>
      <c r="M41" s="36"/>
      <c r="N41" s="36"/>
      <c r="O41" s="36"/>
      <c r="P41" s="36"/>
    </row>
    <row r="42" spans="1:16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57"/>
      <c r="L42" s="56"/>
      <c r="M42" s="36"/>
      <c r="N42" s="36"/>
      <c r="O42" s="36"/>
      <c r="P42" s="36"/>
    </row>
    <row r="43" spans="1:16" x14ac:dyDescent="0.3">
      <c r="A43" s="36"/>
      <c r="B43" s="36"/>
      <c r="C43" s="36"/>
      <c r="D43" s="36"/>
      <c r="E43" s="36"/>
      <c r="F43" s="36"/>
      <c r="G43" s="36"/>
      <c r="H43" s="36"/>
      <c r="I43" s="44"/>
      <c r="J43" s="44"/>
      <c r="K43" s="36"/>
      <c r="L43" s="36"/>
      <c r="M43" s="36"/>
      <c r="N43" s="36"/>
      <c r="O43" s="36"/>
      <c r="P43" s="36"/>
    </row>
    <row r="45" spans="1:16" x14ac:dyDescent="0.3">
      <c r="A45" s="53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</row>
    <row r="46" spans="1:16" x14ac:dyDescent="0.3">
      <c r="A46" s="53"/>
      <c r="B46" s="44"/>
      <c r="C46" s="44"/>
      <c r="D46" s="44"/>
      <c r="E46" s="44"/>
      <c r="F46" s="44"/>
      <c r="G46" s="44"/>
      <c r="H46" s="44"/>
      <c r="I46" s="44"/>
      <c r="J46" s="44"/>
      <c r="K46" s="49"/>
      <c r="L46" s="44"/>
      <c r="M46" s="44"/>
      <c r="N46" s="44"/>
      <c r="O46" s="44"/>
      <c r="P46" s="36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EF68-8EF7-4F1E-ABA9-1FA9823BEA9E}">
  <dimension ref="A1:Z46"/>
  <sheetViews>
    <sheetView topLeftCell="A21" workbookViewId="0">
      <selection activeCell="H16" sqref="H16"/>
    </sheetView>
  </sheetViews>
  <sheetFormatPr baseColWidth="10" defaultRowHeight="14.4" x14ac:dyDescent="0.3"/>
  <cols>
    <col min="16" max="16" width="0" hidden="1" customWidth="1"/>
  </cols>
  <sheetData>
    <row r="1" spans="1:19" ht="15.6" x14ac:dyDescent="0.3">
      <c r="A1" s="64" t="s">
        <v>23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46"/>
      <c r="Q1" s="46"/>
      <c r="R1" s="46"/>
      <c r="S1" s="46"/>
    </row>
    <row r="2" spans="1:19" ht="15.6" x14ac:dyDescent="0.3">
      <c r="A2" s="64" t="s">
        <v>24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46"/>
      <c r="Q2" s="46"/>
      <c r="R2" s="46"/>
      <c r="S2" s="46"/>
    </row>
    <row r="3" spans="1:19" ht="15.6" x14ac:dyDescent="0.3">
      <c r="A3" s="68" t="s">
        <v>30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46"/>
      <c r="Q3" s="46"/>
      <c r="R3" s="46"/>
      <c r="S3" s="46"/>
    </row>
    <row r="4" spans="1:19" ht="82.8" x14ac:dyDescent="0.3">
      <c r="A4" s="66" t="s">
        <v>1</v>
      </c>
      <c r="B4" s="69" t="s">
        <v>2</v>
      </c>
      <c r="C4" s="69"/>
      <c r="D4" s="2" t="s">
        <v>3</v>
      </c>
      <c r="E4" s="2" t="s">
        <v>4</v>
      </c>
      <c r="F4" s="2" t="s">
        <v>5</v>
      </c>
      <c r="G4" s="2" t="s">
        <v>6</v>
      </c>
      <c r="H4" s="69" t="s">
        <v>7</v>
      </c>
      <c r="I4" s="69" t="s">
        <v>8</v>
      </c>
      <c r="J4" s="37"/>
      <c r="K4" s="71" t="s">
        <v>1</v>
      </c>
      <c r="L4" s="69" t="s">
        <v>9</v>
      </c>
      <c r="M4" s="69" t="s">
        <v>10</v>
      </c>
      <c r="N4" s="69" t="s">
        <v>11</v>
      </c>
      <c r="O4" s="69" t="s">
        <v>12</v>
      </c>
      <c r="P4" s="36"/>
      <c r="Q4" s="36"/>
      <c r="R4" s="36"/>
      <c r="S4" s="36"/>
    </row>
    <row r="5" spans="1:19" x14ac:dyDescent="0.3">
      <c r="A5" s="67"/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69"/>
      <c r="I5" s="69"/>
      <c r="J5" s="37"/>
      <c r="K5" s="71"/>
      <c r="L5" s="69"/>
      <c r="M5" s="69"/>
      <c r="N5" s="69"/>
      <c r="O5" s="69"/>
      <c r="P5" s="36"/>
      <c r="Q5" s="36"/>
      <c r="R5" s="36"/>
      <c r="S5" s="36"/>
    </row>
    <row r="6" spans="1:19" ht="15" thickBot="1" x14ac:dyDescent="0.35">
      <c r="A6" s="38">
        <v>1</v>
      </c>
      <c r="B6" s="39">
        <v>2204</v>
      </c>
      <c r="C6" s="39">
        <v>2</v>
      </c>
      <c r="D6" s="39">
        <v>1043</v>
      </c>
      <c r="E6" s="39">
        <v>183</v>
      </c>
      <c r="F6" s="39">
        <v>196</v>
      </c>
      <c r="G6" s="39">
        <v>244</v>
      </c>
      <c r="H6" s="39">
        <v>3872</v>
      </c>
      <c r="I6" s="39">
        <v>0</v>
      </c>
      <c r="J6" s="40"/>
      <c r="K6" s="38">
        <v>1</v>
      </c>
      <c r="L6" s="58">
        <v>1</v>
      </c>
      <c r="M6" s="58">
        <v>5</v>
      </c>
      <c r="N6" s="58">
        <v>0</v>
      </c>
      <c r="O6" s="39">
        <v>6</v>
      </c>
      <c r="P6" s="50">
        <v>6135</v>
      </c>
      <c r="Q6" s="36"/>
      <c r="R6" s="36"/>
      <c r="S6" s="36"/>
    </row>
    <row r="7" spans="1:19" ht="15.6" thickTop="1" thickBot="1" x14ac:dyDescent="0.35">
      <c r="A7" s="38">
        <v>2</v>
      </c>
      <c r="B7" s="39">
        <v>2161</v>
      </c>
      <c r="C7" s="39">
        <v>2</v>
      </c>
      <c r="D7" s="39">
        <v>1225</v>
      </c>
      <c r="E7" s="39">
        <v>245</v>
      </c>
      <c r="F7" s="39">
        <v>188</v>
      </c>
      <c r="G7" s="39">
        <v>292</v>
      </c>
      <c r="H7" s="39">
        <v>4113</v>
      </c>
      <c r="I7" s="39">
        <v>0</v>
      </c>
      <c r="J7" s="40"/>
      <c r="K7" s="38">
        <v>2</v>
      </c>
      <c r="L7" s="58">
        <v>0</v>
      </c>
      <c r="M7" s="58">
        <v>9</v>
      </c>
      <c r="N7" s="58">
        <v>7</v>
      </c>
      <c r="O7" s="39">
        <v>16</v>
      </c>
      <c r="P7" s="50">
        <v>6135</v>
      </c>
      <c r="Q7" s="36"/>
      <c r="R7" s="36"/>
      <c r="S7" s="36"/>
    </row>
    <row r="8" spans="1:19" ht="15.6" thickTop="1" thickBot="1" x14ac:dyDescent="0.35">
      <c r="A8" s="38">
        <v>3</v>
      </c>
      <c r="B8" s="39">
        <v>2231</v>
      </c>
      <c r="C8" s="39">
        <v>2</v>
      </c>
      <c r="D8" s="39">
        <v>1191</v>
      </c>
      <c r="E8" s="39">
        <v>236</v>
      </c>
      <c r="F8" s="39">
        <v>212</v>
      </c>
      <c r="G8" s="39">
        <v>329</v>
      </c>
      <c r="H8" s="39">
        <v>4201</v>
      </c>
      <c r="I8" s="39">
        <v>0</v>
      </c>
      <c r="J8" s="40"/>
      <c r="K8" s="38">
        <v>3</v>
      </c>
      <c r="L8" s="58">
        <v>2</v>
      </c>
      <c r="M8" s="58">
        <v>6</v>
      </c>
      <c r="N8" s="58">
        <v>2</v>
      </c>
      <c r="O8" s="39">
        <v>10</v>
      </c>
      <c r="P8" s="50">
        <v>6135</v>
      </c>
      <c r="Q8" s="36"/>
      <c r="R8" s="36"/>
      <c r="S8" s="44"/>
    </row>
    <row r="9" spans="1:19" ht="15.6" thickTop="1" thickBot="1" x14ac:dyDescent="0.35">
      <c r="A9" s="38">
        <v>4</v>
      </c>
      <c r="B9" s="39">
        <v>2591</v>
      </c>
      <c r="C9" s="39">
        <v>0</v>
      </c>
      <c r="D9" s="39">
        <v>1371</v>
      </c>
      <c r="E9" s="39">
        <v>234</v>
      </c>
      <c r="F9" s="39">
        <v>231</v>
      </c>
      <c r="G9" s="39">
        <v>342</v>
      </c>
      <c r="H9" s="39">
        <v>4769</v>
      </c>
      <c r="I9" s="39">
        <v>0</v>
      </c>
      <c r="J9" s="40"/>
      <c r="K9" s="38">
        <v>4</v>
      </c>
      <c r="L9" s="58">
        <v>5</v>
      </c>
      <c r="M9" s="58">
        <v>6</v>
      </c>
      <c r="N9" s="58">
        <v>2</v>
      </c>
      <c r="O9" s="39">
        <v>13</v>
      </c>
      <c r="P9" s="50">
        <v>6135</v>
      </c>
      <c r="Q9" s="36"/>
      <c r="R9" s="36"/>
      <c r="S9" s="36"/>
    </row>
    <row r="10" spans="1:19" ht="15.6" thickTop="1" thickBot="1" x14ac:dyDescent="0.35">
      <c r="A10" s="38">
        <v>5</v>
      </c>
      <c r="B10" s="39">
        <v>4831</v>
      </c>
      <c r="C10" s="39">
        <v>0</v>
      </c>
      <c r="D10" s="39">
        <v>1222</v>
      </c>
      <c r="E10" s="39">
        <v>210</v>
      </c>
      <c r="F10" s="39">
        <v>236</v>
      </c>
      <c r="G10" s="39">
        <v>291</v>
      </c>
      <c r="H10" s="39">
        <v>6790</v>
      </c>
      <c r="I10" s="39">
        <v>0</v>
      </c>
      <c r="J10" s="40"/>
      <c r="K10" s="38">
        <v>5</v>
      </c>
      <c r="L10" s="58">
        <v>0</v>
      </c>
      <c r="M10" s="58">
        <v>9</v>
      </c>
      <c r="N10" s="58">
        <v>3</v>
      </c>
      <c r="O10" s="39">
        <v>12</v>
      </c>
      <c r="P10" s="50">
        <v>6135</v>
      </c>
      <c r="Q10" s="36"/>
      <c r="R10" s="36"/>
      <c r="S10" s="36"/>
    </row>
    <row r="11" spans="1:19" ht="15.6" thickTop="1" thickBot="1" x14ac:dyDescent="0.35">
      <c r="A11" s="38">
        <v>6</v>
      </c>
      <c r="B11" s="39">
        <v>5766</v>
      </c>
      <c r="C11" s="39">
        <v>6</v>
      </c>
      <c r="D11" s="39">
        <v>944</v>
      </c>
      <c r="E11" s="39">
        <v>61</v>
      </c>
      <c r="F11" s="39">
        <v>146</v>
      </c>
      <c r="G11" s="39">
        <v>167</v>
      </c>
      <c r="H11" s="39">
        <v>7090</v>
      </c>
      <c r="I11" s="39">
        <v>0</v>
      </c>
      <c r="J11" s="40"/>
      <c r="K11" s="38">
        <v>6</v>
      </c>
      <c r="L11" s="58">
        <v>0</v>
      </c>
      <c r="M11" s="58">
        <v>4</v>
      </c>
      <c r="N11" s="58">
        <v>1</v>
      </c>
      <c r="O11" s="39">
        <v>5</v>
      </c>
      <c r="P11" s="50">
        <v>6135</v>
      </c>
      <c r="Q11" s="36"/>
      <c r="R11" s="36"/>
      <c r="S11" s="36"/>
    </row>
    <row r="12" spans="1:19" ht="15.6" thickTop="1" thickBot="1" x14ac:dyDescent="0.35">
      <c r="A12" s="38">
        <v>7</v>
      </c>
      <c r="B12" s="39">
        <v>5346</v>
      </c>
      <c r="C12" s="39">
        <v>2</v>
      </c>
      <c r="D12" s="39">
        <v>892</v>
      </c>
      <c r="E12" s="39">
        <v>104</v>
      </c>
      <c r="F12" s="39">
        <v>159</v>
      </c>
      <c r="G12" s="39">
        <v>238</v>
      </c>
      <c r="H12" s="39">
        <v>6741</v>
      </c>
      <c r="I12" s="39">
        <v>0</v>
      </c>
      <c r="J12" s="41"/>
      <c r="K12" s="38">
        <v>7</v>
      </c>
      <c r="L12" s="58">
        <v>1</v>
      </c>
      <c r="M12" s="58">
        <v>6</v>
      </c>
      <c r="N12" s="58">
        <v>0</v>
      </c>
      <c r="O12" s="39">
        <v>7</v>
      </c>
      <c r="P12" s="50">
        <v>6135</v>
      </c>
      <c r="Q12" s="36"/>
      <c r="R12" s="36"/>
      <c r="S12" s="36"/>
    </row>
    <row r="13" spans="1:19" ht="15.6" thickTop="1" thickBot="1" x14ac:dyDescent="0.35">
      <c r="A13" s="38">
        <v>8</v>
      </c>
      <c r="B13" s="39">
        <v>7833</v>
      </c>
      <c r="C13" s="39">
        <v>0</v>
      </c>
      <c r="D13" s="39">
        <v>697</v>
      </c>
      <c r="E13" s="39">
        <v>71</v>
      </c>
      <c r="F13" s="39">
        <v>62</v>
      </c>
      <c r="G13" s="39">
        <v>76</v>
      </c>
      <c r="H13" s="39">
        <v>8739</v>
      </c>
      <c r="I13" s="39">
        <v>0</v>
      </c>
      <c r="J13" s="41"/>
      <c r="K13" s="38">
        <v>8</v>
      </c>
      <c r="L13" s="58">
        <v>0</v>
      </c>
      <c r="M13" s="58">
        <v>2</v>
      </c>
      <c r="N13" s="58">
        <v>0</v>
      </c>
      <c r="O13" s="39">
        <v>2</v>
      </c>
      <c r="P13" s="50">
        <v>6135</v>
      </c>
      <c r="Q13" s="36"/>
      <c r="R13" s="36"/>
      <c r="S13" s="36"/>
    </row>
    <row r="14" spans="1:19" ht="15.6" thickTop="1" thickBot="1" x14ac:dyDescent="0.35">
      <c r="A14" s="38">
        <v>9</v>
      </c>
      <c r="B14" s="39">
        <v>2548</v>
      </c>
      <c r="C14" s="39">
        <v>2</v>
      </c>
      <c r="D14" s="39">
        <v>1136</v>
      </c>
      <c r="E14" s="39">
        <v>131</v>
      </c>
      <c r="F14" s="39">
        <v>177</v>
      </c>
      <c r="G14" s="39">
        <v>291</v>
      </c>
      <c r="H14" s="39">
        <v>4285</v>
      </c>
      <c r="I14" s="39">
        <v>0</v>
      </c>
      <c r="J14" s="41"/>
      <c r="K14" s="38">
        <v>9</v>
      </c>
      <c r="L14" s="58">
        <v>3</v>
      </c>
      <c r="M14" s="58">
        <v>17</v>
      </c>
      <c r="N14" s="58">
        <v>1</v>
      </c>
      <c r="O14" s="39">
        <v>21</v>
      </c>
      <c r="P14" s="51">
        <v>6135</v>
      </c>
      <c r="Q14" s="47"/>
      <c r="R14" s="47"/>
      <c r="S14" s="47"/>
    </row>
    <row r="15" spans="1:19" ht="15.6" thickTop="1" thickBot="1" x14ac:dyDescent="0.35">
      <c r="A15" s="38">
        <v>10</v>
      </c>
      <c r="B15" s="39">
        <v>2338</v>
      </c>
      <c r="C15" s="39">
        <v>3</v>
      </c>
      <c r="D15" s="39">
        <v>1306</v>
      </c>
      <c r="E15" s="39">
        <v>168</v>
      </c>
      <c r="F15" s="39">
        <v>259</v>
      </c>
      <c r="G15" s="39">
        <v>308</v>
      </c>
      <c r="H15" s="39">
        <v>4382</v>
      </c>
      <c r="I15" s="39">
        <v>0</v>
      </c>
      <c r="J15" s="41"/>
      <c r="K15" s="38">
        <v>10</v>
      </c>
      <c r="L15" s="58">
        <v>2</v>
      </c>
      <c r="M15" s="58">
        <v>11</v>
      </c>
      <c r="N15" s="58">
        <v>3</v>
      </c>
      <c r="O15" s="39">
        <v>16</v>
      </c>
      <c r="P15" s="50">
        <v>6135</v>
      </c>
      <c r="Q15" s="36"/>
      <c r="R15" s="36"/>
      <c r="S15" s="36"/>
    </row>
    <row r="16" spans="1:19" ht="15.6" thickTop="1" thickBot="1" x14ac:dyDescent="0.35">
      <c r="A16" s="38">
        <v>11</v>
      </c>
      <c r="B16" s="39">
        <v>2869</v>
      </c>
      <c r="C16" s="39">
        <v>3</v>
      </c>
      <c r="D16" s="39">
        <v>1371</v>
      </c>
      <c r="E16" s="39">
        <v>195</v>
      </c>
      <c r="F16" s="39">
        <v>234</v>
      </c>
      <c r="G16" s="39">
        <v>366</v>
      </c>
      <c r="H16" s="39">
        <v>5038</v>
      </c>
      <c r="I16" s="39">
        <v>0</v>
      </c>
      <c r="J16" s="41"/>
      <c r="K16" s="38">
        <v>11</v>
      </c>
      <c r="L16" s="58">
        <v>1</v>
      </c>
      <c r="M16" s="58">
        <v>15</v>
      </c>
      <c r="N16" s="58">
        <v>0</v>
      </c>
      <c r="O16" s="39">
        <v>16</v>
      </c>
      <c r="P16" s="50">
        <v>6135</v>
      </c>
      <c r="Q16" s="36"/>
      <c r="R16" s="36"/>
      <c r="S16" s="36"/>
    </row>
    <row r="17" spans="1:26" ht="15.6" thickTop="1" thickBot="1" x14ac:dyDescent="0.35">
      <c r="A17" s="38">
        <v>12</v>
      </c>
      <c r="B17" s="39">
        <v>5745</v>
      </c>
      <c r="C17" s="39">
        <v>2</v>
      </c>
      <c r="D17" s="39">
        <v>1332</v>
      </c>
      <c r="E17" s="39">
        <v>148</v>
      </c>
      <c r="F17" s="39">
        <v>241</v>
      </c>
      <c r="G17" s="39">
        <v>281</v>
      </c>
      <c r="H17" s="39">
        <v>7749</v>
      </c>
      <c r="I17" s="39">
        <v>0</v>
      </c>
      <c r="J17" s="41"/>
      <c r="K17" s="38">
        <v>12</v>
      </c>
      <c r="L17" s="58">
        <v>1</v>
      </c>
      <c r="M17" s="58">
        <v>19</v>
      </c>
      <c r="N17" s="58">
        <v>2</v>
      </c>
      <c r="O17" s="39">
        <v>22</v>
      </c>
      <c r="P17" s="50">
        <v>6135</v>
      </c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6" thickTop="1" thickBot="1" x14ac:dyDescent="0.35">
      <c r="A18" s="38">
        <v>13</v>
      </c>
      <c r="B18" s="39">
        <v>7125</v>
      </c>
      <c r="C18" s="39">
        <v>2</v>
      </c>
      <c r="D18" s="39">
        <v>943</v>
      </c>
      <c r="E18" s="39">
        <v>61</v>
      </c>
      <c r="F18" s="39">
        <v>144</v>
      </c>
      <c r="G18" s="39">
        <v>143</v>
      </c>
      <c r="H18" s="39">
        <v>8418</v>
      </c>
      <c r="I18" s="39">
        <v>0</v>
      </c>
      <c r="J18" s="41"/>
      <c r="K18" s="38">
        <v>13</v>
      </c>
      <c r="L18" s="58">
        <v>1</v>
      </c>
      <c r="M18" s="58">
        <v>2</v>
      </c>
      <c r="N18" s="58">
        <v>1</v>
      </c>
      <c r="O18" s="39">
        <v>4</v>
      </c>
      <c r="P18" s="50">
        <v>6135</v>
      </c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6" thickTop="1" thickBot="1" x14ac:dyDescent="0.35">
      <c r="A19" s="38">
        <v>14</v>
      </c>
      <c r="B19" s="39">
        <v>5078</v>
      </c>
      <c r="C19" s="39">
        <v>2</v>
      </c>
      <c r="D19" s="39">
        <v>998</v>
      </c>
      <c r="E19" s="39">
        <v>133</v>
      </c>
      <c r="F19" s="39">
        <v>144</v>
      </c>
      <c r="G19" s="39">
        <v>232</v>
      </c>
      <c r="H19" s="39">
        <v>6587</v>
      </c>
      <c r="I19" s="39">
        <v>0</v>
      </c>
      <c r="J19" s="41"/>
      <c r="K19" s="38">
        <v>14</v>
      </c>
      <c r="L19" s="58">
        <v>0</v>
      </c>
      <c r="M19" s="58">
        <v>0</v>
      </c>
      <c r="N19" s="58">
        <v>0</v>
      </c>
      <c r="O19" s="39">
        <v>0</v>
      </c>
      <c r="P19" s="50">
        <v>6135</v>
      </c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6" thickTop="1" thickBot="1" x14ac:dyDescent="0.35">
      <c r="A20" s="38">
        <v>15</v>
      </c>
      <c r="B20" s="39">
        <v>9488</v>
      </c>
      <c r="C20" s="39">
        <v>0</v>
      </c>
      <c r="D20" s="39">
        <v>737</v>
      </c>
      <c r="E20" s="39">
        <v>47</v>
      </c>
      <c r="F20" s="39">
        <v>43</v>
      </c>
      <c r="G20" s="39">
        <v>84</v>
      </c>
      <c r="H20" s="39">
        <v>10399</v>
      </c>
      <c r="I20" s="39">
        <v>0</v>
      </c>
      <c r="J20" s="41"/>
      <c r="K20" s="38">
        <v>15</v>
      </c>
      <c r="L20" s="58">
        <v>0</v>
      </c>
      <c r="M20" s="58">
        <v>4</v>
      </c>
      <c r="N20" s="58">
        <v>0</v>
      </c>
      <c r="O20" s="39">
        <v>4</v>
      </c>
      <c r="P20" s="50">
        <v>6135</v>
      </c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6" thickTop="1" thickBot="1" x14ac:dyDescent="0.35">
      <c r="A21" s="38">
        <v>16</v>
      </c>
      <c r="B21" s="39">
        <v>3022</v>
      </c>
      <c r="C21" s="39">
        <v>2</v>
      </c>
      <c r="D21" s="39">
        <v>1211</v>
      </c>
      <c r="E21" s="39">
        <v>171</v>
      </c>
      <c r="F21" s="39">
        <v>217</v>
      </c>
      <c r="G21" s="39">
        <v>279</v>
      </c>
      <c r="H21" s="39">
        <v>4902</v>
      </c>
      <c r="I21" s="39">
        <v>0</v>
      </c>
      <c r="J21" s="41"/>
      <c r="K21" s="38">
        <v>16</v>
      </c>
      <c r="L21" s="58">
        <v>0</v>
      </c>
      <c r="M21" s="58">
        <v>6</v>
      </c>
      <c r="N21" s="58">
        <v>3</v>
      </c>
      <c r="O21" s="39">
        <v>9</v>
      </c>
      <c r="P21" s="50">
        <v>6135</v>
      </c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6" thickTop="1" thickBot="1" x14ac:dyDescent="0.35">
      <c r="A22" s="38">
        <v>17</v>
      </c>
      <c r="B22" s="39">
        <v>2527</v>
      </c>
      <c r="C22" s="39">
        <v>0</v>
      </c>
      <c r="D22" s="39">
        <v>1228</v>
      </c>
      <c r="E22" s="39">
        <v>196</v>
      </c>
      <c r="F22" s="39">
        <v>233</v>
      </c>
      <c r="G22" s="39">
        <v>293</v>
      </c>
      <c r="H22" s="39">
        <v>4477</v>
      </c>
      <c r="I22" s="39">
        <v>0</v>
      </c>
      <c r="J22" s="41"/>
      <c r="K22" s="38">
        <v>17</v>
      </c>
      <c r="L22" s="58">
        <v>1</v>
      </c>
      <c r="M22" s="58">
        <v>7</v>
      </c>
      <c r="N22" s="58">
        <v>4</v>
      </c>
      <c r="O22" s="39">
        <v>12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8">
        <v>18</v>
      </c>
      <c r="B23" s="39">
        <v>2916</v>
      </c>
      <c r="C23" s="39">
        <v>2</v>
      </c>
      <c r="D23" s="39">
        <v>1285</v>
      </c>
      <c r="E23" s="39">
        <v>198</v>
      </c>
      <c r="F23" s="39">
        <v>251</v>
      </c>
      <c r="G23" s="39">
        <v>344</v>
      </c>
      <c r="H23" s="39">
        <v>4996</v>
      </c>
      <c r="I23" s="39">
        <v>0</v>
      </c>
      <c r="J23" s="41"/>
      <c r="K23" s="38">
        <v>18</v>
      </c>
      <c r="L23" s="58">
        <v>3</v>
      </c>
      <c r="M23" s="58">
        <v>20</v>
      </c>
      <c r="N23" s="58">
        <v>2</v>
      </c>
      <c r="O23" s="39">
        <v>25</v>
      </c>
      <c r="P23" s="50">
        <v>6135</v>
      </c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6" thickTop="1" thickBot="1" x14ac:dyDescent="0.35">
      <c r="A24" s="38">
        <v>19</v>
      </c>
      <c r="B24" s="39">
        <v>3902</v>
      </c>
      <c r="C24" s="39">
        <v>2</v>
      </c>
      <c r="D24" s="39">
        <v>1218</v>
      </c>
      <c r="E24" s="39">
        <v>185</v>
      </c>
      <c r="F24" s="39">
        <v>243</v>
      </c>
      <c r="G24" s="39">
        <v>304</v>
      </c>
      <c r="H24" s="39">
        <v>5854</v>
      </c>
      <c r="I24" s="39">
        <v>0</v>
      </c>
      <c r="J24" s="41"/>
      <c r="K24" s="38">
        <v>19</v>
      </c>
      <c r="L24" s="58">
        <v>2</v>
      </c>
      <c r="M24" s="58">
        <v>11</v>
      </c>
      <c r="N24" s="58">
        <v>3</v>
      </c>
      <c r="O24" s="39">
        <v>16</v>
      </c>
      <c r="P24" s="50">
        <v>6135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6" thickTop="1" thickBot="1" x14ac:dyDescent="0.35">
      <c r="A25" s="38">
        <v>20</v>
      </c>
      <c r="B25" s="39">
        <v>4380</v>
      </c>
      <c r="C25" s="39">
        <v>2</v>
      </c>
      <c r="D25" s="39">
        <v>1119</v>
      </c>
      <c r="E25" s="39">
        <v>141</v>
      </c>
      <c r="F25" s="39">
        <v>227</v>
      </c>
      <c r="G25" s="39">
        <v>219</v>
      </c>
      <c r="H25" s="39">
        <v>6088</v>
      </c>
      <c r="I25" s="39">
        <v>0</v>
      </c>
      <c r="J25" s="41"/>
      <c r="K25" s="38">
        <v>20</v>
      </c>
      <c r="L25" s="58">
        <v>0</v>
      </c>
      <c r="M25" s="58">
        <v>13</v>
      </c>
      <c r="N25" s="58">
        <v>1</v>
      </c>
      <c r="O25" s="39">
        <v>14</v>
      </c>
      <c r="P25" s="50">
        <v>6135</v>
      </c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6" thickTop="1" thickBot="1" x14ac:dyDescent="0.35">
      <c r="A26" s="38">
        <v>21</v>
      </c>
      <c r="B26" s="39">
        <v>4620</v>
      </c>
      <c r="C26" s="39">
        <v>2</v>
      </c>
      <c r="D26" s="39">
        <v>847</v>
      </c>
      <c r="E26" s="39">
        <v>90</v>
      </c>
      <c r="F26" s="39">
        <v>123</v>
      </c>
      <c r="G26" s="39">
        <v>193</v>
      </c>
      <c r="H26" s="39">
        <v>5875</v>
      </c>
      <c r="I26" s="39">
        <v>0</v>
      </c>
      <c r="J26" s="41"/>
      <c r="K26" s="38">
        <v>21</v>
      </c>
      <c r="L26" s="58">
        <v>0</v>
      </c>
      <c r="M26" s="58">
        <v>6</v>
      </c>
      <c r="N26" s="58">
        <v>0</v>
      </c>
      <c r="O26" s="39">
        <v>6</v>
      </c>
      <c r="P26" s="50">
        <v>6135</v>
      </c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6" thickTop="1" thickBot="1" x14ac:dyDescent="0.35">
      <c r="A27" s="38">
        <v>22</v>
      </c>
      <c r="B27" s="39">
        <v>3297</v>
      </c>
      <c r="C27" s="39">
        <v>6</v>
      </c>
      <c r="D27" s="39">
        <v>1085</v>
      </c>
      <c r="E27" s="39">
        <v>171</v>
      </c>
      <c r="F27" s="39">
        <v>207</v>
      </c>
      <c r="G27" s="39">
        <v>240</v>
      </c>
      <c r="H27" s="39">
        <v>5006</v>
      </c>
      <c r="I27" s="39">
        <v>0</v>
      </c>
      <c r="J27" s="41"/>
      <c r="K27" s="38">
        <v>22</v>
      </c>
      <c r="L27" s="58">
        <v>0</v>
      </c>
      <c r="M27" s="58">
        <v>10</v>
      </c>
      <c r="N27" s="58">
        <v>0</v>
      </c>
      <c r="O27" s="39">
        <v>10</v>
      </c>
      <c r="P27" s="50">
        <v>6135</v>
      </c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6" thickTop="1" thickBot="1" x14ac:dyDescent="0.35">
      <c r="A28" s="38">
        <v>23</v>
      </c>
      <c r="B28" s="39">
        <v>3209</v>
      </c>
      <c r="C28" s="39">
        <v>2</v>
      </c>
      <c r="D28" s="39">
        <v>1315</v>
      </c>
      <c r="E28" s="39">
        <v>176</v>
      </c>
      <c r="F28" s="39">
        <v>256</v>
      </c>
      <c r="G28" s="39">
        <v>290</v>
      </c>
      <c r="H28" s="39">
        <v>5248</v>
      </c>
      <c r="I28" s="39">
        <v>0</v>
      </c>
      <c r="J28" s="41"/>
      <c r="K28" s="38">
        <v>23</v>
      </c>
      <c r="L28" s="58">
        <v>2</v>
      </c>
      <c r="M28" s="58">
        <v>6</v>
      </c>
      <c r="N28" s="58">
        <v>5</v>
      </c>
      <c r="O28" s="39">
        <v>13</v>
      </c>
      <c r="P28" s="50">
        <v>6135</v>
      </c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6" thickTop="1" thickBot="1" x14ac:dyDescent="0.35">
      <c r="A29" s="38">
        <v>24</v>
      </c>
      <c r="B29" s="39">
        <v>3373</v>
      </c>
      <c r="C29" s="39">
        <v>0</v>
      </c>
      <c r="D29" s="39">
        <v>1335</v>
      </c>
      <c r="E29" s="39">
        <v>210</v>
      </c>
      <c r="F29" s="39">
        <v>252</v>
      </c>
      <c r="G29" s="39">
        <v>305</v>
      </c>
      <c r="H29" s="39">
        <v>5475</v>
      </c>
      <c r="I29" s="39">
        <v>0</v>
      </c>
      <c r="J29" s="41"/>
      <c r="K29" s="38">
        <v>24</v>
      </c>
      <c r="L29" s="58">
        <v>1</v>
      </c>
      <c r="M29" s="58">
        <v>7</v>
      </c>
      <c r="N29" s="58">
        <v>1</v>
      </c>
      <c r="O29" s="39">
        <v>9</v>
      </c>
      <c r="P29" s="50">
        <v>6135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6" thickTop="1" thickBot="1" x14ac:dyDescent="0.35">
      <c r="A30" s="38">
        <v>25</v>
      </c>
      <c r="B30" s="39">
        <v>4071</v>
      </c>
      <c r="C30" s="39">
        <v>0</v>
      </c>
      <c r="D30" s="39">
        <v>1381</v>
      </c>
      <c r="E30" s="39">
        <v>243</v>
      </c>
      <c r="F30" s="39">
        <v>250</v>
      </c>
      <c r="G30" s="39">
        <v>276</v>
      </c>
      <c r="H30" s="39">
        <v>6221</v>
      </c>
      <c r="I30" s="39">
        <v>0</v>
      </c>
      <c r="J30" s="41"/>
      <c r="K30" s="38">
        <v>25</v>
      </c>
      <c r="L30" s="58">
        <v>0</v>
      </c>
      <c r="M30" s="58">
        <v>13</v>
      </c>
      <c r="N30" s="58">
        <v>2</v>
      </c>
      <c r="O30" s="39">
        <v>15</v>
      </c>
      <c r="P30" s="50">
        <v>6135</v>
      </c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6" thickTop="1" thickBot="1" x14ac:dyDescent="0.35">
      <c r="A31" s="38">
        <v>26</v>
      </c>
      <c r="B31" s="39">
        <v>7657</v>
      </c>
      <c r="C31" s="39">
        <v>3</v>
      </c>
      <c r="D31" s="39">
        <v>1342</v>
      </c>
      <c r="E31" s="39">
        <v>172</v>
      </c>
      <c r="F31" s="39">
        <v>213</v>
      </c>
      <c r="G31" s="39">
        <v>249</v>
      </c>
      <c r="H31" s="39">
        <v>9636</v>
      </c>
      <c r="I31" s="39">
        <v>0</v>
      </c>
      <c r="J31" s="41"/>
      <c r="K31" s="38">
        <v>26</v>
      </c>
      <c r="L31" s="58">
        <v>1</v>
      </c>
      <c r="M31" s="58">
        <v>8</v>
      </c>
      <c r="N31" s="58">
        <v>3</v>
      </c>
      <c r="O31" s="39">
        <v>12</v>
      </c>
      <c r="P31" s="50">
        <v>6135</v>
      </c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6" thickTop="1" thickBot="1" x14ac:dyDescent="0.35">
      <c r="A32" s="38">
        <v>27</v>
      </c>
      <c r="B32" s="39">
        <v>10186</v>
      </c>
      <c r="C32" s="39">
        <v>8</v>
      </c>
      <c r="D32" s="39">
        <v>991</v>
      </c>
      <c r="E32" s="39">
        <v>71</v>
      </c>
      <c r="F32" s="39">
        <v>149</v>
      </c>
      <c r="G32" s="39">
        <v>165</v>
      </c>
      <c r="H32" s="39">
        <v>11570</v>
      </c>
      <c r="I32" s="39">
        <v>0</v>
      </c>
      <c r="J32" s="41"/>
      <c r="K32" s="38">
        <v>27</v>
      </c>
      <c r="L32" s="58">
        <v>0</v>
      </c>
      <c r="M32" s="58">
        <v>8</v>
      </c>
      <c r="N32" s="58">
        <v>0</v>
      </c>
      <c r="O32" s="39">
        <v>8</v>
      </c>
      <c r="P32" s="50">
        <v>6135</v>
      </c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16" ht="15.6" thickTop="1" thickBot="1" x14ac:dyDescent="0.35">
      <c r="A33" s="38">
        <v>28</v>
      </c>
      <c r="B33" s="39">
        <v>9428</v>
      </c>
      <c r="C33" s="39">
        <v>7</v>
      </c>
      <c r="D33" s="39">
        <v>1027</v>
      </c>
      <c r="E33" s="39">
        <v>127</v>
      </c>
      <c r="F33" s="39">
        <v>167</v>
      </c>
      <c r="G33" s="39">
        <v>217</v>
      </c>
      <c r="H33" s="39">
        <v>10973</v>
      </c>
      <c r="I33" s="39">
        <v>0</v>
      </c>
      <c r="J33" s="41"/>
      <c r="K33" s="38">
        <v>28</v>
      </c>
      <c r="L33" s="58">
        <v>0</v>
      </c>
      <c r="M33" s="58">
        <v>10</v>
      </c>
      <c r="N33" s="58">
        <v>1</v>
      </c>
      <c r="O33" s="39">
        <v>11</v>
      </c>
      <c r="P33" s="50">
        <v>6135</v>
      </c>
    </row>
    <row r="34" spans="1:16" ht="15.6" thickTop="1" thickBot="1" x14ac:dyDescent="0.35">
      <c r="A34" s="38">
        <v>29</v>
      </c>
      <c r="B34" s="39">
        <v>4831</v>
      </c>
      <c r="C34" s="39">
        <v>4</v>
      </c>
      <c r="D34" s="39">
        <v>1240</v>
      </c>
      <c r="E34" s="39">
        <v>186</v>
      </c>
      <c r="F34" s="39">
        <v>211</v>
      </c>
      <c r="G34" s="39">
        <v>284</v>
      </c>
      <c r="H34" s="39">
        <v>6756</v>
      </c>
      <c r="I34" s="39">
        <v>0</v>
      </c>
      <c r="J34" s="41"/>
      <c r="K34" s="38">
        <v>29</v>
      </c>
      <c r="L34" s="39">
        <v>1</v>
      </c>
      <c r="M34" s="39">
        <v>6</v>
      </c>
      <c r="N34" s="39">
        <v>1</v>
      </c>
      <c r="O34" s="39">
        <v>8</v>
      </c>
      <c r="P34" s="50">
        <v>6135</v>
      </c>
    </row>
    <row r="35" spans="1:16" ht="15.6" thickTop="1" thickBot="1" x14ac:dyDescent="0.35">
      <c r="A35" s="38">
        <v>30</v>
      </c>
      <c r="B35" s="39">
        <v>13412</v>
      </c>
      <c r="C35" s="39">
        <v>0</v>
      </c>
      <c r="D35" s="39">
        <v>749</v>
      </c>
      <c r="E35" s="39">
        <v>54</v>
      </c>
      <c r="F35" s="39">
        <v>60</v>
      </c>
      <c r="G35" s="39">
        <v>63</v>
      </c>
      <c r="H35" s="39">
        <v>14338</v>
      </c>
      <c r="I35" s="39">
        <v>0</v>
      </c>
      <c r="J35" s="41"/>
      <c r="K35" s="38">
        <v>30</v>
      </c>
      <c r="L35" s="39">
        <v>0</v>
      </c>
      <c r="M35" s="39">
        <v>0</v>
      </c>
      <c r="N35" s="39">
        <v>0</v>
      </c>
      <c r="O35" s="39">
        <v>0</v>
      </c>
      <c r="P35" s="50">
        <v>6135</v>
      </c>
    </row>
    <row r="36" spans="1:16" ht="15.6" hidden="1" thickTop="1" thickBot="1" x14ac:dyDescent="0.35">
      <c r="A36" s="38">
        <v>31</v>
      </c>
      <c r="B36" s="39"/>
      <c r="C36" s="39"/>
      <c r="D36" s="39"/>
      <c r="E36" s="39"/>
      <c r="F36" s="39"/>
      <c r="G36" s="39"/>
      <c r="H36" s="39">
        <v>0</v>
      </c>
      <c r="I36" s="39">
        <v>0</v>
      </c>
      <c r="J36" s="41"/>
      <c r="K36" s="38">
        <v>31</v>
      </c>
      <c r="L36" s="39"/>
      <c r="M36" s="39"/>
      <c r="N36" s="39"/>
      <c r="O36" s="39">
        <v>0</v>
      </c>
      <c r="P36" s="50">
        <v>6135</v>
      </c>
    </row>
    <row r="37" spans="1:16" ht="15" thickTop="1" x14ac:dyDescent="0.3">
      <c r="A37" s="4" t="s">
        <v>19</v>
      </c>
      <c r="B37" s="3">
        <v>148985</v>
      </c>
      <c r="C37" s="3">
        <v>68</v>
      </c>
      <c r="D37" s="3">
        <v>33781</v>
      </c>
      <c r="E37" s="3">
        <v>4618</v>
      </c>
      <c r="F37" s="3">
        <v>5731</v>
      </c>
      <c r="G37" s="3">
        <v>7405</v>
      </c>
      <c r="H37" s="3">
        <v>200588</v>
      </c>
      <c r="I37" s="3">
        <v>0</v>
      </c>
      <c r="J37" s="3"/>
      <c r="K37" s="3" t="s">
        <v>29</v>
      </c>
      <c r="L37" s="3">
        <v>28</v>
      </c>
      <c r="M37" s="3">
        <v>246</v>
      </c>
      <c r="N37" s="3">
        <v>48</v>
      </c>
      <c r="O37" s="5">
        <f>SUM(O6:O36)</f>
        <v>322</v>
      </c>
      <c r="P37" s="36"/>
    </row>
    <row r="38" spans="1:16" x14ac:dyDescent="0.3">
      <c r="A38" s="4" t="s">
        <v>19</v>
      </c>
      <c r="B38" s="70">
        <v>149053</v>
      </c>
      <c r="C38" s="70"/>
      <c r="D38" s="3">
        <v>33781</v>
      </c>
      <c r="E38" s="3">
        <v>4618</v>
      </c>
      <c r="F38" s="3">
        <v>5731</v>
      </c>
      <c r="G38" s="3">
        <v>7405</v>
      </c>
      <c r="H38" s="5">
        <v>200588</v>
      </c>
      <c r="I38" s="3">
        <v>0</v>
      </c>
      <c r="J38" s="42"/>
      <c r="K38" s="4"/>
      <c r="L38" s="35" t="s">
        <v>20</v>
      </c>
      <c r="M38" s="35" t="s">
        <v>21</v>
      </c>
      <c r="N38" s="35" t="s">
        <v>20</v>
      </c>
      <c r="O38" s="35" t="s">
        <v>21</v>
      </c>
      <c r="P38" s="36"/>
    </row>
    <row r="39" spans="1:16" x14ac:dyDescent="0.3">
      <c r="A39" s="43" t="s">
        <v>22</v>
      </c>
      <c r="B39" s="45"/>
      <c r="C39" s="45"/>
      <c r="D39" s="45"/>
      <c r="E39" s="45"/>
      <c r="F39" s="45"/>
      <c r="G39" s="45"/>
      <c r="H39" s="45"/>
      <c r="I39" s="36"/>
      <c r="J39" s="36"/>
      <c r="K39" s="36"/>
      <c r="L39" s="48"/>
      <c r="M39" s="36"/>
      <c r="N39" s="36"/>
      <c r="O39" s="36"/>
      <c r="P39" s="36"/>
    </row>
    <row r="40" spans="1:16" x14ac:dyDescent="0.3">
      <c r="A40" s="54"/>
      <c r="B40" s="55"/>
      <c r="C40" s="55"/>
      <c r="D40" s="55"/>
      <c r="E40" s="55"/>
      <c r="F40" s="55"/>
      <c r="G40" s="55"/>
      <c r="H40" s="55"/>
      <c r="I40" s="55"/>
      <c r="J40" s="48"/>
      <c r="K40" s="57"/>
      <c r="L40" s="56"/>
      <c r="M40" s="36"/>
      <c r="N40" s="36"/>
      <c r="O40" s="36"/>
      <c r="P40" s="36"/>
    </row>
    <row r="41" spans="1:16" x14ac:dyDescent="0.3">
      <c r="A41" s="44"/>
      <c r="B41" s="36"/>
      <c r="C41" s="36"/>
      <c r="D41" s="36"/>
      <c r="E41" s="36"/>
      <c r="F41" s="36"/>
      <c r="G41" s="36"/>
      <c r="H41" s="44"/>
      <c r="I41" s="36"/>
      <c r="J41" s="36"/>
      <c r="K41" s="57"/>
      <c r="L41" s="56"/>
      <c r="M41" s="36"/>
      <c r="N41" s="36"/>
      <c r="O41" s="36"/>
      <c r="P41" s="36"/>
    </row>
    <row r="42" spans="1:16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57"/>
      <c r="L42" s="56"/>
      <c r="M42" s="36"/>
      <c r="N42" s="36"/>
      <c r="O42" s="36"/>
      <c r="P42" s="36"/>
    </row>
    <row r="43" spans="1:16" x14ac:dyDescent="0.3">
      <c r="A43" s="36"/>
      <c r="B43" s="36"/>
      <c r="C43" s="36"/>
      <c r="D43" s="36"/>
      <c r="E43" s="36"/>
      <c r="F43" s="36"/>
      <c r="G43" s="36"/>
      <c r="H43" s="36"/>
      <c r="I43" s="44"/>
      <c r="J43" s="44"/>
      <c r="K43" s="36"/>
      <c r="L43" s="36"/>
      <c r="M43" s="36"/>
      <c r="N43" s="36"/>
      <c r="O43" s="36"/>
      <c r="P43" s="36"/>
    </row>
    <row r="45" spans="1:16" x14ac:dyDescent="0.3">
      <c r="A45" s="53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</row>
    <row r="46" spans="1:16" x14ac:dyDescent="0.3">
      <c r="A46" s="53"/>
      <c r="B46" s="44"/>
      <c r="C46" s="44"/>
      <c r="D46" s="44"/>
      <c r="E46" s="44"/>
      <c r="F46" s="44"/>
      <c r="G46" s="44"/>
      <c r="H46" s="44"/>
      <c r="I46" s="44"/>
      <c r="J46" s="44"/>
      <c r="K46" s="49"/>
      <c r="L46" s="44"/>
      <c r="M46" s="44"/>
      <c r="N46" s="44"/>
      <c r="O46" s="44"/>
      <c r="P46" s="36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F9F0-DAAF-4DCE-AC38-0D9E99664BCA}">
  <dimension ref="A1:Z46"/>
  <sheetViews>
    <sheetView zoomScale="106" zoomScaleNormal="106" workbookViewId="0">
      <selection activeCell="H13" sqref="H13"/>
    </sheetView>
  </sheetViews>
  <sheetFormatPr baseColWidth="10" defaultRowHeight="14.4" x14ac:dyDescent="0.3"/>
  <cols>
    <col min="16" max="16" width="0" hidden="1" customWidth="1"/>
  </cols>
  <sheetData>
    <row r="1" spans="1:19" ht="15.6" x14ac:dyDescent="0.3">
      <c r="A1" s="64" t="s">
        <v>23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46"/>
      <c r="Q1" s="46"/>
      <c r="R1" s="46"/>
      <c r="S1" s="46"/>
    </row>
    <row r="2" spans="1:19" ht="15.6" x14ac:dyDescent="0.3">
      <c r="A2" s="64" t="s">
        <v>24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46"/>
      <c r="Q2" s="46"/>
      <c r="R2" s="46"/>
      <c r="S2" s="46"/>
    </row>
    <row r="3" spans="1:19" ht="15.6" x14ac:dyDescent="0.3">
      <c r="A3" s="68" t="s">
        <v>31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46"/>
      <c r="Q3" s="46"/>
      <c r="R3" s="46"/>
      <c r="S3" s="46"/>
    </row>
    <row r="4" spans="1:19" ht="82.8" x14ac:dyDescent="0.3">
      <c r="A4" s="66" t="s">
        <v>1</v>
      </c>
      <c r="B4" s="69" t="s">
        <v>2</v>
      </c>
      <c r="C4" s="69"/>
      <c r="D4" s="2" t="s">
        <v>3</v>
      </c>
      <c r="E4" s="2" t="s">
        <v>4</v>
      </c>
      <c r="F4" s="2" t="s">
        <v>5</v>
      </c>
      <c r="G4" s="2" t="s">
        <v>6</v>
      </c>
      <c r="H4" s="69" t="s">
        <v>7</v>
      </c>
      <c r="I4" s="69" t="s">
        <v>8</v>
      </c>
      <c r="J4" s="37"/>
      <c r="K4" s="71" t="s">
        <v>1</v>
      </c>
      <c r="L4" s="69" t="s">
        <v>9</v>
      </c>
      <c r="M4" s="69" t="s">
        <v>10</v>
      </c>
      <c r="N4" s="69" t="s">
        <v>11</v>
      </c>
      <c r="O4" s="69" t="s">
        <v>12</v>
      </c>
      <c r="P4" s="36"/>
      <c r="Q4" s="36"/>
      <c r="R4" s="36"/>
      <c r="S4" s="36"/>
    </row>
    <row r="5" spans="1:19" x14ac:dyDescent="0.3">
      <c r="A5" s="67"/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69"/>
      <c r="I5" s="69"/>
      <c r="J5" s="37"/>
      <c r="K5" s="71"/>
      <c r="L5" s="69"/>
      <c r="M5" s="69"/>
      <c r="N5" s="69"/>
      <c r="O5" s="69"/>
      <c r="P5" s="36"/>
      <c r="Q5" s="36"/>
      <c r="R5" s="36"/>
      <c r="S5" s="36"/>
    </row>
    <row r="6" spans="1:19" ht="15" thickBot="1" x14ac:dyDescent="0.35">
      <c r="A6" s="38">
        <v>1</v>
      </c>
      <c r="B6" s="39">
        <v>3641</v>
      </c>
      <c r="C6" s="39">
        <v>0</v>
      </c>
      <c r="D6" s="39">
        <v>1323</v>
      </c>
      <c r="E6" s="39">
        <v>186</v>
      </c>
      <c r="F6" s="39">
        <v>270</v>
      </c>
      <c r="G6" s="39">
        <v>293</v>
      </c>
      <c r="H6" s="39">
        <v>5713</v>
      </c>
      <c r="I6" s="39">
        <v>0</v>
      </c>
      <c r="J6" s="40"/>
      <c r="K6" s="38">
        <v>1</v>
      </c>
      <c r="L6" s="58">
        <v>0</v>
      </c>
      <c r="M6" s="58">
        <v>10</v>
      </c>
      <c r="N6" s="58">
        <v>2</v>
      </c>
      <c r="O6" s="39">
        <v>12</v>
      </c>
      <c r="P6" s="50">
        <v>6135</v>
      </c>
      <c r="Q6" s="36"/>
      <c r="R6" s="36"/>
      <c r="S6" s="36"/>
    </row>
    <row r="7" spans="1:19" ht="15.6" thickTop="1" thickBot="1" x14ac:dyDescent="0.35">
      <c r="A7" s="38">
        <v>2</v>
      </c>
      <c r="B7" s="39">
        <v>3744</v>
      </c>
      <c r="C7" s="39">
        <v>2</v>
      </c>
      <c r="D7" s="39">
        <v>1287</v>
      </c>
      <c r="E7" s="39">
        <v>205</v>
      </c>
      <c r="F7" s="39">
        <v>227</v>
      </c>
      <c r="G7" s="39">
        <v>296</v>
      </c>
      <c r="H7" s="39">
        <v>5761</v>
      </c>
      <c r="I7" s="39">
        <v>0</v>
      </c>
      <c r="J7" s="40"/>
      <c r="K7" s="38">
        <v>2</v>
      </c>
      <c r="L7" s="58">
        <v>3</v>
      </c>
      <c r="M7" s="58">
        <v>4</v>
      </c>
      <c r="N7" s="58">
        <v>5</v>
      </c>
      <c r="O7" s="39">
        <v>12</v>
      </c>
      <c r="P7" s="50">
        <v>6135</v>
      </c>
      <c r="Q7" s="36"/>
      <c r="R7" s="36"/>
      <c r="S7" s="36"/>
    </row>
    <row r="8" spans="1:19" ht="15.6" thickTop="1" thickBot="1" x14ac:dyDescent="0.35">
      <c r="A8" s="38">
        <v>3</v>
      </c>
      <c r="B8" s="39">
        <v>4847</v>
      </c>
      <c r="C8" s="39">
        <v>0</v>
      </c>
      <c r="D8" s="39">
        <v>1304</v>
      </c>
      <c r="E8" s="39">
        <v>155</v>
      </c>
      <c r="F8" s="39">
        <v>211</v>
      </c>
      <c r="G8" s="39">
        <v>274</v>
      </c>
      <c r="H8" s="39">
        <v>6791</v>
      </c>
      <c r="I8" s="39">
        <v>0</v>
      </c>
      <c r="J8" s="40"/>
      <c r="K8" s="38">
        <v>3</v>
      </c>
      <c r="L8" s="58">
        <v>0</v>
      </c>
      <c r="M8" s="58">
        <v>14</v>
      </c>
      <c r="N8" s="58">
        <v>2</v>
      </c>
      <c r="O8" s="39">
        <v>16</v>
      </c>
      <c r="P8" s="50">
        <v>6135</v>
      </c>
      <c r="Q8" s="36"/>
      <c r="R8" s="36"/>
      <c r="S8" s="44"/>
    </row>
    <row r="9" spans="1:19" ht="15.6" thickTop="1" thickBot="1" x14ac:dyDescent="0.35">
      <c r="A9" s="38">
        <v>4</v>
      </c>
      <c r="B9" s="39">
        <v>5441</v>
      </c>
      <c r="C9" s="39">
        <v>2</v>
      </c>
      <c r="D9" s="39">
        <v>1180</v>
      </c>
      <c r="E9" s="39">
        <v>136</v>
      </c>
      <c r="F9" s="39">
        <v>194</v>
      </c>
      <c r="G9" s="39">
        <v>261</v>
      </c>
      <c r="H9" s="39">
        <v>7214</v>
      </c>
      <c r="I9" s="39">
        <v>0</v>
      </c>
      <c r="J9" s="40"/>
      <c r="K9" s="38">
        <v>4</v>
      </c>
      <c r="L9" s="58">
        <v>2</v>
      </c>
      <c r="M9" s="58">
        <v>4</v>
      </c>
      <c r="N9" s="58">
        <v>1</v>
      </c>
      <c r="O9" s="39">
        <v>7</v>
      </c>
      <c r="P9" s="50">
        <v>6135</v>
      </c>
      <c r="Q9" s="36"/>
      <c r="R9" s="36"/>
      <c r="S9" s="36"/>
    </row>
    <row r="10" spans="1:19" ht="15.6" thickTop="1" thickBot="1" x14ac:dyDescent="0.35">
      <c r="A10" s="38">
        <v>5</v>
      </c>
      <c r="B10" s="39">
        <v>7047</v>
      </c>
      <c r="C10" s="39">
        <v>2</v>
      </c>
      <c r="D10" s="39">
        <v>911</v>
      </c>
      <c r="E10" s="39">
        <v>110</v>
      </c>
      <c r="F10" s="39">
        <v>118</v>
      </c>
      <c r="G10" s="39">
        <v>180</v>
      </c>
      <c r="H10" s="39">
        <v>8368</v>
      </c>
      <c r="I10" s="39">
        <v>0</v>
      </c>
      <c r="J10" s="40"/>
      <c r="K10" s="38">
        <v>5</v>
      </c>
      <c r="L10" s="58">
        <v>2</v>
      </c>
      <c r="M10" s="58">
        <v>6</v>
      </c>
      <c r="N10" s="58">
        <v>0</v>
      </c>
      <c r="O10" s="39">
        <v>8</v>
      </c>
      <c r="P10" s="50">
        <v>6135</v>
      </c>
      <c r="Q10" s="36"/>
      <c r="R10" s="36"/>
      <c r="S10" s="36"/>
    </row>
    <row r="11" spans="1:19" ht="15.6" thickTop="1" thickBot="1" x14ac:dyDescent="0.35">
      <c r="A11" s="38">
        <v>6</v>
      </c>
      <c r="B11" s="39">
        <v>3342</v>
      </c>
      <c r="C11" s="39">
        <v>2</v>
      </c>
      <c r="D11" s="39">
        <v>1174</v>
      </c>
      <c r="E11" s="39">
        <v>152</v>
      </c>
      <c r="F11" s="39">
        <v>202</v>
      </c>
      <c r="G11" s="39">
        <v>242</v>
      </c>
      <c r="H11" s="39">
        <v>5114</v>
      </c>
      <c r="I11" s="39">
        <v>0</v>
      </c>
      <c r="J11" s="40"/>
      <c r="K11" s="38">
        <v>6</v>
      </c>
      <c r="L11" s="58">
        <v>0</v>
      </c>
      <c r="M11" s="58">
        <v>8</v>
      </c>
      <c r="N11" s="58">
        <v>5</v>
      </c>
      <c r="O11" s="39">
        <v>13</v>
      </c>
      <c r="P11" s="50">
        <v>6135</v>
      </c>
      <c r="Q11" s="36"/>
      <c r="R11" s="36"/>
      <c r="S11" s="36"/>
    </row>
    <row r="12" spans="1:19" ht="15.6" thickTop="1" thickBot="1" x14ac:dyDescent="0.35">
      <c r="A12" s="38">
        <v>7</v>
      </c>
      <c r="B12" s="39">
        <v>2777</v>
      </c>
      <c r="C12" s="39">
        <v>0</v>
      </c>
      <c r="D12" s="39">
        <v>1231</v>
      </c>
      <c r="E12" s="39">
        <v>181</v>
      </c>
      <c r="F12" s="39">
        <v>225</v>
      </c>
      <c r="G12" s="39">
        <v>280</v>
      </c>
      <c r="H12" s="39">
        <v>4694</v>
      </c>
      <c r="I12" s="39">
        <v>0</v>
      </c>
      <c r="J12" s="41"/>
      <c r="K12" s="38">
        <v>7</v>
      </c>
      <c r="L12" s="58">
        <v>1</v>
      </c>
      <c r="M12" s="58">
        <v>8</v>
      </c>
      <c r="N12" s="58">
        <v>1</v>
      </c>
      <c r="O12" s="39">
        <v>10</v>
      </c>
      <c r="P12" s="50">
        <v>6135</v>
      </c>
      <c r="Q12" s="36"/>
      <c r="R12" s="36"/>
      <c r="S12" s="36"/>
    </row>
    <row r="13" spans="1:19" ht="15.6" thickTop="1" thickBot="1" x14ac:dyDescent="0.35">
      <c r="A13" s="38">
        <v>8</v>
      </c>
      <c r="B13" s="39">
        <v>2728</v>
      </c>
      <c r="C13" s="39">
        <v>0</v>
      </c>
      <c r="D13" s="39">
        <v>1268</v>
      </c>
      <c r="E13" s="39">
        <v>191</v>
      </c>
      <c r="F13" s="39">
        <v>255</v>
      </c>
      <c r="G13" s="39">
        <v>335</v>
      </c>
      <c r="H13" s="39">
        <v>4777</v>
      </c>
      <c r="I13" s="39">
        <v>0</v>
      </c>
      <c r="J13" s="41"/>
      <c r="K13" s="38">
        <v>8</v>
      </c>
      <c r="L13" s="58">
        <v>0</v>
      </c>
      <c r="M13" s="58">
        <v>6</v>
      </c>
      <c r="N13" s="58">
        <v>4</v>
      </c>
      <c r="O13" s="39">
        <v>10</v>
      </c>
      <c r="P13" s="50">
        <v>6135</v>
      </c>
      <c r="Q13" s="36"/>
      <c r="R13" s="36"/>
      <c r="S13" s="36"/>
    </row>
    <row r="14" spans="1:19" ht="15.6" thickTop="1" thickBot="1" x14ac:dyDescent="0.35">
      <c r="A14" s="38">
        <v>9</v>
      </c>
      <c r="B14" s="39">
        <v>2888</v>
      </c>
      <c r="C14" s="39">
        <v>3</v>
      </c>
      <c r="D14" s="39">
        <v>1255</v>
      </c>
      <c r="E14" s="39">
        <v>165</v>
      </c>
      <c r="F14" s="39">
        <v>203</v>
      </c>
      <c r="G14" s="39">
        <v>280</v>
      </c>
      <c r="H14" s="39">
        <v>4794</v>
      </c>
      <c r="I14" s="39">
        <v>0</v>
      </c>
      <c r="J14" s="41"/>
      <c r="K14" s="38">
        <v>9</v>
      </c>
      <c r="L14" s="58">
        <v>0</v>
      </c>
      <c r="M14" s="58">
        <v>6</v>
      </c>
      <c r="N14" s="58">
        <v>2</v>
      </c>
      <c r="O14" s="39">
        <v>8</v>
      </c>
      <c r="P14" s="51">
        <v>6135</v>
      </c>
      <c r="Q14" s="47"/>
      <c r="R14" s="47"/>
      <c r="S14" s="47"/>
    </row>
    <row r="15" spans="1:19" ht="15.6" thickTop="1" thickBot="1" x14ac:dyDescent="0.35">
      <c r="A15" s="38">
        <v>10</v>
      </c>
      <c r="B15" s="39">
        <v>4096</v>
      </c>
      <c r="C15" s="39">
        <v>0</v>
      </c>
      <c r="D15" s="39">
        <v>1195</v>
      </c>
      <c r="E15" s="39">
        <v>172</v>
      </c>
      <c r="F15" s="39">
        <v>207</v>
      </c>
      <c r="G15" s="39">
        <v>285</v>
      </c>
      <c r="H15" s="39">
        <v>5955</v>
      </c>
      <c r="I15" s="39">
        <v>0</v>
      </c>
      <c r="J15" s="41"/>
      <c r="K15" s="38">
        <v>10</v>
      </c>
      <c r="L15" s="58">
        <v>5</v>
      </c>
      <c r="M15" s="58">
        <v>8</v>
      </c>
      <c r="N15" s="58">
        <v>5</v>
      </c>
      <c r="O15" s="39">
        <v>18</v>
      </c>
      <c r="P15" s="50">
        <v>6135</v>
      </c>
      <c r="Q15" s="36"/>
      <c r="R15" s="36"/>
      <c r="S15" s="36"/>
    </row>
    <row r="16" spans="1:19" ht="15.6" thickTop="1" thickBot="1" x14ac:dyDescent="0.35">
      <c r="A16" s="38">
        <v>11</v>
      </c>
      <c r="B16" s="39">
        <v>4217</v>
      </c>
      <c r="C16" s="39">
        <v>2</v>
      </c>
      <c r="D16" s="39">
        <v>1037</v>
      </c>
      <c r="E16" s="39">
        <v>157</v>
      </c>
      <c r="F16" s="39">
        <v>249</v>
      </c>
      <c r="G16" s="39">
        <v>258</v>
      </c>
      <c r="H16" s="39">
        <v>5920</v>
      </c>
      <c r="I16" s="39">
        <v>0</v>
      </c>
      <c r="J16" s="41"/>
      <c r="K16" s="38">
        <v>11</v>
      </c>
      <c r="L16" s="58">
        <v>2</v>
      </c>
      <c r="M16" s="58">
        <v>8</v>
      </c>
      <c r="N16" s="58">
        <v>1</v>
      </c>
      <c r="O16" s="39">
        <v>11</v>
      </c>
      <c r="P16" s="50">
        <v>6135</v>
      </c>
      <c r="Q16" s="36"/>
      <c r="R16" s="36"/>
      <c r="S16" s="36"/>
    </row>
    <row r="17" spans="1:26" ht="15.6" thickTop="1" thickBot="1" x14ac:dyDescent="0.35">
      <c r="A17" s="38">
        <v>12</v>
      </c>
      <c r="B17" s="39">
        <v>5734</v>
      </c>
      <c r="C17" s="39">
        <v>3</v>
      </c>
      <c r="D17" s="39">
        <v>881</v>
      </c>
      <c r="E17" s="39">
        <v>116</v>
      </c>
      <c r="F17" s="39">
        <v>151</v>
      </c>
      <c r="G17" s="39">
        <v>227</v>
      </c>
      <c r="H17" s="39">
        <v>7112</v>
      </c>
      <c r="I17" s="39">
        <v>0</v>
      </c>
      <c r="J17" s="41"/>
      <c r="K17" s="38">
        <v>12</v>
      </c>
      <c r="L17" s="58">
        <v>2</v>
      </c>
      <c r="M17" s="58">
        <v>1</v>
      </c>
      <c r="N17" s="58">
        <v>1</v>
      </c>
      <c r="O17" s="39">
        <v>4</v>
      </c>
      <c r="P17" s="50">
        <v>6135</v>
      </c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6" thickTop="1" thickBot="1" x14ac:dyDescent="0.35">
      <c r="A18" s="38">
        <v>13</v>
      </c>
      <c r="B18" s="39">
        <v>2849</v>
      </c>
      <c r="C18" s="39">
        <v>3</v>
      </c>
      <c r="D18" s="39">
        <v>1115</v>
      </c>
      <c r="E18" s="39">
        <v>179</v>
      </c>
      <c r="F18" s="39">
        <v>238</v>
      </c>
      <c r="G18" s="39">
        <v>254</v>
      </c>
      <c r="H18" s="39">
        <v>4638</v>
      </c>
      <c r="I18" s="39">
        <v>0</v>
      </c>
      <c r="J18" s="41"/>
      <c r="K18" s="38">
        <v>13</v>
      </c>
      <c r="L18" s="58">
        <v>5</v>
      </c>
      <c r="M18" s="58">
        <v>9</v>
      </c>
      <c r="N18" s="58">
        <v>5</v>
      </c>
      <c r="O18" s="39">
        <v>19</v>
      </c>
      <c r="P18" s="50">
        <v>6135</v>
      </c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6" thickTop="1" thickBot="1" x14ac:dyDescent="0.35">
      <c r="A19" s="38">
        <v>14</v>
      </c>
      <c r="B19" s="39">
        <v>2586</v>
      </c>
      <c r="C19" s="39">
        <v>2</v>
      </c>
      <c r="D19" s="39">
        <v>1248</v>
      </c>
      <c r="E19" s="39">
        <v>169</v>
      </c>
      <c r="F19" s="39">
        <v>239</v>
      </c>
      <c r="G19" s="39">
        <v>280</v>
      </c>
      <c r="H19" s="39">
        <v>4524</v>
      </c>
      <c r="I19" s="39">
        <v>0</v>
      </c>
      <c r="J19" s="41"/>
      <c r="K19" s="38">
        <v>14</v>
      </c>
      <c r="L19" s="58">
        <v>2</v>
      </c>
      <c r="M19" s="58">
        <v>14</v>
      </c>
      <c r="N19" s="58">
        <v>3</v>
      </c>
      <c r="O19" s="39">
        <v>19</v>
      </c>
      <c r="P19" s="50">
        <v>6135</v>
      </c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6" thickTop="1" thickBot="1" x14ac:dyDescent="0.35">
      <c r="A20" s="38">
        <v>15</v>
      </c>
      <c r="B20" s="39">
        <v>2674</v>
      </c>
      <c r="C20" s="39">
        <v>4</v>
      </c>
      <c r="D20" s="39">
        <v>1361</v>
      </c>
      <c r="E20" s="39">
        <v>202</v>
      </c>
      <c r="F20" s="39">
        <v>260</v>
      </c>
      <c r="G20" s="39">
        <v>291</v>
      </c>
      <c r="H20" s="39">
        <v>4792</v>
      </c>
      <c r="I20" s="39">
        <v>0</v>
      </c>
      <c r="J20" s="41"/>
      <c r="K20" s="38">
        <v>15</v>
      </c>
      <c r="L20" s="58">
        <v>0</v>
      </c>
      <c r="M20" s="58">
        <v>14</v>
      </c>
      <c r="N20" s="58">
        <v>6</v>
      </c>
      <c r="O20" s="39">
        <v>20</v>
      </c>
      <c r="P20" s="50">
        <v>6135</v>
      </c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6" thickTop="1" thickBot="1" x14ac:dyDescent="0.35">
      <c r="A21" s="38">
        <v>16</v>
      </c>
      <c r="B21" s="39">
        <v>3129</v>
      </c>
      <c r="C21" s="39">
        <v>0</v>
      </c>
      <c r="D21" s="39">
        <v>1315</v>
      </c>
      <c r="E21" s="39">
        <v>177</v>
      </c>
      <c r="F21" s="39">
        <v>233</v>
      </c>
      <c r="G21" s="39">
        <v>326</v>
      </c>
      <c r="H21" s="39">
        <v>5180</v>
      </c>
      <c r="I21" s="39">
        <v>0</v>
      </c>
      <c r="J21" s="41"/>
      <c r="K21" s="38">
        <v>16</v>
      </c>
      <c r="L21" s="58">
        <v>4</v>
      </c>
      <c r="M21" s="58">
        <v>13</v>
      </c>
      <c r="N21" s="58">
        <v>5</v>
      </c>
      <c r="O21" s="39">
        <v>22</v>
      </c>
      <c r="P21" s="50">
        <v>6135</v>
      </c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6" thickTop="1" thickBot="1" x14ac:dyDescent="0.35">
      <c r="A22" s="38">
        <v>17</v>
      </c>
      <c r="B22" s="39">
        <v>6418</v>
      </c>
      <c r="C22" s="39">
        <v>2</v>
      </c>
      <c r="D22" s="39">
        <v>1368</v>
      </c>
      <c r="E22" s="39">
        <v>186</v>
      </c>
      <c r="F22" s="39">
        <v>277</v>
      </c>
      <c r="G22" s="39">
        <v>279</v>
      </c>
      <c r="H22" s="39">
        <v>8530</v>
      </c>
      <c r="I22" s="39">
        <v>0</v>
      </c>
      <c r="J22" s="41"/>
      <c r="K22" s="38">
        <v>17</v>
      </c>
      <c r="L22" s="58">
        <v>1</v>
      </c>
      <c r="M22" s="58">
        <v>20</v>
      </c>
      <c r="N22" s="58">
        <v>9</v>
      </c>
      <c r="O22" s="39">
        <v>30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8">
        <v>18</v>
      </c>
      <c r="B23" s="39">
        <v>7468</v>
      </c>
      <c r="C23" s="39">
        <v>2</v>
      </c>
      <c r="D23" s="39">
        <v>1003</v>
      </c>
      <c r="E23" s="39">
        <v>80</v>
      </c>
      <c r="F23" s="39">
        <v>154</v>
      </c>
      <c r="G23" s="39">
        <v>163</v>
      </c>
      <c r="H23" s="39">
        <v>8870</v>
      </c>
      <c r="I23" s="39">
        <v>0</v>
      </c>
      <c r="J23" s="41"/>
      <c r="K23" s="38">
        <v>18</v>
      </c>
      <c r="L23" s="58">
        <v>0</v>
      </c>
      <c r="M23" s="58">
        <v>6</v>
      </c>
      <c r="N23" s="58">
        <v>1</v>
      </c>
      <c r="O23" s="39">
        <v>7</v>
      </c>
      <c r="P23" s="50">
        <v>6135</v>
      </c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6" thickTop="1" thickBot="1" x14ac:dyDescent="0.35">
      <c r="A24" s="38">
        <v>19</v>
      </c>
      <c r="B24" s="39">
        <v>6958</v>
      </c>
      <c r="C24" s="39">
        <v>2</v>
      </c>
      <c r="D24" s="39">
        <v>946</v>
      </c>
      <c r="E24" s="39">
        <v>130</v>
      </c>
      <c r="F24" s="39">
        <v>164</v>
      </c>
      <c r="G24" s="39">
        <v>217</v>
      </c>
      <c r="H24" s="39">
        <v>8417</v>
      </c>
      <c r="I24" s="39">
        <v>0</v>
      </c>
      <c r="J24" s="41"/>
      <c r="K24" s="38">
        <v>19</v>
      </c>
      <c r="L24" s="58">
        <v>1</v>
      </c>
      <c r="M24" s="58">
        <v>6</v>
      </c>
      <c r="N24" s="58">
        <v>1</v>
      </c>
      <c r="O24" s="39">
        <v>8</v>
      </c>
      <c r="P24" s="50">
        <v>6135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6" thickTop="1" thickBot="1" x14ac:dyDescent="0.35">
      <c r="A25" s="38">
        <v>20</v>
      </c>
      <c r="B25" s="39">
        <v>10614</v>
      </c>
      <c r="C25" s="39">
        <v>2</v>
      </c>
      <c r="D25" s="39">
        <v>730</v>
      </c>
      <c r="E25" s="39">
        <v>53</v>
      </c>
      <c r="F25" s="39">
        <v>67</v>
      </c>
      <c r="G25" s="39">
        <v>72</v>
      </c>
      <c r="H25" s="39">
        <v>11538</v>
      </c>
      <c r="I25" s="39">
        <v>0</v>
      </c>
      <c r="J25" s="41"/>
      <c r="K25" s="38">
        <v>20</v>
      </c>
      <c r="L25" s="58">
        <v>0</v>
      </c>
      <c r="M25" s="58">
        <v>2</v>
      </c>
      <c r="N25" s="58">
        <v>1</v>
      </c>
      <c r="O25" s="39">
        <v>3</v>
      </c>
      <c r="P25" s="50">
        <v>6135</v>
      </c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6" thickTop="1" thickBot="1" x14ac:dyDescent="0.35">
      <c r="A26" s="38">
        <v>21</v>
      </c>
      <c r="B26" s="39">
        <v>3286</v>
      </c>
      <c r="C26" s="39">
        <v>2</v>
      </c>
      <c r="D26" s="39">
        <v>1241</v>
      </c>
      <c r="E26" s="39">
        <v>179</v>
      </c>
      <c r="F26" s="39">
        <v>254</v>
      </c>
      <c r="G26" s="39">
        <v>348</v>
      </c>
      <c r="H26" s="39">
        <v>5310</v>
      </c>
      <c r="I26" s="39">
        <v>0</v>
      </c>
      <c r="J26" s="41"/>
      <c r="K26" s="38">
        <v>21</v>
      </c>
      <c r="L26" s="58">
        <v>4</v>
      </c>
      <c r="M26" s="58">
        <v>14</v>
      </c>
      <c r="N26" s="58">
        <v>1</v>
      </c>
      <c r="O26" s="39">
        <v>19</v>
      </c>
      <c r="P26" s="50">
        <v>6135</v>
      </c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6" thickTop="1" thickBot="1" x14ac:dyDescent="0.35">
      <c r="A27" s="38">
        <v>22</v>
      </c>
      <c r="B27" s="39">
        <v>2534</v>
      </c>
      <c r="C27" s="39">
        <v>2</v>
      </c>
      <c r="D27" s="39">
        <v>1290</v>
      </c>
      <c r="E27" s="39">
        <v>191</v>
      </c>
      <c r="F27" s="39">
        <v>251</v>
      </c>
      <c r="G27" s="39">
        <v>342</v>
      </c>
      <c r="H27" s="39">
        <v>4610</v>
      </c>
      <c r="I27" s="39">
        <v>0</v>
      </c>
      <c r="J27" s="41"/>
      <c r="K27" s="38">
        <v>22</v>
      </c>
      <c r="L27" s="58">
        <v>1</v>
      </c>
      <c r="M27" s="58">
        <v>6</v>
      </c>
      <c r="N27" s="58">
        <v>3</v>
      </c>
      <c r="O27" s="39">
        <v>10</v>
      </c>
      <c r="P27" s="50">
        <v>6135</v>
      </c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6" thickTop="1" thickBot="1" x14ac:dyDescent="0.35">
      <c r="A28" s="38">
        <v>23</v>
      </c>
      <c r="B28" s="39">
        <v>2586</v>
      </c>
      <c r="C28" s="39">
        <v>0</v>
      </c>
      <c r="D28" s="39">
        <v>1301</v>
      </c>
      <c r="E28" s="39">
        <v>171</v>
      </c>
      <c r="F28" s="39">
        <v>242</v>
      </c>
      <c r="G28" s="39">
        <v>367</v>
      </c>
      <c r="H28" s="39">
        <v>4667</v>
      </c>
      <c r="I28" s="39">
        <v>0</v>
      </c>
      <c r="J28" s="41"/>
      <c r="K28" s="38">
        <v>23</v>
      </c>
      <c r="L28" s="58">
        <v>0</v>
      </c>
      <c r="M28" s="58">
        <v>9</v>
      </c>
      <c r="N28" s="58">
        <v>8</v>
      </c>
      <c r="O28" s="39">
        <v>17</v>
      </c>
      <c r="P28" s="50">
        <v>6135</v>
      </c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6" thickTop="1" thickBot="1" x14ac:dyDescent="0.35">
      <c r="A29" s="38">
        <v>24</v>
      </c>
      <c r="B29" s="39">
        <v>3544</v>
      </c>
      <c r="C29" s="39">
        <v>2</v>
      </c>
      <c r="D29" s="39">
        <v>1251</v>
      </c>
      <c r="E29" s="39">
        <v>202</v>
      </c>
      <c r="F29" s="39">
        <v>280</v>
      </c>
      <c r="G29" s="39">
        <v>348</v>
      </c>
      <c r="H29" s="39">
        <v>5627</v>
      </c>
      <c r="I29" s="39">
        <v>0</v>
      </c>
      <c r="J29" s="41"/>
      <c r="K29" s="38">
        <v>24</v>
      </c>
      <c r="L29" s="58">
        <v>1</v>
      </c>
      <c r="M29" s="58">
        <v>11</v>
      </c>
      <c r="N29" s="58">
        <v>2</v>
      </c>
      <c r="O29" s="39">
        <v>14</v>
      </c>
      <c r="P29" s="50">
        <v>6135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6" thickTop="1" thickBot="1" x14ac:dyDescent="0.35">
      <c r="A30" s="38">
        <v>25</v>
      </c>
      <c r="B30" s="39">
        <v>3629</v>
      </c>
      <c r="C30" s="39">
        <v>2</v>
      </c>
      <c r="D30" s="39">
        <v>1144</v>
      </c>
      <c r="E30" s="39">
        <v>131</v>
      </c>
      <c r="F30" s="39">
        <v>238</v>
      </c>
      <c r="G30" s="39">
        <v>252</v>
      </c>
      <c r="H30" s="39">
        <v>5396</v>
      </c>
      <c r="I30" s="39">
        <v>0</v>
      </c>
      <c r="J30" s="41"/>
      <c r="K30" s="38">
        <v>25</v>
      </c>
      <c r="L30" s="58">
        <v>3</v>
      </c>
      <c r="M30" s="58">
        <v>12</v>
      </c>
      <c r="N30" s="58">
        <v>0</v>
      </c>
      <c r="O30" s="39">
        <v>15</v>
      </c>
      <c r="P30" s="50">
        <v>6135</v>
      </c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6" thickTop="1" thickBot="1" x14ac:dyDescent="0.35">
      <c r="A31" s="38">
        <v>26</v>
      </c>
      <c r="B31" s="39">
        <v>4896</v>
      </c>
      <c r="C31" s="39">
        <v>4</v>
      </c>
      <c r="D31" s="39">
        <v>885</v>
      </c>
      <c r="E31" s="39">
        <v>102</v>
      </c>
      <c r="F31" s="39">
        <v>157</v>
      </c>
      <c r="G31" s="39">
        <v>205</v>
      </c>
      <c r="H31" s="39">
        <v>6249</v>
      </c>
      <c r="I31" s="39">
        <v>0</v>
      </c>
      <c r="J31" s="41"/>
      <c r="K31" s="38">
        <v>26</v>
      </c>
      <c r="L31" s="58">
        <v>0</v>
      </c>
      <c r="M31" s="58">
        <v>4</v>
      </c>
      <c r="N31" s="58">
        <v>1</v>
      </c>
      <c r="O31" s="39">
        <v>5</v>
      </c>
      <c r="P31" s="50">
        <v>6135</v>
      </c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6" thickTop="1" thickBot="1" x14ac:dyDescent="0.35">
      <c r="A32" s="38">
        <v>27</v>
      </c>
      <c r="B32" s="39">
        <v>2413</v>
      </c>
      <c r="C32" s="39">
        <v>4</v>
      </c>
      <c r="D32" s="39">
        <v>1071</v>
      </c>
      <c r="E32" s="39">
        <v>182</v>
      </c>
      <c r="F32" s="39">
        <v>250</v>
      </c>
      <c r="G32" s="39">
        <v>256</v>
      </c>
      <c r="H32" s="39">
        <v>4176</v>
      </c>
      <c r="I32" s="39">
        <v>0</v>
      </c>
      <c r="J32" s="41"/>
      <c r="K32" s="38">
        <v>27</v>
      </c>
      <c r="L32" s="58">
        <v>0</v>
      </c>
      <c r="M32" s="58">
        <v>13</v>
      </c>
      <c r="N32" s="58">
        <v>2</v>
      </c>
      <c r="O32" s="39">
        <v>15</v>
      </c>
      <c r="P32" s="50">
        <v>6135</v>
      </c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16" ht="15.6" thickTop="1" thickBot="1" x14ac:dyDescent="0.35">
      <c r="A33" s="38">
        <v>28</v>
      </c>
      <c r="B33" s="39">
        <v>2326</v>
      </c>
      <c r="C33" s="39">
        <v>4</v>
      </c>
      <c r="D33" s="39">
        <v>1238</v>
      </c>
      <c r="E33" s="39">
        <v>196</v>
      </c>
      <c r="F33" s="39">
        <v>245</v>
      </c>
      <c r="G33" s="39">
        <v>302</v>
      </c>
      <c r="H33" s="39">
        <v>4311</v>
      </c>
      <c r="I33" s="39">
        <v>0</v>
      </c>
      <c r="J33" s="41"/>
      <c r="K33" s="38">
        <v>28</v>
      </c>
      <c r="L33" s="58">
        <v>2</v>
      </c>
      <c r="M33" s="58">
        <v>17</v>
      </c>
      <c r="N33" s="58">
        <v>4</v>
      </c>
      <c r="O33" s="39">
        <v>23</v>
      </c>
      <c r="P33" s="50">
        <v>6135</v>
      </c>
    </row>
    <row r="34" spans="1:16" ht="15.6" thickTop="1" thickBot="1" x14ac:dyDescent="0.35">
      <c r="A34" s="38">
        <v>29</v>
      </c>
      <c r="B34" s="39">
        <v>2499</v>
      </c>
      <c r="C34" s="39">
        <v>2</v>
      </c>
      <c r="D34" s="39">
        <v>1310</v>
      </c>
      <c r="E34" s="39">
        <v>222</v>
      </c>
      <c r="F34" s="39">
        <v>252</v>
      </c>
      <c r="G34" s="39">
        <v>358</v>
      </c>
      <c r="H34" s="39">
        <v>4643</v>
      </c>
      <c r="I34" s="39">
        <v>0</v>
      </c>
      <c r="J34" s="41"/>
      <c r="K34" s="38">
        <v>29</v>
      </c>
      <c r="L34" s="39">
        <v>1</v>
      </c>
      <c r="M34" s="39">
        <v>14</v>
      </c>
      <c r="N34" s="39">
        <v>5</v>
      </c>
      <c r="O34" s="39">
        <v>20</v>
      </c>
      <c r="P34" s="50">
        <v>6135</v>
      </c>
    </row>
    <row r="35" spans="1:16" ht="15.6" thickTop="1" thickBot="1" x14ac:dyDescent="0.35">
      <c r="A35" s="38">
        <v>30</v>
      </c>
      <c r="B35" s="39">
        <v>2693</v>
      </c>
      <c r="C35" s="39">
        <v>2</v>
      </c>
      <c r="D35" s="39">
        <v>1302</v>
      </c>
      <c r="E35" s="39">
        <v>211</v>
      </c>
      <c r="F35" s="39">
        <v>259</v>
      </c>
      <c r="G35" s="39">
        <v>339</v>
      </c>
      <c r="H35" s="39">
        <v>4806</v>
      </c>
      <c r="I35" s="39">
        <v>0</v>
      </c>
      <c r="J35" s="41"/>
      <c r="K35" s="38">
        <v>30</v>
      </c>
      <c r="L35" s="39">
        <v>1</v>
      </c>
      <c r="M35" s="39">
        <v>10</v>
      </c>
      <c r="N35" s="39">
        <v>7</v>
      </c>
      <c r="O35" s="39">
        <v>18</v>
      </c>
      <c r="P35" s="50">
        <v>6135</v>
      </c>
    </row>
    <row r="36" spans="1:16" ht="15.6" thickTop="1" thickBot="1" x14ac:dyDescent="0.35">
      <c r="A36" s="38">
        <v>31</v>
      </c>
      <c r="B36" s="39">
        <v>3746</v>
      </c>
      <c r="C36" s="39">
        <v>2</v>
      </c>
      <c r="D36" s="39">
        <v>1261</v>
      </c>
      <c r="E36" s="39">
        <v>165</v>
      </c>
      <c r="F36" s="39">
        <v>228</v>
      </c>
      <c r="G36" s="39">
        <v>282</v>
      </c>
      <c r="H36" s="39">
        <v>5684</v>
      </c>
      <c r="I36" s="39">
        <v>0</v>
      </c>
      <c r="J36" s="41"/>
      <c r="K36" s="38">
        <v>31</v>
      </c>
      <c r="L36" s="39">
        <v>0</v>
      </c>
      <c r="M36" s="39">
        <v>8</v>
      </c>
      <c r="N36" s="39">
        <v>2</v>
      </c>
      <c r="O36" s="39">
        <v>10</v>
      </c>
      <c r="P36" s="50">
        <v>6135</v>
      </c>
    </row>
    <row r="37" spans="1:16" ht="15" thickTop="1" x14ac:dyDescent="0.3">
      <c r="A37" s="4" t="s">
        <v>19</v>
      </c>
      <c r="B37" s="3">
        <v>127350</v>
      </c>
      <c r="C37" s="3">
        <v>59</v>
      </c>
      <c r="D37" s="3">
        <v>36426</v>
      </c>
      <c r="E37" s="3">
        <v>5054</v>
      </c>
      <c r="F37" s="3">
        <v>6800</v>
      </c>
      <c r="G37" s="3">
        <v>8492</v>
      </c>
      <c r="H37" s="3">
        <v>184181</v>
      </c>
      <c r="I37" s="3">
        <v>0</v>
      </c>
      <c r="J37" s="3"/>
      <c r="K37" s="3" t="s">
        <v>29</v>
      </c>
      <c r="L37" s="3">
        <v>43</v>
      </c>
      <c r="M37" s="3">
        <v>285</v>
      </c>
      <c r="N37" s="3">
        <v>95</v>
      </c>
      <c r="O37" s="5">
        <f>SUM(O6:O36)</f>
        <v>423</v>
      </c>
      <c r="P37" s="36"/>
    </row>
    <row r="38" spans="1:16" x14ac:dyDescent="0.3">
      <c r="A38" s="4" t="s">
        <v>19</v>
      </c>
      <c r="B38" s="70">
        <v>127409</v>
      </c>
      <c r="C38" s="70"/>
      <c r="D38" s="3">
        <v>36426</v>
      </c>
      <c r="E38" s="3">
        <v>5054</v>
      </c>
      <c r="F38" s="3">
        <v>6800</v>
      </c>
      <c r="G38" s="3">
        <v>8492</v>
      </c>
      <c r="H38" s="5">
        <v>184181</v>
      </c>
      <c r="I38" s="3">
        <v>0</v>
      </c>
      <c r="J38" s="42"/>
      <c r="K38" s="4"/>
      <c r="L38" s="35" t="s">
        <v>20</v>
      </c>
      <c r="M38" s="35" t="s">
        <v>21</v>
      </c>
      <c r="N38" s="35" t="s">
        <v>20</v>
      </c>
      <c r="O38" s="35" t="s">
        <v>21</v>
      </c>
      <c r="P38" s="36"/>
    </row>
    <row r="39" spans="1:16" x14ac:dyDescent="0.3">
      <c r="A39" s="43" t="s">
        <v>22</v>
      </c>
      <c r="B39" s="45"/>
      <c r="C39" s="45"/>
      <c r="D39" s="45"/>
      <c r="E39" s="45"/>
      <c r="F39" s="45"/>
      <c r="G39" s="45"/>
      <c r="H39" s="45"/>
      <c r="I39" s="36"/>
      <c r="J39" s="36"/>
      <c r="K39" s="36"/>
      <c r="L39" s="48"/>
      <c r="M39" s="36"/>
      <c r="N39" s="36"/>
      <c r="O39" s="36"/>
      <c r="P39" s="36"/>
    </row>
    <row r="40" spans="1:16" x14ac:dyDescent="0.3">
      <c r="A40" s="54"/>
      <c r="B40" s="55"/>
      <c r="C40" s="55"/>
      <c r="D40" s="55"/>
      <c r="E40" s="55"/>
      <c r="F40" s="55"/>
      <c r="G40" s="55"/>
      <c r="H40" s="55"/>
      <c r="I40" s="55"/>
      <c r="J40" s="48"/>
      <c r="K40" s="57"/>
      <c r="L40" s="56"/>
      <c r="M40" s="36"/>
      <c r="N40" s="36"/>
      <c r="O40" s="36"/>
      <c r="P40" s="36"/>
    </row>
    <row r="41" spans="1:16" x14ac:dyDescent="0.3">
      <c r="A41" s="44"/>
      <c r="B41" s="36"/>
      <c r="C41" s="36"/>
      <c r="D41" s="36"/>
      <c r="E41" s="36"/>
      <c r="F41" s="36"/>
      <c r="G41" s="36"/>
      <c r="H41" s="44"/>
      <c r="I41" s="36"/>
      <c r="J41" s="36"/>
      <c r="K41" s="57"/>
      <c r="L41" s="56"/>
      <c r="M41" s="36"/>
      <c r="N41" s="36"/>
      <c r="O41" s="36"/>
      <c r="P41" s="36"/>
    </row>
    <row r="42" spans="1:16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57"/>
      <c r="L42" s="56"/>
      <c r="M42" s="36"/>
      <c r="N42" s="36"/>
      <c r="O42" s="36"/>
      <c r="P42" s="36"/>
    </row>
    <row r="43" spans="1:16" x14ac:dyDescent="0.3">
      <c r="A43" s="36"/>
      <c r="B43" s="36"/>
      <c r="C43" s="36"/>
      <c r="D43" s="36"/>
      <c r="E43" s="36"/>
      <c r="F43" s="36"/>
      <c r="G43" s="36"/>
      <c r="H43" s="36"/>
      <c r="I43" s="44"/>
      <c r="J43" s="44"/>
      <c r="K43" s="36"/>
      <c r="L43" s="36"/>
      <c r="M43" s="36"/>
      <c r="N43" s="36"/>
      <c r="O43" s="36"/>
      <c r="P43" s="36"/>
    </row>
    <row r="45" spans="1:16" x14ac:dyDescent="0.3">
      <c r="A45" s="53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</row>
    <row r="46" spans="1:16" x14ac:dyDescent="0.3">
      <c r="A46" s="53"/>
      <c r="B46" s="44"/>
      <c r="C46" s="44"/>
      <c r="D46" s="44"/>
      <c r="E46" s="44"/>
      <c r="F46" s="44"/>
      <c r="G46" s="44"/>
      <c r="H46" s="44"/>
      <c r="I46" s="44"/>
      <c r="J46" s="44"/>
      <c r="K46" s="49"/>
      <c r="L46" s="44"/>
      <c r="M46" s="44"/>
      <c r="N46" s="44"/>
      <c r="O46" s="44"/>
      <c r="P46" s="36"/>
    </row>
  </sheetData>
  <mergeCells count="13">
    <mergeCell ref="A4:A5"/>
    <mergeCell ref="A1:O1"/>
    <mergeCell ref="A2:O2"/>
    <mergeCell ref="A3:O3"/>
    <mergeCell ref="O4:O5"/>
    <mergeCell ref="L4:L5"/>
    <mergeCell ref="M4:M5"/>
    <mergeCell ref="N4:N5"/>
    <mergeCell ref="B38:C38"/>
    <mergeCell ref="B4:C4"/>
    <mergeCell ref="H4:H5"/>
    <mergeCell ref="K4:K5"/>
    <mergeCell ref="I4:I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96179-9515-447E-865B-AC4FC2E6A6E4}">
  <dimension ref="A1:Z46"/>
  <sheetViews>
    <sheetView workbookViewId="0">
      <selection activeCell="R11" sqref="R11"/>
    </sheetView>
  </sheetViews>
  <sheetFormatPr baseColWidth="10" defaultColWidth="11.44140625" defaultRowHeight="13.8" x14ac:dyDescent="0.3"/>
  <cols>
    <col min="1" max="9" width="11.44140625" style="21"/>
    <col min="10" max="10" width="4.6640625" style="21" customWidth="1"/>
    <col min="11" max="11" width="11.44140625" style="29"/>
    <col min="12" max="15" width="11.44140625" style="21"/>
    <col min="16" max="16" width="0" style="21" hidden="1" customWidth="1"/>
    <col min="17" max="16384" width="11.44140625" style="21"/>
  </cols>
  <sheetData>
    <row r="1" spans="1:19" s="24" customFormat="1" ht="15.6" x14ac:dyDescent="0.3">
      <c r="A1" s="64" t="s">
        <v>23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9" s="24" customFormat="1" ht="15.6" x14ac:dyDescent="0.3">
      <c r="A2" s="64" t="s">
        <v>24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9" s="24" customFormat="1" ht="15.6" x14ac:dyDescent="0.3">
      <c r="A3" s="65" t="s">
        <v>32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9" ht="78" customHeight="1" x14ac:dyDescent="0.3">
      <c r="A4" s="62" t="s">
        <v>1</v>
      </c>
      <c r="B4" s="60" t="s">
        <v>2</v>
      </c>
      <c r="C4" s="60"/>
      <c r="D4" s="23" t="s">
        <v>3</v>
      </c>
      <c r="E4" s="23" t="s">
        <v>4</v>
      </c>
      <c r="F4" s="23" t="s">
        <v>5</v>
      </c>
      <c r="G4" s="23" t="s">
        <v>6</v>
      </c>
      <c r="H4" s="60" t="s">
        <v>7</v>
      </c>
      <c r="I4" s="60" t="s">
        <v>8</v>
      </c>
      <c r="J4" s="22"/>
      <c r="K4" s="61" t="s">
        <v>1</v>
      </c>
      <c r="L4" s="60" t="s">
        <v>9</v>
      </c>
      <c r="M4" s="60" t="s">
        <v>10</v>
      </c>
      <c r="N4" s="60" t="s">
        <v>11</v>
      </c>
      <c r="O4" s="60" t="s">
        <v>12</v>
      </c>
    </row>
    <row r="5" spans="1:19" ht="18" customHeight="1" x14ac:dyDescent="0.3">
      <c r="A5" s="63"/>
      <c r="B5" s="20" t="s">
        <v>13</v>
      </c>
      <c r="C5" s="20" t="s">
        <v>14</v>
      </c>
      <c r="D5" s="20" t="s">
        <v>15</v>
      </c>
      <c r="E5" s="20" t="s">
        <v>16</v>
      </c>
      <c r="F5" s="20" t="s">
        <v>17</v>
      </c>
      <c r="G5" s="20" t="s">
        <v>18</v>
      </c>
      <c r="H5" s="60"/>
      <c r="I5" s="60"/>
      <c r="J5" s="22"/>
      <c r="K5" s="61"/>
      <c r="L5" s="60"/>
      <c r="M5" s="60"/>
      <c r="N5" s="60"/>
      <c r="O5" s="60"/>
    </row>
    <row r="6" spans="1:19" ht="18" customHeight="1" thickBot="1" x14ac:dyDescent="0.35">
      <c r="A6" s="19">
        <v>1</v>
      </c>
      <c r="B6" s="33">
        <f>3398+9+338</f>
        <v>3745</v>
      </c>
      <c r="C6" s="33">
        <v>2</v>
      </c>
      <c r="D6" s="33">
        <f>757+327+2</f>
        <v>1086</v>
      </c>
      <c r="E6" s="33">
        <v>140</v>
      </c>
      <c r="F6" s="33">
        <v>191</v>
      </c>
      <c r="G6" s="33">
        <v>221</v>
      </c>
      <c r="H6" s="33">
        <f>SUM(B6:G6)</f>
        <v>5385</v>
      </c>
      <c r="I6" s="33">
        <v>0</v>
      </c>
      <c r="J6" s="18"/>
      <c r="K6" s="19">
        <v>1</v>
      </c>
      <c r="L6" s="25">
        <v>1</v>
      </c>
      <c r="M6" s="25">
        <v>10</v>
      </c>
      <c r="N6" s="25">
        <v>5</v>
      </c>
      <c r="O6" s="33">
        <f>SUM(L6:N6)</f>
        <v>16</v>
      </c>
      <c r="P6" s="6">
        <v>6135</v>
      </c>
    </row>
    <row r="7" spans="1:19" ht="18" customHeight="1" thickTop="1" thickBot="1" x14ac:dyDescent="0.35">
      <c r="A7" s="19">
        <v>2</v>
      </c>
      <c r="B7" s="33">
        <f>4862+10+278</f>
        <v>5150</v>
      </c>
      <c r="C7" s="33">
        <v>2</v>
      </c>
      <c r="D7" s="33">
        <f>551+306</f>
        <v>857</v>
      </c>
      <c r="E7" s="33">
        <v>100</v>
      </c>
      <c r="F7" s="33">
        <v>168</v>
      </c>
      <c r="G7" s="33">
        <v>198</v>
      </c>
      <c r="H7" s="33">
        <f>SUM(B7:G7)</f>
        <v>6475</v>
      </c>
      <c r="I7" s="33">
        <v>0</v>
      </c>
      <c r="J7" s="18"/>
      <c r="K7" s="19">
        <v>2</v>
      </c>
      <c r="L7" s="25">
        <v>1</v>
      </c>
      <c r="M7" s="25">
        <v>5</v>
      </c>
      <c r="N7" s="25">
        <v>1</v>
      </c>
      <c r="O7" s="33">
        <f t="shared" ref="O7:O33" si="0">SUM(L7:N7)</f>
        <v>7</v>
      </c>
      <c r="P7" s="6">
        <f>+P6</f>
        <v>6135</v>
      </c>
    </row>
    <row r="8" spans="1:19" ht="18" customHeight="1" thickTop="1" thickBot="1" x14ac:dyDescent="0.35">
      <c r="A8" s="19">
        <v>3</v>
      </c>
      <c r="B8" s="33">
        <f>2195+16+331</f>
        <v>2542</v>
      </c>
      <c r="C8" s="33">
        <v>4</v>
      </c>
      <c r="D8" s="33">
        <f>857+239+8</f>
        <v>1104</v>
      </c>
      <c r="E8" s="33">
        <f>171+21</f>
        <v>192</v>
      </c>
      <c r="F8" s="33">
        <v>241</v>
      </c>
      <c r="G8" s="33">
        <v>257</v>
      </c>
      <c r="H8" s="33">
        <f t="shared" ref="H8:H36" si="1">SUM(B8:G8)</f>
        <v>4340</v>
      </c>
      <c r="I8" s="33">
        <v>0</v>
      </c>
      <c r="J8" s="18"/>
      <c r="K8" s="19">
        <v>3</v>
      </c>
      <c r="L8" s="25">
        <v>0</v>
      </c>
      <c r="M8" s="25">
        <v>13</v>
      </c>
      <c r="N8" s="25">
        <v>0</v>
      </c>
      <c r="O8" s="33">
        <f t="shared" si="0"/>
        <v>13</v>
      </c>
      <c r="P8" s="6">
        <f t="shared" ref="P8:P36" si="2">+P7</f>
        <v>6135</v>
      </c>
      <c r="S8" s="32"/>
    </row>
    <row r="9" spans="1:19" ht="18" customHeight="1" thickTop="1" thickBot="1" x14ac:dyDescent="0.35">
      <c r="A9" s="19">
        <v>4</v>
      </c>
      <c r="B9" s="33">
        <f>2303+21+395</f>
        <v>2719</v>
      </c>
      <c r="C9" s="33">
        <v>2</v>
      </c>
      <c r="D9" s="33">
        <f>1105+232+7</f>
        <v>1344</v>
      </c>
      <c r="E9" s="33">
        <f>145+23</f>
        <v>168</v>
      </c>
      <c r="F9" s="33">
        <v>260</v>
      </c>
      <c r="G9" s="33">
        <v>294</v>
      </c>
      <c r="H9" s="33">
        <f t="shared" si="1"/>
        <v>4787</v>
      </c>
      <c r="I9" s="33">
        <v>0</v>
      </c>
      <c r="J9" s="18"/>
      <c r="K9" s="19">
        <v>4</v>
      </c>
      <c r="L9" s="25">
        <v>2</v>
      </c>
      <c r="M9" s="25">
        <v>16</v>
      </c>
      <c r="N9" s="25">
        <v>1</v>
      </c>
      <c r="O9" s="33">
        <f t="shared" si="0"/>
        <v>19</v>
      </c>
      <c r="P9" s="6">
        <f t="shared" si="2"/>
        <v>6135</v>
      </c>
    </row>
    <row r="10" spans="1:19" ht="18" customHeight="1" thickTop="1" thickBot="1" x14ac:dyDescent="0.35">
      <c r="A10" s="19">
        <v>5</v>
      </c>
      <c r="B10" s="33">
        <f>2812+14+417</f>
        <v>3243</v>
      </c>
      <c r="C10" s="33">
        <v>2</v>
      </c>
      <c r="D10" s="33">
        <f>1094+250+11</f>
        <v>1355</v>
      </c>
      <c r="E10" s="33">
        <v>172</v>
      </c>
      <c r="F10" s="33">
        <v>246</v>
      </c>
      <c r="G10" s="33">
        <v>286</v>
      </c>
      <c r="H10" s="33">
        <f t="shared" si="1"/>
        <v>5304</v>
      </c>
      <c r="I10" s="33">
        <v>0</v>
      </c>
      <c r="J10" s="18"/>
      <c r="K10" s="19">
        <v>5</v>
      </c>
      <c r="L10" s="25">
        <v>1</v>
      </c>
      <c r="M10" s="25">
        <v>18</v>
      </c>
      <c r="N10" s="25">
        <v>3</v>
      </c>
      <c r="O10" s="33">
        <f t="shared" si="0"/>
        <v>22</v>
      </c>
      <c r="P10" s="6">
        <f t="shared" si="2"/>
        <v>6135</v>
      </c>
    </row>
    <row r="11" spans="1:19" ht="18" customHeight="1" thickTop="1" thickBot="1" x14ac:dyDescent="0.35">
      <c r="A11" s="19">
        <v>6</v>
      </c>
      <c r="B11" s="33">
        <f>7237+25+527</f>
        <v>7789</v>
      </c>
      <c r="C11" s="33">
        <v>0</v>
      </c>
      <c r="D11" s="33">
        <f>962+307+6</f>
        <v>1275</v>
      </c>
      <c r="E11" s="33">
        <v>159</v>
      </c>
      <c r="F11" s="33">
        <v>273</v>
      </c>
      <c r="G11" s="33">
        <v>280</v>
      </c>
      <c r="H11" s="33">
        <f t="shared" si="1"/>
        <v>9776</v>
      </c>
      <c r="I11" s="33">
        <v>0</v>
      </c>
      <c r="J11" s="18"/>
      <c r="K11" s="19">
        <v>6</v>
      </c>
      <c r="L11" s="25">
        <v>3</v>
      </c>
      <c r="M11" s="25">
        <v>14</v>
      </c>
      <c r="N11" s="25">
        <v>4</v>
      </c>
      <c r="O11" s="33">
        <f t="shared" si="0"/>
        <v>21</v>
      </c>
      <c r="P11" s="6">
        <f t="shared" si="2"/>
        <v>6135</v>
      </c>
    </row>
    <row r="12" spans="1:19" ht="18" customHeight="1" thickTop="1" thickBot="1" x14ac:dyDescent="0.35">
      <c r="A12" s="19">
        <v>7</v>
      </c>
      <c r="B12" s="33">
        <f>6895+2+386</f>
        <v>7283</v>
      </c>
      <c r="C12" s="33">
        <v>0</v>
      </c>
      <c r="D12" s="33">
        <f>586+372+3</f>
        <v>961</v>
      </c>
      <c r="E12" s="33">
        <v>62</v>
      </c>
      <c r="F12" s="33">
        <v>135</v>
      </c>
      <c r="G12" s="33">
        <v>128</v>
      </c>
      <c r="H12" s="33">
        <f t="shared" si="1"/>
        <v>8569</v>
      </c>
      <c r="I12" s="33">
        <v>0</v>
      </c>
      <c r="J12" s="17"/>
      <c r="K12" s="19">
        <v>7</v>
      </c>
      <c r="L12" s="25">
        <v>0</v>
      </c>
      <c r="M12" s="25">
        <v>0</v>
      </c>
      <c r="N12" s="25">
        <v>0</v>
      </c>
      <c r="O12" s="33">
        <f t="shared" si="0"/>
        <v>0</v>
      </c>
      <c r="P12" s="6">
        <f t="shared" si="2"/>
        <v>6135</v>
      </c>
    </row>
    <row r="13" spans="1:19" ht="18" customHeight="1" thickTop="1" thickBot="1" x14ac:dyDescent="0.35">
      <c r="A13" s="19">
        <v>8</v>
      </c>
      <c r="B13" s="33">
        <f>4064+9+297</f>
        <v>4370</v>
      </c>
      <c r="C13" s="33">
        <v>2</v>
      </c>
      <c r="D13" s="33">
        <f>613+312+1</f>
        <v>926</v>
      </c>
      <c r="E13" s="33">
        <v>132</v>
      </c>
      <c r="F13" s="33">
        <v>229</v>
      </c>
      <c r="G13" s="33">
        <v>263</v>
      </c>
      <c r="H13" s="33">
        <f t="shared" si="1"/>
        <v>5922</v>
      </c>
      <c r="I13" s="33">
        <v>0</v>
      </c>
      <c r="J13" s="17"/>
      <c r="K13" s="19">
        <v>8</v>
      </c>
      <c r="L13" s="25">
        <v>2</v>
      </c>
      <c r="M13" s="25">
        <v>4</v>
      </c>
      <c r="N13" s="25">
        <v>1</v>
      </c>
      <c r="O13" s="33">
        <f t="shared" si="0"/>
        <v>7</v>
      </c>
      <c r="P13" s="6">
        <f t="shared" si="2"/>
        <v>6135</v>
      </c>
    </row>
    <row r="14" spans="1:19" s="15" customFormat="1" ht="18" customHeight="1" thickTop="1" thickBot="1" x14ac:dyDescent="0.35">
      <c r="A14" s="19">
        <v>9</v>
      </c>
      <c r="B14" s="33">
        <f>10549+3+382</f>
        <v>10934</v>
      </c>
      <c r="C14" s="33">
        <v>3</v>
      </c>
      <c r="D14" s="33">
        <f>417+417+2</f>
        <v>836</v>
      </c>
      <c r="E14" s="33">
        <v>58</v>
      </c>
      <c r="F14" s="33">
        <v>80</v>
      </c>
      <c r="G14" s="33">
        <v>75</v>
      </c>
      <c r="H14" s="33">
        <f t="shared" si="1"/>
        <v>11986</v>
      </c>
      <c r="I14" s="33">
        <v>0</v>
      </c>
      <c r="J14" s="17"/>
      <c r="K14" s="19">
        <v>9</v>
      </c>
      <c r="L14" s="25">
        <v>0</v>
      </c>
      <c r="M14" s="25">
        <v>8</v>
      </c>
      <c r="N14" s="25">
        <v>1</v>
      </c>
      <c r="O14" s="33">
        <f t="shared" si="0"/>
        <v>9</v>
      </c>
      <c r="P14" s="16">
        <f t="shared" si="2"/>
        <v>6135</v>
      </c>
    </row>
    <row r="15" spans="1:19" ht="18" customHeight="1" thickTop="1" thickBot="1" x14ac:dyDescent="0.35">
      <c r="A15" s="19">
        <v>10</v>
      </c>
      <c r="B15" s="33">
        <f>3176+24+395</f>
        <v>3595</v>
      </c>
      <c r="C15" s="33">
        <v>2</v>
      </c>
      <c r="D15" s="33">
        <f>999+263+5</f>
        <v>1267</v>
      </c>
      <c r="E15" s="33">
        <v>158</v>
      </c>
      <c r="F15" s="33">
        <v>283</v>
      </c>
      <c r="G15" s="33">
        <v>274</v>
      </c>
      <c r="H15" s="33">
        <f t="shared" si="1"/>
        <v>5579</v>
      </c>
      <c r="I15" s="33">
        <v>0</v>
      </c>
      <c r="J15" s="17"/>
      <c r="K15" s="19">
        <v>10</v>
      </c>
      <c r="L15" s="25">
        <v>0</v>
      </c>
      <c r="M15" s="25">
        <v>8</v>
      </c>
      <c r="N15" s="25">
        <v>0</v>
      </c>
      <c r="O15" s="33">
        <f t="shared" si="0"/>
        <v>8</v>
      </c>
      <c r="P15" s="6">
        <f t="shared" si="2"/>
        <v>6135</v>
      </c>
    </row>
    <row r="16" spans="1:19" ht="18" customHeight="1" thickTop="1" thickBot="1" x14ac:dyDescent="0.35">
      <c r="A16" s="19">
        <v>11</v>
      </c>
      <c r="B16" s="33">
        <f>2146+23+381</f>
        <v>2550</v>
      </c>
      <c r="C16" s="33">
        <v>2</v>
      </c>
      <c r="D16" s="33">
        <f>1098+229+15</f>
        <v>1342</v>
      </c>
      <c r="E16" s="33">
        <v>215</v>
      </c>
      <c r="F16" s="33">
        <v>308</v>
      </c>
      <c r="G16" s="33">
        <v>351</v>
      </c>
      <c r="H16" s="33">
        <f t="shared" si="1"/>
        <v>4768</v>
      </c>
      <c r="I16" s="33">
        <v>0</v>
      </c>
      <c r="J16" s="17"/>
      <c r="K16" s="19">
        <v>11</v>
      </c>
      <c r="L16" s="25">
        <v>0</v>
      </c>
      <c r="M16" s="25">
        <v>8</v>
      </c>
      <c r="N16" s="25">
        <v>4</v>
      </c>
      <c r="O16" s="33">
        <f t="shared" si="0"/>
        <v>12</v>
      </c>
      <c r="P16" s="6">
        <f t="shared" si="2"/>
        <v>6135</v>
      </c>
    </row>
    <row r="17" spans="1:26" ht="18" customHeight="1" thickTop="1" thickBot="1" x14ac:dyDescent="0.35">
      <c r="A17" s="19">
        <v>12</v>
      </c>
      <c r="B17" s="33">
        <f>2218+22+380</f>
        <v>2620</v>
      </c>
      <c r="C17" s="33">
        <v>0</v>
      </c>
      <c r="D17" s="33">
        <f>1198+217+23</f>
        <v>1438</v>
      </c>
      <c r="E17" s="33">
        <f>182+17</f>
        <v>199</v>
      </c>
      <c r="F17" s="33">
        <v>265</v>
      </c>
      <c r="G17" s="33">
        <v>305</v>
      </c>
      <c r="H17" s="33">
        <f t="shared" si="1"/>
        <v>4827</v>
      </c>
      <c r="I17" s="33">
        <v>0</v>
      </c>
      <c r="J17" s="17"/>
      <c r="K17" s="19">
        <v>12</v>
      </c>
      <c r="L17" s="25">
        <v>0</v>
      </c>
      <c r="M17" s="25">
        <v>14</v>
      </c>
      <c r="N17" s="25">
        <v>9</v>
      </c>
      <c r="O17" s="33">
        <f t="shared" si="0"/>
        <v>23</v>
      </c>
      <c r="P17" s="6">
        <f t="shared" si="2"/>
        <v>6135</v>
      </c>
    </row>
    <row r="18" spans="1:26" ht="18" customHeight="1" thickTop="1" thickBot="1" x14ac:dyDescent="0.35">
      <c r="A18" s="19">
        <v>13</v>
      </c>
      <c r="B18" s="33">
        <f>2622+12+466</f>
        <v>3100</v>
      </c>
      <c r="C18" s="33">
        <v>2</v>
      </c>
      <c r="D18" s="33">
        <f>1212+252+5</f>
        <v>1469</v>
      </c>
      <c r="E18" s="33">
        <f>207+29</f>
        <v>236</v>
      </c>
      <c r="F18" s="33">
        <v>268</v>
      </c>
      <c r="G18" s="33">
        <v>354</v>
      </c>
      <c r="H18" s="33">
        <f t="shared" si="1"/>
        <v>5429</v>
      </c>
      <c r="I18" s="33">
        <v>0</v>
      </c>
      <c r="J18" s="17"/>
      <c r="K18" s="19">
        <v>13</v>
      </c>
      <c r="L18" s="25">
        <v>1</v>
      </c>
      <c r="M18" s="25">
        <v>14</v>
      </c>
      <c r="N18" s="25">
        <v>5</v>
      </c>
      <c r="O18" s="33">
        <f t="shared" si="0"/>
        <v>20</v>
      </c>
      <c r="P18" s="6">
        <f t="shared" si="2"/>
        <v>6135</v>
      </c>
    </row>
    <row r="19" spans="1:26" ht="18" customHeight="1" thickTop="1" thickBot="1" x14ac:dyDescent="0.35">
      <c r="A19" s="19">
        <v>14</v>
      </c>
      <c r="B19" s="33">
        <f>5977+18+618</f>
        <v>6613</v>
      </c>
      <c r="C19" s="33">
        <v>4</v>
      </c>
      <c r="D19" s="33">
        <f>1097+317+9</f>
        <v>1423</v>
      </c>
      <c r="E19" s="33">
        <f>184+16</f>
        <v>200</v>
      </c>
      <c r="F19" s="33">
        <v>267</v>
      </c>
      <c r="G19" s="33">
        <v>280</v>
      </c>
      <c r="H19" s="33">
        <f t="shared" si="1"/>
        <v>8787</v>
      </c>
      <c r="I19" s="33">
        <v>0</v>
      </c>
      <c r="J19" s="17"/>
      <c r="K19" s="19">
        <v>14</v>
      </c>
      <c r="L19" s="25">
        <v>1</v>
      </c>
      <c r="M19" s="25">
        <v>16</v>
      </c>
      <c r="N19" s="25">
        <v>1</v>
      </c>
      <c r="O19" s="33">
        <f t="shared" si="0"/>
        <v>18</v>
      </c>
      <c r="P19" s="6">
        <f t="shared" si="2"/>
        <v>6135</v>
      </c>
    </row>
    <row r="20" spans="1:26" ht="18" customHeight="1" thickTop="1" thickBot="1" x14ac:dyDescent="0.35">
      <c r="A20" s="19">
        <v>15</v>
      </c>
      <c r="B20" s="33">
        <f>7120+11+547</f>
        <v>7678</v>
      </c>
      <c r="C20" s="33">
        <v>8</v>
      </c>
      <c r="D20" s="33">
        <f>611+422+1</f>
        <v>1034</v>
      </c>
      <c r="E20" s="33">
        <v>79</v>
      </c>
      <c r="F20" s="33">
        <v>183</v>
      </c>
      <c r="G20" s="33">
        <v>150</v>
      </c>
      <c r="H20" s="33">
        <f t="shared" si="1"/>
        <v>9132</v>
      </c>
      <c r="I20" s="33">
        <v>0</v>
      </c>
      <c r="J20" s="17"/>
      <c r="K20" s="19">
        <v>15</v>
      </c>
      <c r="L20" s="25">
        <v>4</v>
      </c>
      <c r="M20" s="25">
        <v>10</v>
      </c>
      <c r="N20" s="25">
        <v>1</v>
      </c>
      <c r="O20" s="33">
        <f t="shared" si="0"/>
        <v>15</v>
      </c>
      <c r="P20" s="6">
        <f t="shared" si="2"/>
        <v>6135</v>
      </c>
    </row>
    <row r="21" spans="1:26" ht="18" customHeight="1" thickTop="1" thickBot="1" x14ac:dyDescent="0.35">
      <c r="A21" s="19">
        <v>16</v>
      </c>
      <c r="B21" s="33">
        <f>6260+7+458</f>
        <v>6725</v>
      </c>
      <c r="C21" s="33">
        <v>4</v>
      </c>
      <c r="D21" s="33">
        <f>673+402+2</f>
        <v>1077</v>
      </c>
      <c r="E21" s="33">
        <v>134</v>
      </c>
      <c r="F21" s="33">
        <v>219</v>
      </c>
      <c r="G21" s="33">
        <v>233</v>
      </c>
      <c r="H21" s="33">
        <f t="shared" si="1"/>
        <v>8392</v>
      </c>
      <c r="I21" s="33">
        <v>0</v>
      </c>
      <c r="J21" s="17"/>
      <c r="K21" s="19">
        <v>16</v>
      </c>
      <c r="L21" s="25">
        <v>1</v>
      </c>
      <c r="M21" s="25">
        <v>10</v>
      </c>
      <c r="N21" s="25">
        <v>0</v>
      </c>
      <c r="O21" s="33">
        <f t="shared" si="0"/>
        <v>11</v>
      </c>
      <c r="P21" s="6">
        <f>+P20</f>
        <v>6135</v>
      </c>
    </row>
    <row r="22" spans="1:26" ht="18" customHeight="1" thickTop="1" thickBot="1" x14ac:dyDescent="0.35">
      <c r="A22" s="19">
        <v>17</v>
      </c>
      <c r="B22" s="33">
        <f>11070+4+511</f>
        <v>11585</v>
      </c>
      <c r="C22" s="33">
        <v>2</v>
      </c>
      <c r="D22" s="33">
        <f>387+413</f>
        <v>800</v>
      </c>
      <c r="E22" s="33">
        <v>66</v>
      </c>
      <c r="F22" s="33">
        <v>82</v>
      </c>
      <c r="G22" s="33">
        <v>56</v>
      </c>
      <c r="H22" s="33">
        <f>SUM(B22:G22)</f>
        <v>12591</v>
      </c>
      <c r="I22" s="33">
        <v>0</v>
      </c>
      <c r="J22" s="17"/>
      <c r="K22" s="19">
        <v>17</v>
      </c>
      <c r="L22" s="25">
        <v>0</v>
      </c>
      <c r="M22" s="25">
        <v>12</v>
      </c>
      <c r="N22" s="25">
        <v>0</v>
      </c>
      <c r="O22" s="33">
        <f t="shared" si="0"/>
        <v>12</v>
      </c>
      <c r="P22" s="6">
        <f t="shared" si="2"/>
        <v>6135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thickTop="1" thickBot="1" x14ac:dyDescent="0.35">
      <c r="A23" s="19">
        <v>18</v>
      </c>
      <c r="B23" s="33">
        <f>2611+18+409</f>
        <v>3038</v>
      </c>
      <c r="C23" s="33">
        <v>0</v>
      </c>
      <c r="D23" s="33">
        <f>1022+245+4</f>
        <v>1271</v>
      </c>
      <c r="E23" s="33">
        <v>196</v>
      </c>
      <c r="F23" s="33">
        <v>242</v>
      </c>
      <c r="G23" s="33">
        <v>316</v>
      </c>
      <c r="H23" s="33">
        <f>SUM(B23:G23)</f>
        <v>5063</v>
      </c>
      <c r="I23" s="33">
        <v>0</v>
      </c>
      <c r="J23" s="17"/>
      <c r="K23" s="19">
        <v>18</v>
      </c>
      <c r="L23" s="25">
        <v>2</v>
      </c>
      <c r="M23" s="25">
        <v>12</v>
      </c>
      <c r="N23" s="25">
        <v>1</v>
      </c>
      <c r="O23" s="33">
        <f t="shared" si="0"/>
        <v>15</v>
      </c>
      <c r="P23" s="6">
        <f t="shared" si="2"/>
        <v>6135</v>
      </c>
    </row>
    <row r="24" spans="1:26" ht="18" customHeight="1" thickTop="1" thickBot="1" x14ac:dyDescent="0.35">
      <c r="A24" s="19">
        <v>19</v>
      </c>
      <c r="B24" s="33">
        <f>2116+18+377</f>
        <v>2511</v>
      </c>
      <c r="C24" s="33">
        <v>2</v>
      </c>
      <c r="D24" s="33">
        <f>1103+204+5</f>
        <v>1312</v>
      </c>
      <c r="E24" s="33">
        <v>208</v>
      </c>
      <c r="F24" s="33">
        <v>260</v>
      </c>
      <c r="G24" s="33">
        <v>324</v>
      </c>
      <c r="H24" s="33">
        <f t="shared" si="1"/>
        <v>4617</v>
      </c>
      <c r="I24" s="33">
        <v>0</v>
      </c>
      <c r="J24" s="17"/>
      <c r="K24" s="19">
        <v>19</v>
      </c>
      <c r="L24" s="25">
        <v>1</v>
      </c>
      <c r="M24" s="25">
        <v>10</v>
      </c>
      <c r="N24" s="25">
        <v>4</v>
      </c>
      <c r="O24" s="33">
        <f t="shared" si="0"/>
        <v>15</v>
      </c>
      <c r="P24" s="6">
        <f t="shared" si="2"/>
        <v>6135</v>
      </c>
    </row>
    <row r="25" spans="1:26" ht="18" customHeight="1" thickTop="1" thickBot="1" x14ac:dyDescent="0.35">
      <c r="A25" s="19">
        <v>20</v>
      </c>
      <c r="B25" s="33">
        <f>2106+16+391</f>
        <v>2513</v>
      </c>
      <c r="C25" s="33">
        <v>4</v>
      </c>
      <c r="D25" s="33">
        <f>1182+205+2</f>
        <v>1389</v>
      </c>
      <c r="E25" s="33">
        <f>209+17</f>
        <v>226</v>
      </c>
      <c r="F25" s="33">
        <v>268</v>
      </c>
      <c r="G25" s="33">
        <v>315</v>
      </c>
      <c r="H25" s="33">
        <f>SUM(B25:G25)</f>
        <v>4715</v>
      </c>
      <c r="I25" s="33">
        <v>0</v>
      </c>
      <c r="J25" s="17"/>
      <c r="K25" s="19">
        <v>20</v>
      </c>
      <c r="L25" s="25">
        <v>0</v>
      </c>
      <c r="M25" s="25">
        <v>15</v>
      </c>
      <c r="N25" s="25">
        <v>3</v>
      </c>
      <c r="O25" s="33">
        <f t="shared" si="0"/>
        <v>18</v>
      </c>
      <c r="P25" s="6">
        <f t="shared" si="2"/>
        <v>6135</v>
      </c>
    </row>
    <row r="26" spans="1:26" ht="18" customHeight="1" thickTop="1" thickBot="1" x14ac:dyDescent="0.35">
      <c r="A26" s="19">
        <v>21</v>
      </c>
      <c r="B26" s="33">
        <f>3088+22+512</f>
        <v>3622</v>
      </c>
      <c r="C26" s="33">
        <v>2</v>
      </c>
      <c r="D26" s="33">
        <f>1020+289+12</f>
        <v>1321</v>
      </c>
      <c r="E26" s="33">
        <f>166+28</f>
        <v>194</v>
      </c>
      <c r="F26" s="33">
        <v>278</v>
      </c>
      <c r="G26" s="33">
        <v>321</v>
      </c>
      <c r="H26" s="33">
        <f>SUM(B26:G26)</f>
        <v>5738</v>
      </c>
      <c r="I26" s="33">
        <v>0</v>
      </c>
      <c r="J26" s="17"/>
      <c r="K26" s="19">
        <v>21</v>
      </c>
      <c r="L26" s="25">
        <v>1</v>
      </c>
      <c r="M26" s="25">
        <v>18</v>
      </c>
      <c r="N26" s="25">
        <v>3</v>
      </c>
      <c r="O26" s="33">
        <f t="shared" si="0"/>
        <v>22</v>
      </c>
      <c r="P26" s="6">
        <f t="shared" si="2"/>
        <v>6135</v>
      </c>
    </row>
    <row r="27" spans="1:26" ht="18" customHeight="1" thickTop="1" thickBot="1" x14ac:dyDescent="0.35">
      <c r="A27" s="19">
        <v>22</v>
      </c>
      <c r="B27" s="33">
        <f>3119+2+323</f>
        <v>3444</v>
      </c>
      <c r="C27" s="33">
        <v>6</v>
      </c>
      <c r="D27" s="33">
        <f>771+285+5</f>
        <v>1061</v>
      </c>
      <c r="E27" s="33">
        <v>120</v>
      </c>
      <c r="F27" s="33">
        <v>246</v>
      </c>
      <c r="G27" s="33">
        <v>267</v>
      </c>
      <c r="H27" s="33">
        <f t="shared" si="1"/>
        <v>5144</v>
      </c>
      <c r="I27" s="33">
        <v>0</v>
      </c>
      <c r="J27" s="17"/>
      <c r="K27" s="19">
        <v>22</v>
      </c>
      <c r="L27" s="25">
        <v>1</v>
      </c>
      <c r="M27" s="25">
        <v>9</v>
      </c>
      <c r="N27" s="25">
        <v>0</v>
      </c>
      <c r="O27" s="33">
        <f t="shared" si="0"/>
        <v>10</v>
      </c>
      <c r="P27" s="6">
        <f t="shared" si="2"/>
        <v>6135</v>
      </c>
    </row>
    <row r="28" spans="1:26" ht="18" customHeight="1" thickTop="1" thickBot="1" x14ac:dyDescent="0.35">
      <c r="A28" s="19">
        <v>23</v>
      </c>
      <c r="B28" s="33">
        <f>4534+6+349</f>
        <v>4889</v>
      </c>
      <c r="C28" s="33">
        <v>2</v>
      </c>
      <c r="D28" s="33">
        <f>622+372+2</f>
        <v>996</v>
      </c>
      <c r="E28" s="33">
        <v>123</v>
      </c>
      <c r="F28" s="33">
        <v>157</v>
      </c>
      <c r="G28" s="33">
        <v>238</v>
      </c>
      <c r="H28" s="33">
        <f t="shared" si="1"/>
        <v>6405</v>
      </c>
      <c r="I28" s="33">
        <v>0</v>
      </c>
      <c r="J28" s="17"/>
      <c r="K28" s="19">
        <v>23</v>
      </c>
      <c r="L28" s="25">
        <v>2</v>
      </c>
      <c r="M28" s="25">
        <v>6</v>
      </c>
      <c r="N28" s="25">
        <v>2</v>
      </c>
      <c r="O28" s="33">
        <f t="shared" si="0"/>
        <v>10</v>
      </c>
      <c r="P28" s="6">
        <f t="shared" si="2"/>
        <v>6135</v>
      </c>
    </row>
    <row r="29" spans="1:26" ht="18" customHeight="1" thickTop="1" thickBot="1" x14ac:dyDescent="0.35">
      <c r="A29" s="19">
        <v>24</v>
      </c>
      <c r="B29" s="33">
        <f>1990+15+362</f>
        <v>2367</v>
      </c>
      <c r="C29" s="33">
        <v>2</v>
      </c>
      <c r="D29" s="33">
        <f>891+204+13</f>
        <v>1108</v>
      </c>
      <c r="E29" s="33">
        <f>239+29</f>
        <v>268</v>
      </c>
      <c r="F29" s="33">
        <v>229</v>
      </c>
      <c r="G29" s="33">
        <v>296</v>
      </c>
      <c r="H29" s="33">
        <f t="shared" si="1"/>
        <v>4270</v>
      </c>
      <c r="I29" s="33">
        <v>0</v>
      </c>
      <c r="J29" s="17"/>
      <c r="K29" s="19">
        <v>24</v>
      </c>
      <c r="L29" s="25">
        <v>1</v>
      </c>
      <c r="M29" s="25">
        <v>14</v>
      </c>
      <c r="N29" s="25">
        <v>3</v>
      </c>
      <c r="O29" s="33">
        <f t="shared" si="0"/>
        <v>18</v>
      </c>
      <c r="P29" s="6">
        <f t="shared" si="2"/>
        <v>6135</v>
      </c>
    </row>
    <row r="30" spans="1:26" ht="18" customHeight="1" thickTop="1" thickBot="1" x14ac:dyDescent="0.35">
      <c r="A30" s="19">
        <v>25</v>
      </c>
      <c r="B30" s="33">
        <f>1800+28+380</f>
        <v>2208</v>
      </c>
      <c r="C30" s="33">
        <v>2</v>
      </c>
      <c r="D30" s="33">
        <f>1105+196+5</f>
        <v>1306</v>
      </c>
      <c r="E30" s="33">
        <v>245</v>
      </c>
      <c r="F30" s="33">
        <v>232</v>
      </c>
      <c r="G30" s="33">
        <v>340</v>
      </c>
      <c r="H30" s="33">
        <f t="shared" si="1"/>
        <v>4333</v>
      </c>
      <c r="I30" s="33">
        <v>0</v>
      </c>
      <c r="J30" s="17"/>
      <c r="K30" s="19">
        <v>25</v>
      </c>
      <c r="L30" s="25">
        <v>2</v>
      </c>
      <c r="M30" s="25">
        <v>6</v>
      </c>
      <c r="N30" s="25">
        <v>2</v>
      </c>
      <c r="O30" s="33">
        <f t="shared" si="0"/>
        <v>10</v>
      </c>
      <c r="P30" s="6">
        <f t="shared" si="2"/>
        <v>6135</v>
      </c>
    </row>
    <row r="31" spans="1:26" ht="18" customHeight="1" thickTop="1" thickBot="1" x14ac:dyDescent="0.35">
      <c r="A31" s="19">
        <v>26</v>
      </c>
      <c r="B31" s="33">
        <f>1864+14+384</f>
        <v>2262</v>
      </c>
      <c r="C31" s="33">
        <v>2</v>
      </c>
      <c r="D31" s="33">
        <f>1176+213+6</f>
        <v>1395</v>
      </c>
      <c r="E31" s="33">
        <f>228+33</f>
        <v>261</v>
      </c>
      <c r="F31" s="33">
        <v>284</v>
      </c>
      <c r="G31" s="33">
        <v>375</v>
      </c>
      <c r="H31" s="33">
        <f t="shared" si="1"/>
        <v>4579</v>
      </c>
      <c r="I31" s="33">
        <v>0</v>
      </c>
      <c r="J31" s="17"/>
      <c r="K31" s="19">
        <v>26</v>
      </c>
      <c r="L31" s="25">
        <v>2</v>
      </c>
      <c r="M31" s="25">
        <v>6</v>
      </c>
      <c r="N31" s="25">
        <v>2</v>
      </c>
      <c r="O31" s="33">
        <f t="shared" si="0"/>
        <v>10</v>
      </c>
      <c r="P31" s="6">
        <f t="shared" si="2"/>
        <v>6135</v>
      </c>
    </row>
    <row r="32" spans="1:26" ht="18" customHeight="1" thickTop="1" thickBot="1" x14ac:dyDescent="0.35">
      <c r="A32" s="19">
        <v>27</v>
      </c>
      <c r="B32" s="33">
        <f>2086+15+427</f>
        <v>2528</v>
      </c>
      <c r="C32" s="33">
        <v>0</v>
      </c>
      <c r="D32" s="33">
        <f>1159+224+10</f>
        <v>1393</v>
      </c>
      <c r="E32" s="33">
        <f>187+30</f>
        <v>217</v>
      </c>
      <c r="F32" s="33">
        <v>283</v>
      </c>
      <c r="G32" s="33">
        <v>350</v>
      </c>
      <c r="H32" s="33">
        <f t="shared" si="1"/>
        <v>4771</v>
      </c>
      <c r="I32" s="33">
        <v>0</v>
      </c>
      <c r="J32" s="17"/>
      <c r="K32" s="19">
        <v>27</v>
      </c>
      <c r="L32" s="25">
        <v>0</v>
      </c>
      <c r="M32" s="25">
        <v>18</v>
      </c>
      <c r="N32" s="25">
        <v>5</v>
      </c>
      <c r="O32" s="33">
        <f t="shared" si="0"/>
        <v>23</v>
      </c>
      <c r="P32" s="6">
        <f t="shared" si="2"/>
        <v>6135</v>
      </c>
    </row>
    <row r="33" spans="1:16" ht="18" customHeight="1" thickTop="1" thickBot="1" x14ac:dyDescent="0.35">
      <c r="A33" s="19">
        <v>28</v>
      </c>
      <c r="B33" s="33">
        <f>3121+18+442</f>
        <v>3581</v>
      </c>
      <c r="C33" s="33">
        <v>2</v>
      </c>
      <c r="D33" s="33">
        <f>1039+252+7</f>
        <v>1298</v>
      </c>
      <c r="E33" s="33">
        <f>178+41</f>
        <v>219</v>
      </c>
      <c r="F33" s="33">
        <v>265</v>
      </c>
      <c r="G33" s="33">
        <v>313</v>
      </c>
      <c r="H33" s="33">
        <f t="shared" si="1"/>
        <v>5678</v>
      </c>
      <c r="I33" s="33">
        <v>0</v>
      </c>
      <c r="J33" s="17"/>
      <c r="K33" s="19">
        <v>28</v>
      </c>
      <c r="L33" s="25">
        <v>1</v>
      </c>
      <c r="M33" s="25">
        <v>4</v>
      </c>
      <c r="N33" s="25">
        <v>6</v>
      </c>
      <c r="O33" s="33">
        <f t="shared" si="0"/>
        <v>11</v>
      </c>
      <c r="P33" s="6">
        <f t="shared" si="2"/>
        <v>6135</v>
      </c>
    </row>
    <row r="34" spans="1:16" ht="18" customHeight="1" thickTop="1" thickBot="1" x14ac:dyDescent="0.35">
      <c r="A34" s="19">
        <v>29</v>
      </c>
      <c r="B34" s="33">
        <f>3368+8+400</f>
        <v>3776</v>
      </c>
      <c r="C34" s="33">
        <v>4</v>
      </c>
      <c r="D34" s="33">
        <f>719+319+9</f>
        <v>1047</v>
      </c>
      <c r="E34" s="33">
        <v>154</v>
      </c>
      <c r="F34" s="33">
        <v>246</v>
      </c>
      <c r="G34" s="33">
        <v>236</v>
      </c>
      <c r="H34" s="33">
        <f t="shared" si="1"/>
        <v>5463</v>
      </c>
      <c r="I34" s="33">
        <v>0</v>
      </c>
      <c r="J34" s="17"/>
      <c r="K34" s="19">
        <v>29</v>
      </c>
      <c r="L34" s="33">
        <v>1</v>
      </c>
      <c r="M34" s="33">
        <v>8</v>
      </c>
      <c r="N34" s="33">
        <v>1</v>
      </c>
      <c r="O34" s="33">
        <f>SUM(L34:N34)</f>
        <v>10</v>
      </c>
      <c r="P34" s="6">
        <f t="shared" si="2"/>
        <v>6135</v>
      </c>
    </row>
    <row r="35" spans="1:16" ht="18" customHeight="1" thickTop="1" thickBot="1" x14ac:dyDescent="0.35">
      <c r="A35" s="19">
        <v>30</v>
      </c>
      <c r="B35" s="33">
        <f>4896+7+354</f>
        <v>5257</v>
      </c>
      <c r="C35" s="33">
        <v>0</v>
      </c>
      <c r="D35" s="33">
        <f>611+328+3</f>
        <v>942</v>
      </c>
      <c r="E35" s="33">
        <v>124</v>
      </c>
      <c r="F35" s="33">
        <v>152</v>
      </c>
      <c r="G35" s="33">
        <v>194</v>
      </c>
      <c r="H35" s="33">
        <f t="shared" si="1"/>
        <v>6669</v>
      </c>
      <c r="I35" s="33">
        <v>0</v>
      </c>
      <c r="J35" s="17"/>
      <c r="K35" s="19">
        <v>30</v>
      </c>
      <c r="L35" s="33">
        <v>0</v>
      </c>
      <c r="M35" s="33">
        <v>10</v>
      </c>
      <c r="N35" s="33">
        <v>0</v>
      </c>
      <c r="O35" s="33">
        <f>SUM(L35:N35)</f>
        <v>10</v>
      </c>
      <c r="P35" s="6">
        <f t="shared" si="2"/>
        <v>6135</v>
      </c>
    </row>
    <row r="36" spans="1:16" ht="18" customHeight="1" thickTop="1" thickBot="1" x14ac:dyDescent="0.35">
      <c r="A36" s="19">
        <v>31</v>
      </c>
      <c r="B36" s="33">
        <f>2106+17+349</f>
        <v>2472</v>
      </c>
      <c r="C36" s="33">
        <v>0</v>
      </c>
      <c r="D36" s="33">
        <f>836+250+5</f>
        <v>1091</v>
      </c>
      <c r="E36" s="33">
        <f>164+32</f>
        <v>196</v>
      </c>
      <c r="F36" s="33">
        <v>243</v>
      </c>
      <c r="G36" s="33">
        <v>246</v>
      </c>
      <c r="H36" s="33">
        <f t="shared" si="1"/>
        <v>4248</v>
      </c>
      <c r="I36" s="33">
        <v>0</v>
      </c>
      <c r="J36" s="17"/>
      <c r="K36" s="19">
        <v>31</v>
      </c>
      <c r="L36" s="33">
        <v>2</v>
      </c>
      <c r="M36" s="33">
        <v>13</v>
      </c>
      <c r="N36" s="33">
        <v>5</v>
      </c>
      <c r="O36" s="33">
        <f>SUM(L36:N36)</f>
        <v>20</v>
      </c>
      <c r="P36" s="6">
        <f t="shared" si="2"/>
        <v>6135</v>
      </c>
    </row>
    <row r="37" spans="1:16" ht="18" customHeight="1" thickTop="1" x14ac:dyDescent="0.3">
      <c r="A37" s="20" t="s">
        <v>19</v>
      </c>
      <c r="B37" s="14">
        <f>SUM(B6:B36)</f>
        <v>136709</v>
      </c>
      <c r="C37" s="14">
        <f t="shared" ref="C37:H37" si="3">SUM(C6:C36)</f>
        <v>69</v>
      </c>
      <c r="D37" s="14">
        <f t="shared" si="3"/>
        <v>36524</v>
      </c>
      <c r="E37" s="14">
        <f t="shared" si="3"/>
        <v>5221</v>
      </c>
      <c r="F37" s="14">
        <f t="shared" si="3"/>
        <v>7083</v>
      </c>
      <c r="G37" s="14">
        <f t="shared" si="3"/>
        <v>8136</v>
      </c>
      <c r="H37" s="14">
        <f t="shared" si="3"/>
        <v>193742</v>
      </c>
      <c r="I37" s="14">
        <f t="shared" ref="I37" si="4">SUM(I6:I33)</f>
        <v>0</v>
      </c>
      <c r="J37" s="14"/>
      <c r="K37" s="14" t="s">
        <v>29</v>
      </c>
      <c r="L37" s="14">
        <f>SUM(L6:L36)</f>
        <v>33</v>
      </c>
      <c r="M37" s="14">
        <f t="shared" ref="M37:N37" si="5">SUM(M6:M36)</f>
        <v>329</v>
      </c>
      <c r="N37" s="14">
        <f t="shared" si="5"/>
        <v>73</v>
      </c>
      <c r="O37" s="8">
        <f>SUM(O6:O36)</f>
        <v>435</v>
      </c>
    </row>
    <row r="38" spans="1:16" ht="18" customHeight="1" x14ac:dyDescent="0.3">
      <c r="A38" s="20" t="s">
        <v>19</v>
      </c>
      <c r="B38" s="59">
        <f>+B37+C37</f>
        <v>136778</v>
      </c>
      <c r="C38" s="59"/>
      <c r="D38" s="14">
        <f>+D37</f>
        <v>36524</v>
      </c>
      <c r="E38" s="14">
        <f>+E37</f>
        <v>5221</v>
      </c>
      <c r="F38" s="14">
        <f>+F37</f>
        <v>7083</v>
      </c>
      <c r="G38" s="14">
        <f>+G37</f>
        <v>8136</v>
      </c>
      <c r="H38" s="8">
        <f>+H37</f>
        <v>193742</v>
      </c>
      <c r="I38" s="14">
        <v>0</v>
      </c>
      <c r="J38" s="31"/>
      <c r="K38" s="20"/>
      <c r="L38" s="13" t="s">
        <v>20</v>
      </c>
      <c r="M38" s="13" t="s">
        <v>21</v>
      </c>
      <c r="N38" s="13" t="s">
        <v>20</v>
      </c>
      <c r="O38" s="13" t="s">
        <v>21</v>
      </c>
    </row>
    <row r="39" spans="1:16" ht="18" customHeight="1" x14ac:dyDescent="0.3">
      <c r="A39" s="30" t="s">
        <v>22</v>
      </c>
      <c r="B39" s="12"/>
      <c r="C39" s="12"/>
      <c r="D39" s="12"/>
      <c r="E39" s="12"/>
      <c r="F39" s="12"/>
      <c r="G39" s="12"/>
      <c r="H39" s="12"/>
      <c r="L39" s="11"/>
    </row>
    <row r="40" spans="1:16" x14ac:dyDescent="0.3">
      <c r="A40" s="28"/>
      <c r="B40" s="10"/>
      <c r="C40" s="10"/>
      <c r="D40" s="10"/>
      <c r="E40" s="10"/>
      <c r="F40" s="10"/>
      <c r="G40" s="10"/>
      <c r="H40" s="10"/>
      <c r="I40" s="10"/>
      <c r="J40" s="11"/>
      <c r="K40" s="57"/>
      <c r="L40" s="56"/>
    </row>
    <row r="41" spans="1:16" x14ac:dyDescent="0.3">
      <c r="A41" s="32"/>
      <c r="H41" s="32"/>
      <c r="K41" s="57"/>
      <c r="L41" s="56"/>
    </row>
    <row r="42" spans="1:16" x14ac:dyDescent="0.3">
      <c r="K42" s="57"/>
      <c r="L42" s="56"/>
    </row>
    <row r="43" spans="1:16" x14ac:dyDescent="0.3">
      <c r="I43" s="32"/>
      <c r="J43" s="32"/>
    </row>
    <row r="45" spans="1:16" x14ac:dyDescent="0.3">
      <c r="A45" s="27"/>
    </row>
    <row r="46" spans="1:16" x14ac:dyDescent="0.3">
      <c r="A46" s="27"/>
      <c r="B46" s="32"/>
      <c r="C46" s="32"/>
      <c r="D46" s="32"/>
      <c r="E46" s="32"/>
      <c r="F46" s="32"/>
      <c r="G46" s="32"/>
      <c r="H46" s="32"/>
      <c r="I46" s="32"/>
      <c r="J46" s="32"/>
      <c r="K46" s="9"/>
      <c r="L46" s="32"/>
      <c r="M46" s="32"/>
      <c r="N46" s="32"/>
      <c r="O46" s="32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1D9B4-81A6-4DD3-8A2B-3D6DA71C2E43}">
  <dimension ref="A1:Z46"/>
  <sheetViews>
    <sheetView topLeftCell="A23" workbookViewId="0">
      <selection activeCell="Q5" sqref="Q5"/>
    </sheetView>
  </sheetViews>
  <sheetFormatPr baseColWidth="10" defaultColWidth="11.44140625" defaultRowHeight="13.8" x14ac:dyDescent="0.3"/>
  <cols>
    <col min="1" max="9" width="11.44140625" style="21"/>
    <col min="10" max="10" width="4.6640625" style="21" customWidth="1"/>
    <col min="11" max="11" width="11.44140625" style="29"/>
    <col min="12" max="15" width="11.44140625" style="21"/>
    <col min="16" max="16" width="0" style="21" hidden="1" customWidth="1"/>
    <col min="17" max="16384" width="11.44140625" style="21"/>
  </cols>
  <sheetData>
    <row r="1" spans="1:19" s="24" customFormat="1" ht="15.6" x14ac:dyDescent="0.3">
      <c r="A1" s="64" t="s">
        <v>23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9" s="24" customFormat="1" ht="15.6" x14ac:dyDescent="0.3">
      <c r="A2" s="64" t="s">
        <v>24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9" s="24" customFormat="1" ht="15.6" x14ac:dyDescent="0.3">
      <c r="A3" s="65" t="s">
        <v>33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9" ht="78" customHeight="1" x14ac:dyDescent="0.3">
      <c r="A4" s="62" t="s">
        <v>1</v>
      </c>
      <c r="B4" s="60" t="s">
        <v>2</v>
      </c>
      <c r="C4" s="60"/>
      <c r="D4" s="23" t="s">
        <v>3</v>
      </c>
      <c r="E4" s="23" t="s">
        <v>4</v>
      </c>
      <c r="F4" s="23" t="s">
        <v>5</v>
      </c>
      <c r="G4" s="23" t="s">
        <v>6</v>
      </c>
      <c r="H4" s="60" t="s">
        <v>7</v>
      </c>
      <c r="I4" s="60" t="s">
        <v>8</v>
      </c>
      <c r="J4" s="22"/>
      <c r="K4" s="61" t="s">
        <v>1</v>
      </c>
      <c r="L4" s="60" t="s">
        <v>9</v>
      </c>
      <c r="M4" s="60" t="s">
        <v>10</v>
      </c>
      <c r="N4" s="60" t="s">
        <v>11</v>
      </c>
      <c r="O4" s="60" t="s">
        <v>12</v>
      </c>
    </row>
    <row r="5" spans="1:19" ht="18" customHeight="1" x14ac:dyDescent="0.3">
      <c r="A5" s="63"/>
      <c r="B5" s="20" t="s">
        <v>13</v>
      </c>
      <c r="C5" s="20" t="s">
        <v>14</v>
      </c>
      <c r="D5" s="20" t="s">
        <v>15</v>
      </c>
      <c r="E5" s="20" t="s">
        <v>16</v>
      </c>
      <c r="F5" s="20" t="s">
        <v>17</v>
      </c>
      <c r="G5" s="20" t="s">
        <v>18</v>
      </c>
      <c r="H5" s="60"/>
      <c r="I5" s="60"/>
      <c r="J5" s="22"/>
      <c r="K5" s="61"/>
      <c r="L5" s="60"/>
      <c r="M5" s="60"/>
      <c r="N5" s="60"/>
      <c r="O5" s="60"/>
    </row>
    <row r="6" spans="1:19" ht="18" customHeight="1" thickBot="1" x14ac:dyDescent="0.35">
      <c r="A6" s="19">
        <v>1</v>
      </c>
      <c r="B6" s="33">
        <f>1761+19+406</f>
        <v>2186</v>
      </c>
      <c r="C6" s="33">
        <v>0</v>
      </c>
      <c r="D6" s="33">
        <f>1031+221+1</f>
        <v>1253</v>
      </c>
      <c r="E6" s="33">
        <f>186+31</f>
        <v>217</v>
      </c>
      <c r="F6" s="33">
        <v>234</v>
      </c>
      <c r="G6" s="33">
        <v>276</v>
      </c>
      <c r="H6" s="33">
        <f>SUM(B6:G6)</f>
        <v>4166</v>
      </c>
      <c r="I6" s="33">
        <v>0</v>
      </c>
      <c r="J6" s="18"/>
      <c r="K6" s="19">
        <v>1</v>
      </c>
      <c r="L6" s="25">
        <v>0</v>
      </c>
      <c r="M6" s="25">
        <v>4</v>
      </c>
      <c r="N6" s="25">
        <v>3</v>
      </c>
      <c r="O6" s="33">
        <f>SUM(L6:N6)</f>
        <v>7</v>
      </c>
      <c r="P6" s="6">
        <v>6135</v>
      </c>
    </row>
    <row r="7" spans="1:19" ht="18" customHeight="1" thickTop="1" thickBot="1" x14ac:dyDescent="0.35">
      <c r="A7" s="19">
        <v>2</v>
      </c>
      <c r="B7" s="33">
        <f>1991+23+407</f>
        <v>2421</v>
      </c>
      <c r="C7" s="33">
        <v>2</v>
      </c>
      <c r="D7" s="33">
        <f>1141+216+9</f>
        <v>1366</v>
      </c>
      <c r="E7" s="33">
        <f>177+47</f>
        <v>224</v>
      </c>
      <c r="F7" s="33">
        <v>256</v>
      </c>
      <c r="G7" s="33">
        <v>313</v>
      </c>
      <c r="H7" s="33">
        <f>SUM(B7:G7)</f>
        <v>4582</v>
      </c>
      <c r="I7" s="33">
        <v>0</v>
      </c>
      <c r="J7" s="18"/>
      <c r="K7" s="19">
        <v>2</v>
      </c>
      <c r="L7" s="25">
        <v>0</v>
      </c>
      <c r="M7" s="25">
        <v>12</v>
      </c>
      <c r="N7" s="25">
        <v>2</v>
      </c>
      <c r="O7" s="33">
        <f t="shared" ref="O7:O33" si="0">SUM(L7:N7)</f>
        <v>14</v>
      </c>
      <c r="P7" s="6">
        <f>+P6</f>
        <v>6135</v>
      </c>
    </row>
    <row r="8" spans="1:19" ht="18" customHeight="1" thickTop="1" thickBot="1" x14ac:dyDescent="0.35">
      <c r="A8" s="19">
        <v>3</v>
      </c>
      <c r="B8" s="33">
        <f>2183+14+485</f>
        <v>2682</v>
      </c>
      <c r="C8" s="33">
        <v>2</v>
      </c>
      <c r="D8" s="33">
        <f>1109+222+10</f>
        <v>1341</v>
      </c>
      <c r="E8" s="33">
        <v>247</v>
      </c>
      <c r="F8" s="33">
        <v>251</v>
      </c>
      <c r="G8" s="33">
        <v>280</v>
      </c>
      <c r="H8" s="33">
        <f t="shared" ref="H8:H36" si="1">SUM(B8:G8)</f>
        <v>4803</v>
      </c>
      <c r="I8" s="33">
        <v>0</v>
      </c>
      <c r="J8" s="18"/>
      <c r="K8" s="19">
        <v>3</v>
      </c>
      <c r="L8" s="25">
        <v>2</v>
      </c>
      <c r="M8" s="25">
        <v>20</v>
      </c>
      <c r="N8" s="25">
        <v>4</v>
      </c>
      <c r="O8" s="33">
        <f t="shared" si="0"/>
        <v>26</v>
      </c>
      <c r="P8" s="6">
        <f t="shared" ref="P8:P36" si="2">+P7</f>
        <v>6135</v>
      </c>
      <c r="S8" s="32"/>
    </row>
    <row r="9" spans="1:19" ht="18" customHeight="1" thickTop="1" thickBot="1" x14ac:dyDescent="0.35">
      <c r="A9" s="19">
        <v>4</v>
      </c>
      <c r="B9" s="33">
        <f>3152+26+456</f>
        <v>3634</v>
      </c>
      <c r="C9" s="33">
        <v>0</v>
      </c>
      <c r="D9" s="33">
        <f>916+229+7</f>
        <v>1152</v>
      </c>
      <c r="E9" s="33">
        <f>156+26</f>
        <v>182</v>
      </c>
      <c r="F9" s="33">
        <v>260</v>
      </c>
      <c r="G9" s="33">
        <v>231</v>
      </c>
      <c r="H9" s="33">
        <f t="shared" si="1"/>
        <v>5459</v>
      </c>
      <c r="I9" s="33">
        <v>0</v>
      </c>
      <c r="J9" s="18"/>
      <c r="K9" s="19">
        <v>4</v>
      </c>
      <c r="L9" s="25">
        <v>0</v>
      </c>
      <c r="M9" s="25">
        <v>8</v>
      </c>
      <c r="N9" s="25">
        <v>4</v>
      </c>
      <c r="O9" s="33">
        <f t="shared" si="0"/>
        <v>12</v>
      </c>
      <c r="P9" s="6">
        <f t="shared" si="2"/>
        <v>6135</v>
      </c>
    </row>
    <row r="10" spans="1:19" ht="18" customHeight="1" thickTop="1" thickBot="1" x14ac:dyDescent="0.35">
      <c r="A10" s="19">
        <v>5</v>
      </c>
      <c r="B10" s="33">
        <f>3541+7+382</f>
        <v>3930</v>
      </c>
      <c r="C10" s="33">
        <v>2</v>
      </c>
      <c r="D10" s="33">
        <f>761+346+10</f>
        <v>1117</v>
      </c>
      <c r="E10" s="33">
        <v>144</v>
      </c>
      <c r="F10" s="33">
        <v>225</v>
      </c>
      <c r="G10" s="33">
        <v>269</v>
      </c>
      <c r="H10" s="33">
        <f t="shared" si="1"/>
        <v>5687</v>
      </c>
      <c r="I10" s="33">
        <v>0</v>
      </c>
      <c r="J10" s="18"/>
      <c r="K10" s="19">
        <v>5</v>
      </c>
      <c r="L10" s="25">
        <v>4</v>
      </c>
      <c r="M10" s="25">
        <v>6</v>
      </c>
      <c r="N10" s="25">
        <v>1</v>
      </c>
      <c r="O10" s="33">
        <f t="shared" si="0"/>
        <v>11</v>
      </c>
      <c r="P10" s="6">
        <f t="shared" si="2"/>
        <v>6135</v>
      </c>
    </row>
    <row r="11" spans="1:19" ht="18" customHeight="1" thickTop="1" thickBot="1" x14ac:dyDescent="0.35">
      <c r="A11" s="19">
        <v>6</v>
      </c>
      <c r="B11" s="33">
        <f>5175+8+369</f>
        <v>5552</v>
      </c>
      <c r="C11" s="33">
        <v>0</v>
      </c>
      <c r="D11" s="33">
        <f>604+360</f>
        <v>964</v>
      </c>
      <c r="E11" s="33">
        <v>110</v>
      </c>
      <c r="F11" s="33">
        <v>139</v>
      </c>
      <c r="G11" s="33">
        <v>170</v>
      </c>
      <c r="H11" s="33">
        <f t="shared" si="1"/>
        <v>6935</v>
      </c>
      <c r="I11" s="33">
        <v>0</v>
      </c>
      <c r="J11" s="18"/>
      <c r="K11" s="19">
        <v>6</v>
      </c>
      <c r="L11" s="25">
        <v>2</v>
      </c>
      <c r="M11" s="25">
        <v>8</v>
      </c>
      <c r="N11" s="25">
        <v>0</v>
      </c>
      <c r="O11" s="33">
        <f t="shared" si="0"/>
        <v>10</v>
      </c>
      <c r="P11" s="6">
        <f t="shared" si="2"/>
        <v>6135</v>
      </c>
    </row>
    <row r="12" spans="1:19" ht="18" customHeight="1" thickTop="1" thickBot="1" x14ac:dyDescent="0.35">
      <c r="A12" s="19">
        <v>7</v>
      </c>
      <c r="B12" s="33">
        <f>2045+21+379</f>
        <v>2445</v>
      </c>
      <c r="C12" s="33">
        <v>4</v>
      </c>
      <c r="D12" s="33">
        <f>856+228+10</f>
        <v>1094</v>
      </c>
      <c r="E12" s="33">
        <v>184</v>
      </c>
      <c r="F12" s="33">
        <v>229</v>
      </c>
      <c r="G12" s="33">
        <v>245</v>
      </c>
      <c r="H12" s="33">
        <f t="shared" si="1"/>
        <v>4201</v>
      </c>
      <c r="I12" s="33">
        <v>0</v>
      </c>
      <c r="J12" s="17"/>
      <c r="K12" s="19">
        <v>7</v>
      </c>
      <c r="L12" s="25">
        <v>1</v>
      </c>
      <c r="M12" s="25">
        <v>8</v>
      </c>
      <c r="N12" s="25">
        <v>1</v>
      </c>
      <c r="O12" s="33">
        <f t="shared" si="0"/>
        <v>10</v>
      </c>
      <c r="P12" s="6">
        <f t="shared" si="2"/>
        <v>6135</v>
      </c>
    </row>
    <row r="13" spans="1:19" ht="18" customHeight="1" thickTop="1" thickBot="1" x14ac:dyDescent="0.35">
      <c r="A13" s="19">
        <v>8</v>
      </c>
      <c r="B13" s="33">
        <f>1833+29+401</f>
        <v>2263</v>
      </c>
      <c r="C13" s="33">
        <v>0</v>
      </c>
      <c r="D13" s="33">
        <f>1050+235+8</f>
        <v>1293</v>
      </c>
      <c r="E13" s="33">
        <v>172</v>
      </c>
      <c r="F13" s="33">
        <v>234</v>
      </c>
      <c r="G13" s="33">
        <v>264</v>
      </c>
      <c r="H13" s="33">
        <f t="shared" si="1"/>
        <v>4226</v>
      </c>
      <c r="I13" s="33">
        <v>0</v>
      </c>
      <c r="J13" s="17"/>
      <c r="K13" s="19">
        <v>8</v>
      </c>
      <c r="L13" s="25">
        <v>2</v>
      </c>
      <c r="M13" s="25">
        <v>10</v>
      </c>
      <c r="N13" s="25">
        <v>2</v>
      </c>
      <c r="O13" s="33">
        <f t="shared" si="0"/>
        <v>14</v>
      </c>
      <c r="P13" s="6">
        <f t="shared" si="2"/>
        <v>6135</v>
      </c>
    </row>
    <row r="14" spans="1:19" s="15" customFormat="1" ht="18" customHeight="1" thickTop="1" thickBot="1" x14ac:dyDescent="0.35">
      <c r="A14" s="19">
        <v>9</v>
      </c>
      <c r="B14" s="33">
        <f>1904+24+432</f>
        <v>2360</v>
      </c>
      <c r="C14" s="33">
        <v>0</v>
      </c>
      <c r="D14" s="33">
        <f>1123+221+11</f>
        <v>1355</v>
      </c>
      <c r="E14" s="33">
        <f>191+10</f>
        <v>201</v>
      </c>
      <c r="F14" s="33">
        <v>236</v>
      </c>
      <c r="G14" s="33">
        <v>269</v>
      </c>
      <c r="H14" s="33">
        <f t="shared" si="1"/>
        <v>4421</v>
      </c>
      <c r="I14" s="33">
        <v>0</v>
      </c>
      <c r="J14" s="17"/>
      <c r="K14" s="19">
        <v>9</v>
      </c>
      <c r="L14" s="25">
        <v>2</v>
      </c>
      <c r="M14" s="25">
        <v>10</v>
      </c>
      <c r="N14" s="25">
        <v>3</v>
      </c>
      <c r="O14" s="33">
        <f t="shared" si="0"/>
        <v>15</v>
      </c>
      <c r="P14" s="16">
        <f t="shared" si="2"/>
        <v>6135</v>
      </c>
    </row>
    <row r="15" spans="1:19" ht="18" customHeight="1" thickTop="1" thickBot="1" x14ac:dyDescent="0.35">
      <c r="A15" s="19">
        <v>10</v>
      </c>
      <c r="B15" s="33">
        <f>2084+22+415</f>
        <v>2521</v>
      </c>
      <c r="C15" s="33">
        <v>0</v>
      </c>
      <c r="D15" s="33">
        <f>1155+223+10</f>
        <v>1388</v>
      </c>
      <c r="E15" s="33">
        <f>187+27</f>
        <v>214</v>
      </c>
      <c r="F15" s="33">
        <v>280</v>
      </c>
      <c r="G15" s="33">
        <v>293</v>
      </c>
      <c r="H15" s="33">
        <f t="shared" si="1"/>
        <v>4696</v>
      </c>
      <c r="I15" s="33">
        <v>0</v>
      </c>
      <c r="J15" s="17"/>
      <c r="K15" s="19">
        <v>10</v>
      </c>
      <c r="L15" s="25">
        <v>4</v>
      </c>
      <c r="M15" s="25">
        <v>15</v>
      </c>
      <c r="N15" s="25">
        <v>5</v>
      </c>
      <c r="O15" s="33">
        <f t="shared" si="0"/>
        <v>24</v>
      </c>
      <c r="P15" s="6">
        <f t="shared" si="2"/>
        <v>6135</v>
      </c>
    </row>
    <row r="16" spans="1:19" ht="18" customHeight="1" thickTop="1" thickBot="1" x14ac:dyDescent="0.35">
      <c r="A16" s="19">
        <v>11</v>
      </c>
      <c r="B16" s="33">
        <f>3210+32+471</f>
        <v>3713</v>
      </c>
      <c r="C16" s="33">
        <v>2</v>
      </c>
      <c r="D16" s="33">
        <f>952+309+12</f>
        <v>1273</v>
      </c>
      <c r="E16" s="33">
        <f>170+73</f>
        <v>243</v>
      </c>
      <c r="F16" s="33">
        <v>277</v>
      </c>
      <c r="G16" s="33">
        <v>254</v>
      </c>
      <c r="H16" s="33">
        <f t="shared" si="1"/>
        <v>5762</v>
      </c>
      <c r="I16" s="33">
        <v>0</v>
      </c>
      <c r="J16" s="17"/>
      <c r="K16" s="19">
        <v>11</v>
      </c>
      <c r="L16" s="25">
        <v>0</v>
      </c>
      <c r="M16" s="25">
        <v>10</v>
      </c>
      <c r="N16" s="25">
        <v>4</v>
      </c>
      <c r="O16" s="33">
        <f t="shared" si="0"/>
        <v>14</v>
      </c>
      <c r="P16" s="6">
        <f t="shared" si="2"/>
        <v>6135</v>
      </c>
    </row>
    <row r="17" spans="1:26" ht="18" customHeight="1" thickTop="1" thickBot="1" x14ac:dyDescent="0.35">
      <c r="A17" s="19">
        <v>12</v>
      </c>
      <c r="B17" s="33">
        <f>3383+11+391</f>
        <v>3785</v>
      </c>
      <c r="C17" s="33">
        <v>0</v>
      </c>
      <c r="D17" s="33">
        <f>758+340+7</f>
        <v>1105</v>
      </c>
      <c r="E17" s="33">
        <f>146+17</f>
        <v>163</v>
      </c>
      <c r="F17" s="33">
        <v>207</v>
      </c>
      <c r="G17" s="33">
        <v>224</v>
      </c>
      <c r="H17" s="33">
        <f t="shared" si="1"/>
        <v>5484</v>
      </c>
      <c r="I17" s="33">
        <v>0</v>
      </c>
      <c r="J17" s="17"/>
      <c r="K17" s="19">
        <v>12</v>
      </c>
      <c r="L17" s="25">
        <v>2</v>
      </c>
      <c r="M17" s="25">
        <v>3</v>
      </c>
      <c r="N17" s="25">
        <v>1</v>
      </c>
      <c r="O17" s="33">
        <f t="shared" si="0"/>
        <v>6</v>
      </c>
      <c r="P17" s="6">
        <f t="shared" si="2"/>
        <v>6135</v>
      </c>
    </row>
    <row r="18" spans="1:26" ht="18" customHeight="1" thickTop="1" thickBot="1" x14ac:dyDescent="0.35">
      <c r="A18" s="19">
        <v>13</v>
      </c>
      <c r="B18" s="33">
        <f>5108+10+324</f>
        <v>5442</v>
      </c>
      <c r="C18" s="33">
        <v>0</v>
      </c>
      <c r="D18" s="33">
        <f>583+351+2</f>
        <v>936</v>
      </c>
      <c r="E18" s="33">
        <v>103</v>
      </c>
      <c r="F18" s="33">
        <v>137</v>
      </c>
      <c r="G18" s="33">
        <v>200</v>
      </c>
      <c r="H18" s="33">
        <f t="shared" si="1"/>
        <v>6818</v>
      </c>
      <c r="I18" s="33">
        <v>0</v>
      </c>
      <c r="J18" s="17"/>
      <c r="K18" s="19">
        <v>13</v>
      </c>
      <c r="L18" s="25">
        <v>0</v>
      </c>
      <c r="M18" s="25">
        <v>10</v>
      </c>
      <c r="N18" s="25">
        <v>2</v>
      </c>
      <c r="O18" s="33">
        <f t="shared" si="0"/>
        <v>12</v>
      </c>
      <c r="P18" s="6">
        <f t="shared" si="2"/>
        <v>6135</v>
      </c>
    </row>
    <row r="19" spans="1:26" ht="18" customHeight="1" thickTop="1" thickBot="1" x14ac:dyDescent="0.35">
      <c r="A19" s="19">
        <v>14</v>
      </c>
      <c r="B19" s="33">
        <f>2100+21+375</f>
        <v>2496</v>
      </c>
      <c r="C19" s="33">
        <v>2</v>
      </c>
      <c r="D19" s="33">
        <f>885+249+15</f>
        <v>1149</v>
      </c>
      <c r="E19" s="33">
        <v>195</v>
      </c>
      <c r="F19" s="33">
        <v>215</v>
      </c>
      <c r="G19" s="33">
        <v>284</v>
      </c>
      <c r="H19" s="33">
        <f t="shared" si="1"/>
        <v>4341</v>
      </c>
      <c r="I19" s="33">
        <v>0</v>
      </c>
      <c r="J19" s="17"/>
      <c r="K19" s="19">
        <v>14</v>
      </c>
      <c r="L19" s="25">
        <v>0</v>
      </c>
      <c r="M19" s="25">
        <v>22</v>
      </c>
      <c r="N19" s="25">
        <v>3</v>
      </c>
      <c r="O19" s="33">
        <f t="shared" si="0"/>
        <v>25</v>
      </c>
      <c r="P19" s="6">
        <f t="shared" si="2"/>
        <v>6135</v>
      </c>
    </row>
    <row r="20" spans="1:26" ht="18" customHeight="1" thickTop="1" thickBot="1" x14ac:dyDescent="0.35">
      <c r="A20" s="19">
        <v>15</v>
      </c>
      <c r="B20" s="33">
        <f>1848+17+351</f>
        <v>2216</v>
      </c>
      <c r="C20" s="33">
        <v>0</v>
      </c>
      <c r="D20" s="33">
        <f>1055+243+16</f>
        <v>1314</v>
      </c>
      <c r="E20" s="33">
        <v>176</v>
      </c>
      <c r="F20" s="33">
        <v>230</v>
      </c>
      <c r="G20" s="33">
        <v>253</v>
      </c>
      <c r="H20" s="33">
        <f t="shared" si="1"/>
        <v>4189</v>
      </c>
      <c r="I20" s="33">
        <v>0</v>
      </c>
      <c r="J20" s="17"/>
      <c r="K20" s="19">
        <v>15</v>
      </c>
      <c r="L20" s="25">
        <v>0</v>
      </c>
      <c r="M20" s="25">
        <v>17</v>
      </c>
      <c r="N20" s="25">
        <v>3</v>
      </c>
      <c r="O20" s="33">
        <f t="shared" si="0"/>
        <v>20</v>
      </c>
      <c r="P20" s="6">
        <f t="shared" si="2"/>
        <v>6135</v>
      </c>
    </row>
    <row r="21" spans="1:26" ht="18" customHeight="1" thickTop="1" thickBot="1" x14ac:dyDescent="0.35">
      <c r="A21" s="19">
        <v>16</v>
      </c>
      <c r="B21" s="33">
        <f>1876+20+378</f>
        <v>2274</v>
      </c>
      <c r="C21" s="33">
        <v>2</v>
      </c>
      <c r="D21" s="33">
        <f>1095+240+14</f>
        <v>1349</v>
      </c>
      <c r="E21" s="33">
        <f>189+12</f>
        <v>201</v>
      </c>
      <c r="F21" s="33">
        <v>277</v>
      </c>
      <c r="G21" s="33">
        <v>314</v>
      </c>
      <c r="H21" s="33">
        <f t="shared" si="1"/>
        <v>4417</v>
      </c>
      <c r="I21" s="33">
        <v>0</v>
      </c>
      <c r="J21" s="17"/>
      <c r="K21" s="19">
        <v>16</v>
      </c>
      <c r="L21" s="25">
        <v>0</v>
      </c>
      <c r="M21" s="25">
        <v>10</v>
      </c>
      <c r="N21" s="25">
        <v>1</v>
      </c>
      <c r="O21" s="33">
        <f t="shared" si="0"/>
        <v>11</v>
      </c>
      <c r="P21" s="6">
        <f>+P20</f>
        <v>6135</v>
      </c>
    </row>
    <row r="22" spans="1:26" ht="18" customHeight="1" thickTop="1" thickBot="1" x14ac:dyDescent="0.35">
      <c r="A22" s="19">
        <v>17</v>
      </c>
      <c r="B22" s="33">
        <f>2181+18+465</f>
        <v>2664</v>
      </c>
      <c r="C22" s="33">
        <v>2</v>
      </c>
      <c r="D22" s="33">
        <f>1119+236+11</f>
        <v>1366</v>
      </c>
      <c r="E22" s="33">
        <f>153+64</f>
        <v>217</v>
      </c>
      <c r="F22" s="33">
        <v>232</v>
      </c>
      <c r="G22" s="33">
        <v>271</v>
      </c>
      <c r="H22" s="33">
        <f t="shared" si="1"/>
        <v>4752</v>
      </c>
      <c r="I22" s="33">
        <v>0</v>
      </c>
      <c r="J22" s="17"/>
      <c r="K22" s="19">
        <v>17</v>
      </c>
      <c r="L22" s="25">
        <v>0</v>
      </c>
      <c r="M22" s="25">
        <v>10</v>
      </c>
      <c r="N22" s="25">
        <v>3</v>
      </c>
      <c r="O22" s="33">
        <f t="shared" si="0"/>
        <v>13</v>
      </c>
      <c r="P22" s="6">
        <f t="shared" si="2"/>
        <v>6135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thickTop="1" thickBot="1" x14ac:dyDescent="0.35">
      <c r="A23" s="19">
        <v>18</v>
      </c>
      <c r="B23" s="33">
        <f>3307+23+453</f>
        <v>3783</v>
      </c>
      <c r="C23" s="33">
        <v>0</v>
      </c>
      <c r="D23" s="33">
        <f>975+287+12</f>
        <v>1274</v>
      </c>
      <c r="E23" s="33">
        <f>179+20</f>
        <v>199</v>
      </c>
      <c r="F23" s="33">
        <v>260</v>
      </c>
      <c r="G23" s="33">
        <v>243</v>
      </c>
      <c r="H23" s="33">
        <f t="shared" si="1"/>
        <v>5759</v>
      </c>
      <c r="I23" s="33">
        <v>0</v>
      </c>
      <c r="J23" s="17"/>
      <c r="K23" s="19">
        <v>18</v>
      </c>
      <c r="L23" s="25">
        <v>1</v>
      </c>
      <c r="M23" s="25">
        <v>8</v>
      </c>
      <c r="N23" s="25">
        <v>4</v>
      </c>
      <c r="O23" s="33">
        <f t="shared" si="0"/>
        <v>13</v>
      </c>
      <c r="P23" s="6">
        <f t="shared" si="2"/>
        <v>6135</v>
      </c>
    </row>
    <row r="24" spans="1:26" ht="18" customHeight="1" thickTop="1" thickBot="1" x14ac:dyDescent="0.35">
      <c r="A24" s="19">
        <v>19</v>
      </c>
      <c r="B24" s="33">
        <f>3497+13+401</f>
        <v>3911</v>
      </c>
      <c r="C24" s="33">
        <v>0</v>
      </c>
      <c r="D24" s="33">
        <f>735+334+1</f>
        <v>1070</v>
      </c>
      <c r="E24" s="33">
        <v>154</v>
      </c>
      <c r="F24" s="33">
        <v>215</v>
      </c>
      <c r="G24" s="33">
        <v>228</v>
      </c>
      <c r="H24" s="33">
        <f t="shared" si="1"/>
        <v>5578</v>
      </c>
      <c r="I24" s="33">
        <v>0</v>
      </c>
      <c r="J24" s="17"/>
      <c r="K24" s="19">
        <v>19</v>
      </c>
      <c r="L24" s="25">
        <v>2</v>
      </c>
      <c r="M24" s="25">
        <v>6</v>
      </c>
      <c r="N24" s="25">
        <v>0</v>
      </c>
      <c r="O24" s="33">
        <f t="shared" si="0"/>
        <v>8</v>
      </c>
      <c r="P24" s="6">
        <f t="shared" si="2"/>
        <v>6135</v>
      </c>
    </row>
    <row r="25" spans="1:26" ht="18" customHeight="1" thickTop="1" thickBot="1" x14ac:dyDescent="0.35">
      <c r="A25" s="19">
        <v>20</v>
      </c>
      <c r="B25" s="33">
        <f>5191+4+378</f>
        <v>5573</v>
      </c>
      <c r="C25" s="33">
        <v>2</v>
      </c>
      <c r="D25" s="33">
        <f>560+326+3</f>
        <v>889</v>
      </c>
      <c r="E25" s="33">
        <f>129+3</f>
        <v>132</v>
      </c>
      <c r="F25" s="33">
        <v>141</v>
      </c>
      <c r="G25" s="33">
        <v>187</v>
      </c>
      <c r="H25" s="33">
        <f t="shared" si="1"/>
        <v>6924</v>
      </c>
      <c r="I25" s="33">
        <v>0</v>
      </c>
      <c r="J25" s="17"/>
      <c r="K25" s="19">
        <v>20</v>
      </c>
      <c r="L25" s="25">
        <v>1</v>
      </c>
      <c r="M25" s="25">
        <v>4</v>
      </c>
      <c r="N25" s="25">
        <v>1</v>
      </c>
      <c r="O25" s="33">
        <f t="shared" si="0"/>
        <v>6</v>
      </c>
      <c r="P25" s="6">
        <f t="shared" si="2"/>
        <v>6135</v>
      </c>
    </row>
    <row r="26" spans="1:26" ht="18" customHeight="1" thickTop="1" thickBot="1" x14ac:dyDescent="0.35">
      <c r="A26" s="19">
        <v>21</v>
      </c>
      <c r="B26" s="33">
        <f>2370+26+410</f>
        <v>2806</v>
      </c>
      <c r="C26" s="33">
        <v>0</v>
      </c>
      <c r="D26" s="33">
        <f>889+233+6</f>
        <v>1128</v>
      </c>
      <c r="E26" s="33">
        <v>189</v>
      </c>
      <c r="F26" s="33">
        <v>239</v>
      </c>
      <c r="G26" s="33">
        <v>259</v>
      </c>
      <c r="H26" s="33">
        <f t="shared" si="1"/>
        <v>4621</v>
      </c>
      <c r="I26" s="33">
        <v>0</v>
      </c>
      <c r="J26" s="17"/>
      <c r="K26" s="19">
        <v>21</v>
      </c>
      <c r="L26" s="25">
        <v>2</v>
      </c>
      <c r="M26" s="25">
        <v>8</v>
      </c>
      <c r="N26" s="25">
        <v>1</v>
      </c>
      <c r="O26" s="33">
        <f t="shared" si="0"/>
        <v>11</v>
      </c>
      <c r="P26" s="6">
        <f t="shared" si="2"/>
        <v>6135</v>
      </c>
    </row>
    <row r="27" spans="1:26" ht="18" customHeight="1" thickTop="1" thickBot="1" x14ac:dyDescent="0.35">
      <c r="A27" s="19">
        <v>22</v>
      </c>
      <c r="B27" s="33">
        <f>1488+28+409</f>
        <v>1925</v>
      </c>
      <c r="C27" s="33">
        <v>2</v>
      </c>
      <c r="D27" s="33">
        <f>1077+233+10</f>
        <v>1320</v>
      </c>
      <c r="E27" s="33">
        <f>190+21</f>
        <v>211</v>
      </c>
      <c r="F27" s="33">
        <v>236</v>
      </c>
      <c r="G27" s="33">
        <v>315</v>
      </c>
      <c r="H27" s="33">
        <f t="shared" si="1"/>
        <v>4009</v>
      </c>
      <c r="I27" s="33">
        <v>0</v>
      </c>
      <c r="J27" s="17"/>
      <c r="K27" s="19">
        <v>22</v>
      </c>
      <c r="L27" s="25">
        <v>3</v>
      </c>
      <c r="M27" s="25">
        <v>9</v>
      </c>
      <c r="N27" s="25">
        <v>1</v>
      </c>
      <c r="O27" s="33">
        <f t="shared" si="0"/>
        <v>13</v>
      </c>
      <c r="P27" s="6">
        <f t="shared" si="2"/>
        <v>6135</v>
      </c>
    </row>
    <row r="28" spans="1:26" ht="18" customHeight="1" thickTop="1" thickBot="1" x14ac:dyDescent="0.35">
      <c r="A28" s="19">
        <v>23</v>
      </c>
      <c r="B28" s="33">
        <f>2083+23+419</f>
        <v>2525</v>
      </c>
      <c r="C28" s="33">
        <v>4</v>
      </c>
      <c r="D28" s="33">
        <f>1042+236+11</f>
        <v>1289</v>
      </c>
      <c r="E28" s="33">
        <f>183+36</f>
        <v>219</v>
      </c>
      <c r="F28" s="33">
        <v>274</v>
      </c>
      <c r="G28" s="33">
        <v>319</v>
      </c>
      <c r="H28" s="33">
        <f t="shared" si="1"/>
        <v>4630</v>
      </c>
      <c r="I28" s="33">
        <v>0</v>
      </c>
      <c r="J28" s="17"/>
      <c r="K28" s="19">
        <v>23</v>
      </c>
      <c r="L28" s="25">
        <v>2</v>
      </c>
      <c r="M28" s="25">
        <v>9</v>
      </c>
      <c r="N28" s="25">
        <v>2</v>
      </c>
      <c r="O28" s="33">
        <f t="shared" si="0"/>
        <v>13</v>
      </c>
      <c r="P28" s="6">
        <f t="shared" si="2"/>
        <v>6135</v>
      </c>
    </row>
    <row r="29" spans="1:26" ht="18" customHeight="1" thickTop="1" thickBot="1" x14ac:dyDescent="0.35">
      <c r="A29" s="19">
        <v>24</v>
      </c>
      <c r="B29" s="33">
        <f>2184+24+418</f>
        <v>2626</v>
      </c>
      <c r="C29" s="33">
        <v>2</v>
      </c>
      <c r="D29" s="33">
        <f>1093+244+13</f>
        <v>1350</v>
      </c>
      <c r="E29" s="33">
        <f>181+24</f>
        <v>205</v>
      </c>
      <c r="F29" s="33">
        <v>255</v>
      </c>
      <c r="G29" s="33">
        <v>266</v>
      </c>
      <c r="H29" s="33">
        <f t="shared" si="1"/>
        <v>4704</v>
      </c>
      <c r="I29" s="33">
        <v>0</v>
      </c>
      <c r="J29" s="17"/>
      <c r="K29" s="19">
        <v>24</v>
      </c>
      <c r="L29" s="25">
        <v>0</v>
      </c>
      <c r="M29" s="25">
        <v>10</v>
      </c>
      <c r="N29" s="25">
        <v>3</v>
      </c>
      <c r="O29" s="33">
        <f t="shared" si="0"/>
        <v>13</v>
      </c>
      <c r="P29" s="6">
        <f t="shared" si="2"/>
        <v>6135</v>
      </c>
    </row>
    <row r="30" spans="1:26" ht="18" customHeight="1" thickTop="1" thickBot="1" x14ac:dyDescent="0.35">
      <c r="A30" s="19">
        <v>25</v>
      </c>
      <c r="B30" s="33">
        <f>3150+18+466</f>
        <v>3634</v>
      </c>
      <c r="C30" s="33">
        <v>6</v>
      </c>
      <c r="D30" s="33">
        <f>953+292+12</f>
        <v>1257</v>
      </c>
      <c r="E30" s="33">
        <v>180</v>
      </c>
      <c r="F30" s="33">
        <v>251</v>
      </c>
      <c r="G30" s="33">
        <v>276</v>
      </c>
      <c r="H30" s="33">
        <f t="shared" si="1"/>
        <v>5604</v>
      </c>
      <c r="I30" s="33">
        <v>0</v>
      </c>
      <c r="J30" s="17"/>
      <c r="K30" s="19">
        <v>25</v>
      </c>
      <c r="L30" s="25">
        <v>1</v>
      </c>
      <c r="M30" s="25">
        <v>9</v>
      </c>
      <c r="N30" s="25">
        <v>1</v>
      </c>
      <c r="O30" s="33">
        <f t="shared" si="0"/>
        <v>11</v>
      </c>
      <c r="P30" s="6">
        <f t="shared" si="2"/>
        <v>6135</v>
      </c>
    </row>
    <row r="31" spans="1:26" ht="18" customHeight="1" thickTop="1" thickBot="1" x14ac:dyDescent="0.35">
      <c r="A31" s="19">
        <v>26</v>
      </c>
      <c r="B31" s="33">
        <f>3706+12+369</f>
        <v>4087</v>
      </c>
      <c r="C31" s="33">
        <v>2</v>
      </c>
      <c r="D31" s="33">
        <f>758+434+9</f>
        <v>1201</v>
      </c>
      <c r="E31" s="33">
        <v>158</v>
      </c>
      <c r="F31" s="33">
        <v>251</v>
      </c>
      <c r="G31" s="33">
        <v>246</v>
      </c>
      <c r="H31" s="33">
        <f t="shared" si="1"/>
        <v>5945</v>
      </c>
      <c r="I31" s="33">
        <v>0</v>
      </c>
      <c r="J31" s="17"/>
      <c r="K31" s="19">
        <v>26</v>
      </c>
      <c r="L31" s="25">
        <v>3</v>
      </c>
      <c r="M31" s="25">
        <v>9</v>
      </c>
      <c r="N31" s="25">
        <v>7</v>
      </c>
      <c r="O31" s="33">
        <f t="shared" si="0"/>
        <v>19</v>
      </c>
      <c r="P31" s="6">
        <f t="shared" si="2"/>
        <v>6135</v>
      </c>
    </row>
    <row r="32" spans="1:26" ht="18" customHeight="1" thickTop="1" thickBot="1" x14ac:dyDescent="0.35">
      <c r="A32" s="19">
        <v>27</v>
      </c>
      <c r="B32" s="33">
        <f>5307+2+330</f>
        <v>5639</v>
      </c>
      <c r="C32" s="33">
        <v>2</v>
      </c>
      <c r="D32" s="33">
        <f>645+372+1</f>
        <v>1018</v>
      </c>
      <c r="E32" s="33">
        <v>116</v>
      </c>
      <c r="F32" s="33">
        <v>146</v>
      </c>
      <c r="G32" s="33">
        <v>206</v>
      </c>
      <c r="H32" s="33">
        <f t="shared" si="1"/>
        <v>7127</v>
      </c>
      <c r="I32" s="33">
        <v>0</v>
      </c>
      <c r="J32" s="17"/>
      <c r="K32" s="19">
        <v>27</v>
      </c>
      <c r="L32" s="25">
        <v>1</v>
      </c>
      <c r="M32" s="25">
        <v>3</v>
      </c>
      <c r="N32" s="25">
        <v>1</v>
      </c>
      <c r="O32" s="33">
        <f t="shared" si="0"/>
        <v>5</v>
      </c>
      <c r="P32" s="6">
        <f t="shared" si="2"/>
        <v>6135</v>
      </c>
    </row>
    <row r="33" spans="1:16" ht="18" customHeight="1" thickTop="1" thickBot="1" x14ac:dyDescent="0.35">
      <c r="A33" s="19">
        <v>28</v>
      </c>
      <c r="B33" s="33">
        <f>2150+21+386</f>
        <v>2557</v>
      </c>
      <c r="C33" s="33">
        <v>4</v>
      </c>
      <c r="D33" s="33">
        <f>858+224+9</f>
        <v>1091</v>
      </c>
      <c r="E33" s="33">
        <f>142+19</f>
        <v>161</v>
      </c>
      <c r="F33" s="33">
        <v>225</v>
      </c>
      <c r="G33" s="33">
        <v>261</v>
      </c>
      <c r="H33" s="33">
        <f t="shared" si="1"/>
        <v>4299</v>
      </c>
      <c r="I33" s="33">
        <v>0</v>
      </c>
      <c r="J33" s="17"/>
      <c r="K33" s="19">
        <v>28</v>
      </c>
      <c r="L33" s="25">
        <v>0</v>
      </c>
      <c r="M33" s="25">
        <v>14</v>
      </c>
      <c r="N33" s="25">
        <v>1</v>
      </c>
      <c r="O33" s="33">
        <f t="shared" si="0"/>
        <v>15</v>
      </c>
      <c r="P33" s="6">
        <f t="shared" si="2"/>
        <v>6135</v>
      </c>
    </row>
    <row r="34" spans="1:16" ht="18" customHeight="1" thickTop="1" thickBot="1" x14ac:dyDescent="0.35">
      <c r="A34" s="19">
        <v>29</v>
      </c>
      <c r="B34" s="33">
        <f>1843+19+388</f>
        <v>2250</v>
      </c>
      <c r="C34" s="33">
        <v>6</v>
      </c>
      <c r="D34" s="33">
        <f>998+237+13</f>
        <v>1248</v>
      </c>
      <c r="E34" s="33">
        <f>178+16</f>
        <v>194</v>
      </c>
      <c r="F34" s="33">
        <v>230</v>
      </c>
      <c r="G34" s="33">
        <v>233</v>
      </c>
      <c r="H34" s="33">
        <f t="shared" si="1"/>
        <v>4161</v>
      </c>
      <c r="I34" s="33">
        <v>0</v>
      </c>
      <c r="J34" s="17"/>
      <c r="K34" s="19">
        <v>29</v>
      </c>
      <c r="L34" s="33">
        <v>0</v>
      </c>
      <c r="M34" s="33">
        <v>10</v>
      </c>
      <c r="N34" s="33">
        <v>2</v>
      </c>
      <c r="O34" s="33">
        <f>SUM(L34:N34)</f>
        <v>12</v>
      </c>
      <c r="P34" s="6">
        <f t="shared" si="2"/>
        <v>6135</v>
      </c>
    </row>
    <row r="35" spans="1:16" ht="18" customHeight="1" thickTop="1" thickBot="1" x14ac:dyDescent="0.35">
      <c r="A35" s="19">
        <v>30</v>
      </c>
      <c r="B35" s="33">
        <f>1923+15+402</f>
        <v>2340</v>
      </c>
      <c r="C35" s="33">
        <v>10</v>
      </c>
      <c r="D35" s="33">
        <f>1159+234+7</f>
        <v>1400</v>
      </c>
      <c r="E35" s="33">
        <f>189+6</f>
        <v>195</v>
      </c>
      <c r="F35" s="33">
        <v>277</v>
      </c>
      <c r="G35" s="33">
        <v>328</v>
      </c>
      <c r="H35" s="33">
        <f t="shared" si="1"/>
        <v>4550</v>
      </c>
      <c r="I35" s="33">
        <v>0</v>
      </c>
      <c r="J35" s="17"/>
      <c r="K35" s="19">
        <v>30</v>
      </c>
      <c r="L35" s="33">
        <v>0</v>
      </c>
      <c r="M35" s="33">
        <v>10</v>
      </c>
      <c r="N35" s="33">
        <v>3</v>
      </c>
      <c r="O35" s="33">
        <f>SUM(L35:N35)</f>
        <v>13</v>
      </c>
      <c r="P35" s="6">
        <f t="shared" si="2"/>
        <v>6135</v>
      </c>
    </row>
    <row r="36" spans="1:16" ht="18" hidden="1" customHeight="1" x14ac:dyDescent="0.3">
      <c r="A36" s="19">
        <v>31</v>
      </c>
      <c r="B36" s="33"/>
      <c r="C36" s="33"/>
      <c r="D36" s="33"/>
      <c r="E36" s="33"/>
      <c r="F36" s="33"/>
      <c r="G36" s="33"/>
      <c r="H36" s="33">
        <f t="shared" si="1"/>
        <v>0</v>
      </c>
      <c r="I36" s="33">
        <v>0</v>
      </c>
      <c r="J36" s="17"/>
      <c r="K36" s="19">
        <v>31</v>
      </c>
      <c r="L36" s="33"/>
      <c r="M36" s="33"/>
      <c r="N36" s="33"/>
      <c r="O36" s="33">
        <f>SUM(L36:N36)</f>
        <v>0</v>
      </c>
      <c r="P36" s="6">
        <f t="shared" si="2"/>
        <v>6135</v>
      </c>
    </row>
    <row r="37" spans="1:16" ht="18" customHeight="1" thickTop="1" x14ac:dyDescent="0.3">
      <c r="A37" s="20" t="s">
        <v>19</v>
      </c>
      <c r="B37" s="14">
        <f>SUM(B6:B36)</f>
        <v>96240</v>
      </c>
      <c r="C37" s="14">
        <f t="shared" ref="C37:H37" si="3">SUM(C6:C36)</f>
        <v>58</v>
      </c>
      <c r="D37" s="14">
        <f t="shared" si="3"/>
        <v>36350</v>
      </c>
      <c r="E37" s="14">
        <f t="shared" si="3"/>
        <v>5506</v>
      </c>
      <c r="F37" s="14">
        <f t="shared" si="3"/>
        <v>6919</v>
      </c>
      <c r="G37" s="14">
        <f t="shared" si="3"/>
        <v>7777</v>
      </c>
      <c r="H37" s="14">
        <f t="shared" si="3"/>
        <v>152850</v>
      </c>
      <c r="I37" s="14">
        <f t="shared" ref="I37" si="4">SUM(I6:I33)</f>
        <v>0</v>
      </c>
      <c r="J37" s="14"/>
      <c r="K37" s="14" t="s">
        <v>29</v>
      </c>
      <c r="L37" s="14">
        <f>SUM(L6:L36)</f>
        <v>35</v>
      </c>
      <c r="M37" s="14">
        <f t="shared" ref="M37:N37" si="5">SUM(M6:M36)</f>
        <v>292</v>
      </c>
      <c r="N37" s="14">
        <f t="shared" si="5"/>
        <v>69</v>
      </c>
      <c r="O37" s="8">
        <f>SUM(O6:O35)</f>
        <v>396</v>
      </c>
    </row>
    <row r="38" spans="1:16" ht="18" customHeight="1" x14ac:dyDescent="0.3">
      <c r="A38" s="20" t="s">
        <v>19</v>
      </c>
      <c r="B38" s="59">
        <f>+B37+C37</f>
        <v>96298</v>
      </c>
      <c r="C38" s="59"/>
      <c r="D38" s="14">
        <f>+D37</f>
        <v>36350</v>
      </c>
      <c r="E38" s="14">
        <f>+E37</f>
        <v>5506</v>
      </c>
      <c r="F38" s="14">
        <f>+F37</f>
        <v>6919</v>
      </c>
      <c r="G38" s="14">
        <f>+G37</f>
        <v>7777</v>
      </c>
      <c r="H38" s="8">
        <f>+H37</f>
        <v>152850</v>
      </c>
      <c r="I38" s="14">
        <v>0</v>
      </c>
      <c r="J38" s="31"/>
      <c r="K38" s="20"/>
      <c r="L38" s="13" t="s">
        <v>20</v>
      </c>
      <c r="M38" s="13" t="s">
        <v>21</v>
      </c>
      <c r="N38" s="13" t="s">
        <v>20</v>
      </c>
      <c r="O38" s="13" t="s">
        <v>21</v>
      </c>
    </row>
    <row r="39" spans="1:16" ht="18" customHeight="1" x14ac:dyDescent="0.3">
      <c r="A39" s="30" t="s">
        <v>22</v>
      </c>
      <c r="B39" s="12"/>
      <c r="C39" s="12"/>
      <c r="D39" s="12"/>
      <c r="E39" s="12"/>
      <c r="F39" s="12"/>
      <c r="G39" s="12"/>
      <c r="H39" s="12"/>
      <c r="L39" s="11"/>
    </row>
    <row r="40" spans="1:16" x14ac:dyDescent="0.3">
      <c r="A40" s="28"/>
      <c r="B40" s="10"/>
      <c r="C40" s="10"/>
      <c r="D40" s="10"/>
      <c r="E40" s="10"/>
      <c r="F40" s="10"/>
      <c r="G40" s="10"/>
      <c r="H40" s="10"/>
      <c r="I40" s="10"/>
      <c r="J40" s="11"/>
      <c r="K40" s="57"/>
      <c r="L40" s="56"/>
    </row>
    <row r="41" spans="1:16" x14ac:dyDescent="0.3">
      <c r="A41" s="32"/>
      <c r="H41" s="32"/>
      <c r="K41" s="57"/>
      <c r="L41" s="56"/>
    </row>
    <row r="42" spans="1:16" x14ac:dyDescent="0.3">
      <c r="K42" s="57"/>
      <c r="L42" s="56"/>
    </row>
    <row r="43" spans="1:16" x14ac:dyDescent="0.3">
      <c r="I43" s="32"/>
      <c r="J43" s="32"/>
    </row>
    <row r="45" spans="1:16" x14ac:dyDescent="0.3">
      <c r="A45" s="27"/>
    </row>
    <row r="46" spans="1:16" x14ac:dyDescent="0.3">
      <c r="A46" s="27"/>
      <c r="B46" s="32"/>
      <c r="C46" s="32"/>
      <c r="D46" s="32"/>
      <c r="E46" s="32"/>
      <c r="F46" s="32"/>
      <c r="G46" s="32"/>
      <c r="H46" s="32"/>
      <c r="I46" s="32"/>
      <c r="J46" s="32"/>
      <c r="K46" s="9"/>
      <c r="L46" s="32"/>
      <c r="M46" s="32"/>
      <c r="N46" s="32"/>
      <c r="O46" s="32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452EA-875F-4F1E-A08D-33B1C0541CDE}">
  <dimension ref="A1:Z46"/>
  <sheetViews>
    <sheetView topLeftCell="A25" workbookViewId="0">
      <selection activeCell="J11" sqref="J11"/>
    </sheetView>
  </sheetViews>
  <sheetFormatPr baseColWidth="10" defaultColWidth="11.44140625" defaultRowHeight="13.8" x14ac:dyDescent="0.3"/>
  <cols>
    <col min="1" max="9" width="11.44140625" style="21"/>
    <col min="10" max="10" width="4.6640625" style="21" customWidth="1"/>
    <col min="11" max="11" width="11.44140625" style="29"/>
    <col min="12" max="15" width="11.44140625" style="21"/>
    <col min="16" max="16" width="0" style="21" hidden="1" customWidth="1"/>
    <col min="17" max="16384" width="11.44140625" style="21"/>
  </cols>
  <sheetData>
    <row r="1" spans="1:19" s="24" customFormat="1" ht="15.6" x14ac:dyDescent="0.3">
      <c r="A1" s="64" t="s">
        <v>23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</row>
    <row r="2" spans="1:19" s="24" customFormat="1" ht="15.6" x14ac:dyDescent="0.3">
      <c r="A2" s="64" t="s">
        <v>24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1:19" s="24" customFormat="1" ht="15.6" x14ac:dyDescent="0.3">
      <c r="A3" s="65" t="s">
        <v>34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1:19" ht="78" customHeight="1" x14ac:dyDescent="0.3">
      <c r="A4" s="62" t="s">
        <v>1</v>
      </c>
      <c r="B4" s="60" t="s">
        <v>2</v>
      </c>
      <c r="C4" s="60"/>
      <c r="D4" s="23" t="s">
        <v>3</v>
      </c>
      <c r="E4" s="23" t="s">
        <v>4</v>
      </c>
      <c r="F4" s="23" t="s">
        <v>5</v>
      </c>
      <c r="G4" s="23" t="s">
        <v>6</v>
      </c>
      <c r="H4" s="60" t="s">
        <v>7</v>
      </c>
      <c r="I4" s="60" t="s">
        <v>8</v>
      </c>
      <c r="J4" s="22"/>
      <c r="K4" s="61" t="s">
        <v>1</v>
      </c>
      <c r="L4" s="60" t="s">
        <v>9</v>
      </c>
      <c r="M4" s="60" t="s">
        <v>10</v>
      </c>
      <c r="N4" s="60" t="s">
        <v>11</v>
      </c>
      <c r="O4" s="60" t="s">
        <v>12</v>
      </c>
    </row>
    <row r="5" spans="1:19" ht="18" customHeight="1" x14ac:dyDescent="0.3">
      <c r="A5" s="63"/>
      <c r="B5" s="20" t="s">
        <v>13</v>
      </c>
      <c r="C5" s="20" t="s">
        <v>14</v>
      </c>
      <c r="D5" s="20" t="s">
        <v>15</v>
      </c>
      <c r="E5" s="20" t="s">
        <v>16</v>
      </c>
      <c r="F5" s="20" t="s">
        <v>17</v>
      </c>
      <c r="G5" s="20" t="s">
        <v>18</v>
      </c>
      <c r="H5" s="60"/>
      <c r="I5" s="60"/>
      <c r="J5" s="22"/>
      <c r="K5" s="61"/>
      <c r="L5" s="60"/>
      <c r="M5" s="60"/>
      <c r="N5" s="60"/>
      <c r="O5" s="60"/>
    </row>
    <row r="6" spans="1:19" ht="18" customHeight="1" thickBot="1" x14ac:dyDescent="0.35">
      <c r="A6" s="19">
        <v>1</v>
      </c>
      <c r="B6" s="33">
        <f>2203+21+433</f>
        <v>2657</v>
      </c>
      <c r="C6" s="33">
        <v>2</v>
      </c>
      <c r="D6" s="33">
        <f>1042+235+9</f>
        <v>1286</v>
      </c>
      <c r="E6" s="33">
        <v>184</v>
      </c>
      <c r="F6" s="33">
        <v>239</v>
      </c>
      <c r="G6" s="33">
        <v>290</v>
      </c>
      <c r="H6" s="33">
        <f>SUM(B6:G6)</f>
        <v>4658</v>
      </c>
      <c r="I6" s="33">
        <v>0</v>
      </c>
      <c r="J6" s="18"/>
      <c r="K6" s="19">
        <v>1</v>
      </c>
      <c r="L6" s="25">
        <v>1</v>
      </c>
      <c r="M6" s="25">
        <v>12</v>
      </c>
      <c r="N6" s="25">
        <v>3</v>
      </c>
      <c r="O6" s="33">
        <f>SUM(L6:N6)</f>
        <v>16</v>
      </c>
      <c r="P6" s="6">
        <v>6135</v>
      </c>
    </row>
    <row r="7" spans="1:19" ht="18" customHeight="1" thickTop="1" thickBot="1" x14ac:dyDescent="0.35">
      <c r="A7" s="19">
        <v>2</v>
      </c>
      <c r="B7" s="33">
        <f>3890+19+476</f>
        <v>4385</v>
      </c>
      <c r="C7" s="33">
        <v>2</v>
      </c>
      <c r="D7" s="33">
        <f>999+304+7</f>
        <v>1310</v>
      </c>
      <c r="E7" s="33">
        <f>159+9</f>
        <v>168</v>
      </c>
      <c r="F7" s="33">
        <v>306</v>
      </c>
      <c r="G7" s="33">
        <v>248</v>
      </c>
      <c r="H7" s="33">
        <f>SUM(B7:G7)</f>
        <v>6419</v>
      </c>
      <c r="I7" s="33">
        <v>0</v>
      </c>
      <c r="J7" s="18"/>
      <c r="K7" s="19">
        <v>2</v>
      </c>
      <c r="L7" s="25">
        <v>3</v>
      </c>
      <c r="M7" s="25">
        <v>5</v>
      </c>
      <c r="N7" s="25">
        <v>2</v>
      </c>
      <c r="O7" s="33">
        <f t="shared" ref="O7:O33" si="0">SUM(L7:N7)</f>
        <v>10</v>
      </c>
      <c r="P7" s="6">
        <f>+P6</f>
        <v>6135</v>
      </c>
    </row>
    <row r="8" spans="1:19" ht="18" customHeight="1" thickTop="1" thickBot="1" x14ac:dyDescent="0.35">
      <c r="A8" s="19">
        <v>3</v>
      </c>
      <c r="B8" s="33">
        <f>4761+16+413</f>
        <v>5190</v>
      </c>
      <c r="C8" s="33">
        <v>2</v>
      </c>
      <c r="D8" s="33">
        <f>727+401+4</f>
        <v>1132</v>
      </c>
      <c r="E8" s="33">
        <v>119</v>
      </c>
      <c r="F8" s="33">
        <v>219</v>
      </c>
      <c r="G8" s="33">
        <v>172</v>
      </c>
      <c r="H8" s="33">
        <f t="shared" ref="H8:H36" si="1">SUM(B8:G8)</f>
        <v>6834</v>
      </c>
      <c r="I8" s="33">
        <v>0</v>
      </c>
      <c r="J8" s="18"/>
      <c r="K8" s="19">
        <v>3</v>
      </c>
      <c r="L8" s="25">
        <v>2</v>
      </c>
      <c r="M8" s="25">
        <v>11</v>
      </c>
      <c r="N8" s="25">
        <v>5</v>
      </c>
      <c r="O8" s="33">
        <f t="shared" si="0"/>
        <v>18</v>
      </c>
      <c r="P8" s="6">
        <f t="shared" ref="P8:P36" si="2">+P7</f>
        <v>6135</v>
      </c>
      <c r="S8" s="32"/>
    </row>
    <row r="9" spans="1:19" ht="18" customHeight="1" thickTop="1" thickBot="1" x14ac:dyDescent="0.35">
      <c r="A9" s="19">
        <v>4</v>
      </c>
      <c r="B9" s="33">
        <f>5842+12+386</f>
        <v>6240</v>
      </c>
      <c r="C9" s="33">
        <v>0</v>
      </c>
      <c r="D9" s="33">
        <f>573+416+1</f>
        <v>990</v>
      </c>
      <c r="E9" s="33">
        <v>117</v>
      </c>
      <c r="F9" s="33">
        <v>154</v>
      </c>
      <c r="G9" s="33">
        <v>192</v>
      </c>
      <c r="H9" s="33">
        <f t="shared" si="1"/>
        <v>7693</v>
      </c>
      <c r="I9" s="33">
        <v>0</v>
      </c>
      <c r="J9" s="18"/>
      <c r="K9" s="19">
        <v>4</v>
      </c>
      <c r="L9" s="25">
        <v>0</v>
      </c>
      <c r="M9" s="25">
        <v>0</v>
      </c>
      <c r="N9" s="25">
        <v>1</v>
      </c>
      <c r="O9" s="33">
        <f t="shared" si="0"/>
        <v>1</v>
      </c>
      <c r="P9" s="6">
        <f t="shared" si="2"/>
        <v>6135</v>
      </c>
    </row>
    <row r="10" spans="1:19" ht="18" customHeight="1" thickTop="1" thickBot="1" x14ac:dyDescent="0.35">
      <c r="A10" s="19">
        <v>5</v>
      </c>
      <c r="B10" s="33">
        <f>2932+8+414</f>
        <v>3354</v>
      </c>
      <c r="C10" s="33">
        <v>2</v>
      </c>
      <c r="D10" s="33">
        <f>842+276+10</f>
        <v>1128</v>
      </c>
      <c r="E10" s="33">
        <v>176</v>
      </c>
      <c r="F10" s="33">
        <v>222</v>
      </c>
      <c r="G10" s="33">
        <v>232</v>
      </c>
      <c r="H10" s="33">
        <f t="shared" si="1"/>
        <v>5114</v>
      </c>
      <c r="I10" s="33">
        <v>0</v>
      </c>
      <c r="J10" s="18"/>
      <c r="K10" s="19">
        <v>5</v>
      </c>
      <c r="L10" s="25">
        <v>0</v>
      </c>
      <c r="M10" s="25">
        <v>10</v>
      </c>
      <c r="N10" s="25">
        <v>0</v>
      </c>
      <c r="O10" s="33">
        <f t="shared" si="0"/>
        <v>10</v>
      </c>
      <c r="P10" s="6">
        <f t="shared" si="2"/>
        <v>6135</v>
      </c>
    </row>
    <row r="11" spans="1:19" ht="18" customHeight="1" thickTop="1" thickBot="1" x14ac:dyDescent="0.35">
      <c r="A11" s="19">
        <v>6</v>
      </c>
      <c r="B11" s="33">
        <f>2977+16+441</f>
        <v>3434</v>
      </c>
      <c r="C11" s="33">
        <v>0</v>
      </c>
      <c r="D11" s="33">
        <f>1123+288+6</f>
        <v>1417</v>
      </c>
      <c r="E11" s="33">
        <v>200</v>
      </c>
      <c r="F11" s="33">
        <v>238</v>
      </c>
      <c r="G11" s="33">
        <v>291</v>
      </c>
      <c r="H11" s="33">
        <f t="shared" si="1"/>
        <v>5580</v>
      </c>
      <c r="I11" s="33">
        <v>0</v>
      </c>
      <c r="J11" s="18"/>
      <c r="K11" s="19">
        <v>6</v>
      </c>
      <c r="L11" s="25">
        <v>0</v>
      </c>
      <c r="M11" s="25">
        <v>8</v>
      </c>
      <c r="N11" s="25">
        <v>2</v>
      </c>
      <c r="O11" s="33">
        <f t="shared" si="0"/>
        <v>10</v>
      </c>
      <c r="P11" s="6">
        <f t="shared" si="2"/>
        <v>6135</v>
      </c>
    </row>
    <row r="12" spans="1:19" ht="18" customHeight="1" thickTop="1" thickBot="1" x14ac:dyDescent="0.35">
      <c r="A12" s="19">
        <v>7</v>
      </c>
      <c r="B12" s="33">
        <f>3437+18+466</f>
        <v>3921</v>
      </c>
      <c r="C12" s="33">
        <v>2</v>
      </c>
      <c r="D12" s="33">
        <f>1162+276+5</f>
        <v>1443</v>
      </c>
      <c r="E12" s="33">
        <f>222+1</f>
        <v>223</v>
      </c>
      <c r="F12" s="33">
        <v>320</v>
      </c>
      <c r="G12" s="33">
        <v>337</v>
      </c>
      <c r="H12" s="33">
        <f t="shared" si="1"/>
        <v>6246</v>
      </c>
      <c r="I12" s="33">
        <v>0</v>
      </c>
      <c r="J12" s="17"/>
      <c r="K12" s="19">
        <v>7</v>
      </c>
      <c r="L12" s="25">
        <v>1</v>
      </c>
      <c r="M12" s="25">
        <v>11</v>
      </c>
      <c r="N12" s="25">
        <v>1</v>
      </c>
      <c r="O12" s="33">
        <f t="shared" si="0"/>
        <v>13</v>
      </c>
      <c r="P12" s="6">
        <f t="shared" si="2"/>
        <v>6135</v>
      </c>
    </row>
    <row r="13" spans="1:19" ht="18" customHeight="1" thickTop="1" thickBot="1" x14ac:dyDescent="0.35">
      <c r="A13" s="19">
        <v>8</v>
      </c>
      <c r="B13" s="33">
        <f>4031+23+504</f>
        <v>4558</v>
      </c>
      <c r="C13" s="33">
        <v>0</v>
      </c>
      <c r="D13" s="33">
        <f>1140+287+5</f>
        <v>1432</v>
      </c>
      <c r="E13" s="33">
        <f>197+12</f>
        <v>209</v>
      </c>
      <c r="F13" s="33">
        <v>244</v>
      </c>
      <c r="G13" s="33">
        <v>323</v>
      </c>
      <c r="H13" s="33">
        <f t="shared" si="1"/>
        <v>6766</v>
      </c>
      <c r="I13" s="33">
        <v>0</v>
      </c>
      <c r="J13" s="17"/>
      <c r="K13" s="19">
        <v>8</v>
      </c>
      <c r="L13" s="25">
        <v>4</v>
      </c>
      <c r="M13" s="25">
        <v>18</v>
      </c>
      <c r="N13" s="25">
        <v>2</v>
      </c>
      <c r="O13" s="33">
        <f t="shared" si="0"/>
        <v>24</v>
      </c>
      <c r="P13" s="6">
        <f t="shared" si="2"/>
        <v>6135</v>
      </c>
    </row>
    <row r="14" spans="1:19" s="15" customFormat="1" ht="18" customHeight="1" thickTop="1" thickBot="1" x14ac:dyDescent="0.35">
      <c r="A14" s="19">
        <v>9</v>
      </c>
      <c r="B14" s="33">
        <f>7765+17+672</f>
        <v>8454</v>
      </c>
      <c r="C14" s="33">
        <v>2</v>
      </c>
      <c r="D14" s="33">
        <f>1114+467+5</f>
        <v>1586</v>
      </c>
      <c r="E14" s="33">
        <f>207+5</f>
        <v>212</v>
      </c>
      <c r="F14" s="33">
        <v>326</v>
      </c>
      <c r="G14" s="33">
        <v>352</v>
      </c>
      <c r="H14" s="33">
        <f t="shared" si="1"/>
        <v>10932</v>
      </c>
      <c r="I14" s="33">
        <v>0</v>
      </c>
      <c r="J14" s="17"/>
      <c r="K14" s="19">
        <v>9</v>
      </c>
      <c r="L14" s="25">
        <v>1</v>
      </c>
      <c r="M14" s="25">
        <v>11</v>
      </c>
      <c r="N14" s="25">
        <v>0</v>
      </c>
      <c r="O14" s="33">
        <f t="shared" si="0"/>
        <v>12</v>
      </c>
      <c r="P14" s="16">
        <f t="shared" si="2"/>
        <v>6135</v>
      </c>
    </row>
    <row r="15" spans="1:19" ht="18" customHeight="1" thickTop="1" thickBot="1" x14ac:dyDescent="0.35">
      <c r="A15" s="19">
        <v>10</v>
      </c>
      <c r="B15" s="33">
        <f>8534+13+633</f>
        <v>9180</v>
      </c>
      <c r="C15" s="33">
        <v>2</v>
      </c>
      <c r="D15" s="33">
        <f>591+475+5</f>
        <v>1071</v>
      </c>
      <c r="E15" s="33">
        <v>82</v>
      </c>
      <c r="F15" s="33">
        <v>213</v>
      </c>
      <c r="G15" s="33">
        <v>158</v>
      </c>
      <c r="H15" s="33">
        <f t="shared" si="1"/>
        <v>10706</v>
      </c>
      <c r="I15" s="33">
        <v>0</v>
      </c>
      <c r="J15" s="17"/>
      <c r="K15" s="19">
        <v>10</v>
      </c>
      <c r="L15" s="25">
        <v>1</v>
      </c>
      <c r="M15" s="25">
        <v>6</v>
      </c>
      <c r="N15" s="25">
        <v>1</v>
      </c>
      <c r="O15" s="33">
        <f t="shared" si="0"/>
        <v>8</v>
      </c>
      <c r="P15" s="6">
        <f t="shared" si="2"/>
        <v>6135</v>
      </c>
    </row>
    <row r="16" spans="1:19" ht="18" customHeight="1" thickTop="1" thickBot="1" x14ac:dyDescent="0.35">
      <c r="A16" s="19">
        <v>11</v>
      </c>
      <c r="B16" s="33">
        <f>8897+7+497</f>
        <v>9401</v>
      </c>
      <c r="C16" s="33">
        <v>0</v>
      </c>
      <c r="D16" s="33">
        <f>641+486+2</f>
        <v>1129</v>
      </c>
      <c r="E16" s="33">
        <v>97</v>
      </c>
      <c r="F16" s="33">
        <v>192</v>
      </c>
      <c r="G16" s="33">
        <v>210</v>
      </c>
      <c r="H16" s="33">
        <f t="shared" si="1"/>
        <v>11029</v>
      </c>
      <c r="I16" s="33">
        <v>0</v>
      </c>
      <c r="J16" s="17"/>
      <c r="K16" s="19">
        <v>11</v>
      </c>
      <c r="L16" s="25">
        <v>1</v>
      </c>
      <c r="M16" s="25">
        <v>10</v>
      </c>
      <c r="N16" s="25">
        <v>6</v>
      </c>
      <c r="O16" s="33">
        <f t="shared" si="0"/>
        <v>17</v>
      </c>
      <c r="P16" s="6">
        <f t="shared" si="2"/>
        <v>6135</v>
      </c>
    </row>
    <row r="17" spans="1:26" ht="18" customHeight="1" thickTop="1" thickBot="1" x14ac:dyDescent="0.35">
      <c r="A17" s="19">
        <v>12</v>
      </c>
      <c r="B17" s="33">
        <f>13969+10+603</f>
        <v>14582</v>
      </c>
      <c r="C17" s="33">
        <v>4</v>
      </c>
      <c r="D17" s="33">
        <f>356+463+4</f>
        <v>823</v>
      </c>
      <c r="E17" s="33">
        <v>63</v>
      </c>
      <c r="F17" s="33">
        <v>89</v>
      </c>
      <c r="G17" s="33">
        <v>92</v>
      </c>
      <c r="H17" s="33">
        <f t="shared" si="1"/>
        <v>15653</v>
      </c>
      <c r="I17" s="33">
        <v>0</v>
      </c>
      <c r="J17" s="17"/>
      <c r="K17" s="19">
        <v>12</v>
      </c>
      <c r="L17" s="25">
        <v>1</v>
      </c>
      <c r="M17" s="25">
        <v>6</v>
      </c>
      <c r="N17" s="25">
        <v>1</v>
      </c>
      <c r="O17" s="33">
        <f t="shared" si="0"/>
        <v>8</v>
      </c>
      <c r="P17" s="6">
        <f t="shared" si="2"/>
        <v>6135</v>
      </c>
    </row>
    <row r="18" spans="1:26" ht="18" customHeight="1" thickTop="1" thickBot="1" x14ac:dyDescent="0.35">
      <c r="A18" s="19">
        <v>13</v>
      </c>
      <c r="B18" s="33">
        <f>2636+14+404</f>
        <v>3054</v>
      </c>
      <c r="C18" s="33">
        <v>2</v>
      </c>
      <c r="D18" s="33">
        <f>974+250+7</f>
        <v>1231</v>
      </c>
      <c r="E18" s="33">
        <f>177+4</f>
        <v>181</v>
      </c>
      <c r="F18" s="33">
        <v>230</v>
      </c>
      <c r="G18" s="33">
        <v>313</v>
      </c>
      <c r="H18" s="33">
        <f t="shared" si="1"/>
        <v>5011</v>
      </c>
      <c r="I18" s="33">
        <v>0</v>
      </c>
      <c r="J18" s="17"/>
      <c r="K18" s="19">
        <v>13</v>
      </c>
      <c r="L18" s="25">
        <v>0</v>
      </c>
      <c r="M18" s="25">
        <v>5</v>
      </c>
      <c r="N18" s="25">
        <v>4</v>
      </c>
      <c r="O18" s="33">
        <f t="shared" si="0"/>
        <v>9</v>
      </c>
      <c r="P18" s="6">
        <f t="shared" si="2"/>
        <v>6135</v>
      </c>
    </row>
    <row r="19" spans="1:26" ht="18" customHeight="1" thickTop="1" thickBot="1" x14ac:dyDescent="0.35">
      <c r="A19" s="19">
        <v>14</v>
      </c>
      <c r="B19" s="33">
        <f>2086+17+412</f>
        <v>2515</v>
      </c>
      <c r="C19" s="33">
        <v>0</v>
      </c>
      <c r="D19" s="33">
        <f>1107+230+5</f>
        <v>1342</v>
      </c>
      <c r="E19" s="33">
        <v>199</v>
      </c>
      <c r="F19" s="33">
        <v>258</v>
      </c>
      <c r="G19" s="33">
        <v>315</v>
      </c>
      <c r="H19" s="33">
        <f t="shared" si="1"/>
        <v>4629</v>
      </c>
      <c r="I19" s="33">
        <v>0</v>
      </c>
      <c r="J19" s="17"/>
      <c r="K19" s="19">
        <v>14</v>
      </c>
      <c r="L19" s="25">
        <v>3</v>
      </c>
      <c r="M19" s="25">
        <v>6</v>
      </c>
      <c r="N19" s="25">
        <v>3</v>
      </c>
      <c r="O19" s="33">
        <f t="shared" si="0"/>
        <v>12</v>
      </c>
      <c r="P19" s="6">
        <f t="shared" si="2"/>
        <v>6135</v>
      </c>
    </row>
    <row r="20" spans="1:26" ht="18" customHeight="1" thickTop="1" thickBot="1" x14ac:dyDescent="0.35">
      <c r="A20" s="19">
        <v>15</v>
      </c>
      <c r="B20" s="33">
        <f>2006+14+461</f>
        <v>2481</v>
      </c>
      <c r="C20" s="33">
        <v>0</v>
      </c>
      <c r="D20" s="33">
        <f>1207+254+6</f>
        <v>1467</v>
      </c>
      <c r="E20" s="33">
        <v>188</v>
      </c>
      <c r="F20" s="33">
        <v>263</v>
      </c>
      <c r="G20" s="33">
        <v>357</v>
      </c>
      <c r="H20" s="33">
        <f t="shared" si="1"/>
        <v>4756</v>
      </c>
      <c r="I20" s="33">
        <v>0</v>
      </c>
      <c r="J20" s="17"/>
      <c r="K20" s="19">
        <v>15</v>
      </c>
      <c r="L20" s="25">
        <v>1</v>
      </c>
      <c r="M20" s="25">
        <v>8</v>
      </c>
      <c r="N20" s="25">
        <v>8</v>
      </c>
      <c r="O20" s="33">
        <f t="shared" si="0"/>
        <v>17</v>
      </c>
      <c r="P20" s="6">
        <f t="shared" si="2"/>
        <v>6135</v>
      </c>
    </row>
    <row r="21" spans="1:26" ht="18" customHeight="1" thickTop="1" thickBot="1" x14ac:dyDescent="0.35">
      <c r="A21" s="19">
        <v>16</v>
      </c>
      <c r="B21" s="33">
        <f>2932+25+493</f>
        <v>3450</v>
      </c>
      <c r="C21" s="33">
        <v>0</v>
      </c>
      <c r="D21" s="33">
        <f>1063+279+6</f>
        <v>1348</v>
      </c>
      <c r="E21" s="33">
        <v>195</v>
      </c>
      <c r="F21" s="33">
        <v>241</v>
      </c>
      <c r="G21" s="33">
        <v>305</v>
      </c>
      <c r="H21" s="33">
        <f t="shared" si="1"/>
        <v>5539</v>
      </c>
      <c r="I21" s="33">
        <v>0</v>
      </c>
      <c r="J21" s="17"/>
      <c r="K21" s="19">
        <v>16</v>
      </c>
      <c r="L21" s="25">
        <v>1</v>
      </c>
      <c r="M21" s="25">
        <v>8</v>
      </c>
      <c r="N21" s="25">
        <v>2</v>
      </c>
      <c r="O21" s="33">
        <f t="shared" si="0"/>
        <v>11</v>
      </c>
      <c r="P21" s="6">
        <f>+P20</f>
        <v>6135</v>
      </c>
    </row>
    <row r="22" spans="1:26" ht="18" customHeight="1" thickTop="1" thickBot="1" x14ac:dyDescent="0.35">
      <c r="A22" s="19">
        <v>17</v>
      </c>
      <c r="B22" s="33">
        <f>3044+12+383</f>
        <v>3439</v>
      </c>
      <c r="C22" s="33">
        <v>0</v>
      </c>
      <c r="D22" s="33">
        <f>789+347+2</f>
        <v>1138</v>
      </c>
      <c r="E22" s="33">
        <v>168</v>
      </c>
      <c r="F22" s="33">
        <v>242</v>
      </c>
      <c r="G22" s="33">
        <v>284</v>
      </c>
      <c r="H22" s="33">
        <f t="shared" si="1"/>
        <v>5271</v>
      </c>
      <c r="I22" s="33">
        <v>0</v>
      </c>
      <c r="J22" s="17"/>
      <c r="K22" s="19">
        <v>17</v>
      </c>
      <c r="L22" s="25">
        <v>4</v>
      </c>
      <c r="M22" s="25">
        <v>5</v>
      </c>
      <c r="N22" s="25">
        <v>1</v>
      </c>
      <c r="O22" s="33">
        <f t="shared" si="0"/>
        <v>10</v>
      </c>
      <c r="P22" s="6">
        <f t="shared" si="2"/>
        <v>6135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thickTop="1" thickBot="1" x14ac:dyDescent="0.35">
      <c r="A23" s="19">
        <v>18</v>
      </c>
      <c r="B23" s="33">
        <f>4066+7+355</f>
        <v>4428</v>
      </c>
      <c r="C23" s="33">
        <v>0</v>
      </c>
      <c r="D23" s="33">
        <f>612+371+3</f>
        <v>986</v>
      </c>
      <c r="E23" s="33">
        <v>122</v>
      </c>
      <c r="F23" s="33">
        <v>152</v>
      </c>
      <c r="G23" s="33">
        <v>235</v>
      </c>
      <c r="H23" s="33">
        <f t="shared" si="1"/>
        <v>5923</v>
      </c>
      <c r="I23" s="33">
        <v>0</v>
      </c>
      <c r="J23" s="17"/>
      <c r="K23" s="19">
        <v>18</v>
      </c>
      <c r="L23" s="25">
        <v>4</v>
      </c>
      <c r="M23" s="25">
        <v>5</v>
      </c>
      <c r="N23" s="25">
        <v>3</v>
      </c>
      <c r="O23" s="33">
        <f t="shared" si="0"/>
        <v>12</v>
      </c>
      <c r="P23" s="6">
        <f t="shared" si="2"/>
        <v>6135</v>
      </c>
    </row>
    <row r="24" spans="1:26" ht="18" customHeight="1" thickTop="1" thickBot="1" x14ac:dyDescent="0.35">
      <c r="A24" s="19">
        <v>19</v>
      </c>
      <c r="B24" s="33">
        <f>2026+14+355</f>
        <v>2395</v>
      </c>
      <c r="C24" s="33">
        <v>0</v>
      </c>
      <c r="D24" s="33">
        <f>832+250+4</f>
        <v>1086</v>
      </c>
      <c r="E24" s="33">
        <f>211+12</f>
        <v>223</v>
      </c>
      <c r="F24" s="33">
        <v>219</v>
      </c>
      <c r="G24" s="33">
        <v>313</v>
      </c>
      <c r="H24" s="33">
        <f t="shared" si="1"/>
        <v>4236</v>
      </c>
      <c r="I24" s="33">
        <v>0</v>
      </c>
      <c r="J24" s="17"/>
      <c r="K24" s="19">
        <v>19</v>
      </c>
      <c r="L24" s="25">
        <v>1</v>
      </c>
      <c r="M24" s="25">
        <v>6</v>
      </c>
      <c r="N24" s="25">
        <v>7</v>
      </c>
      <c r="O24" s="33">
        <f t="shared" si="0"/>
        <v>14</v>
      </c>
      <c r="P24" s="6">
        <f t="shared" si="2"/>
        <v>6135</v>
      </c>
    </row>
    <row r="25" spans="1:26" ht="18" customHeight="1" thickTop="1" thickBot="1" x14ac:dyDescent="0.35">
      <c r="A25" s="19">
        <v>20</v>
      </c>
      <c r="B25" s="33">
        <f>1729+20+355</f>
        <v>2104</v>
      </c>
      <c r="C25" s="33">
        <v>2</v>
      </c>
      <c r="D25" s="33">
        <f>1076+230+11</f>
        <v>1317</v>
      </c>
      <c r="E25" s="33">
        <f>252+12</f>
        <v>264</v>
      </c>
      <c r="F25" s="33">
        <v>200</v>
      </c>
      <c r="G25" s="33">
        <v>313</v>
      </c>
      <c r="H25" s="33">
        <f t="shared" si="1"/>
        <v>4200</v>
      </c>
      <c r="I25" s="33">
        <v>0</v>
      </c>
      <c r="J25" s="17"/>
      <c r="K25" s="19">
        <v>20</v>
      </c>
      <c r="L25" s="25">
        <v>0</v>
      </c>
      <c r="M25" s="25">
        <v>16</v>
      </c>
      <c r="N25" s="25">
        <v>2</v>
      </c>
      <c r="O25" s="33">
        <f t="shared" si="0"/>
        <v>18</v>
      </c>
      <c r="P25" s="6">
        <f t="shared" si="2"/>
        <v>6135</v>
      </c>
    </row>
    <row r="26" spans="1:26" ht="18" customHeight="1" thickTop="1" thickBot="1" x14ac:dyDescent="0.35">
      <c r="A26" s="19">
        <v>21</v>
      </c>
      <c r="B26" s="33">
        <f>1800+23+376</f>
        <v>2199</v>
      </c>
      <c r="C26" s="33">
        <v>0</v>
      </c>
      <c r="D26" s="33">
        <f>1075+242+10</f>
        <v>1327</v>
      </c>
      <c r="E26" s="33">
        <f>209+17</f>
        <v>226</v>
      </c>
      <c r="F26" s="33">
        <v>216</v>
      </c>
      <c r="G26" s="33">
        <v>327</v>
      </c>
      <c r="H26" s="33">
        <f t="shared" si="1"/>
        <v>4295</v>
      </c>
      <c r="I26" s="33">
        <v>0</v>
      </c>
      <c r="J26" s="17"/>
      <c r="K26" s="19">
        <v>21</v>
      </c>
      <c r="L26" s="25">
        <v>1</v>
      </c>
      <c r="M26" s="25">
        <v>14</v>
      </c>
      <c r="N26" s="25">
        <v>4</v>
      </c>
      <c r="O26" s="33">
        <f t="shared" si="0"/>
        <v>19</v>
      </c>
      <c r="P26" s="6">
        <f t="shared" si="2"/>
        <v>6135</v>
      </c>
    </row>
    <row r="27" spans="1:26" ht="18" customHeight="1" thickTop="1" thickBot="1" x14ac:dyDescent="0.35">
      <c r="A27" s="19">
        <v>22</v>
      </c>
      <c r="B27" s="33">
        <f>2030+20+408</f>
        <v>2458</v>
      </c>
      <c r="C27" s="33">
        <v>0</v>
      </c>
      <c r="D27" s="33">
        <f>1097+281+10</f>
        <v>1388</v>
      </c>
      <c r="E27" s="33">
        <f>242+32</f>
        <v>274</v>
      </c>
      <c r="F27" s="33">
        <v>256</v>
      </c>
      <c r="G27" s="33">
        <v>343</v>
      </c>
      <c r="H27" s="33">
        <f t="shared" si="1"/>
        <v>4719</v>
      </c>
      <c r="I27" s="33">
        <v>0</v>
      </c>
      <c r="J27" s="17"/>
      <c r="K27" s="19">
        <v>22</v>
      </c>
      <c r="L27" s="25">
        <v>0</v>
      </c>
      <c r="M27" s="25">
        <v>9</v>
      </c>
      <c r="N27" s="25">
        <v>7</v>
      </c>
      <c r="O27" s="33">
        <f t="shared" si="0"/>
        <v>16</v>
      </c>
      <c r="P27" s="6">
        <f t="shared" si="2"/>
        <v>6135</v>
      </c>
    </row>
    <row r="28" spans="1:26" ht="18" customHeight="1" thickTop="1" thickBot="1" x14ac:dyDescent="0.35">
      <c r="A28" s="19">
        <v>23</v>
      </c>
      <c r="B28" s="33">
        <f>3017+20+453</f>
        <v>3490</v>
      </c>
      <c r="C28" s="33">
        <v>2</v>
      </c>
      <c r="D28" s="33">
        <f>977+324+7</f>
        <v>1308</v>
      </c>
      <c r="E28" s="33">
        <f>196+37</f>
        <v>233</v>
      </c>
      <c r="F28" s="33">
        <v>225</v>
      </c>
      <c r="G28" s="33">
        <v>304</v>
      </c>
      <c r="H28" s="33">
        <f t="shared" si="1"/>
        <v>5562</v>
      </c>
      <c r="I28" s="33">
        <v>0</v>
      </c>
      <c r="J28" s="17"/>
      <c r="K28" s="19">
        <v>23</v>
      </c>
      <c r="L28" s="25">
        <v>2</v>
      </c>
      <c r="M28" s="25">
        <v>8</v>
      </c>
      <c r="N28" s="25">
        <v>1</v>
      </c>
      <c r="O28" s="33">
        <f t="shared" si="0"/>
        <v>11</v>
      </c>
      <c r="P28" s="6">
        <f t="shared" si="2"/>
        <v>6135</v>
      </c>
    </row>
    <row r="29" spans="1:26" ht="18" customHeight="1" thickTop="1" thickBot="1" x14ac:dyDescent="0.35">
      <c r="A29" s="19">
        <v>24</v>
      </c>
      <c r="B29" s="33">
        <f>3083+10+355</f>
        <v>3448</v>
      </c>
      <c r="C29" s="33">
        <v>0</v>
      </c>
      <c r="D29" s="33">
        <f>636+345+8</f>
        <v>989</v>
      </c>
      <c r="E29" s="33">
        <f>118+26</f>
        <v>144</v>
      </c>
      <c r="F29" s="33">
        <v>192</v>
      </c>
      <c r="G29" s="33">
        <v>216</v>
      </c>
      <c r="H29" s="33">
        <f t="shared" si="1"/>
        <v>4989</v>
      </c>
      <c r="I29" s="33">
        <v>0</v>
      </c>
      <c r="J29" s="17"/>
      <c r="K29" s="19">
        <v>24</v>
      </c>
      <c r="L29" s="25">
        <v>4</v>
      </c>
      <c r="M29" s="25">
        <v>9</v>
      </c>
      <c r="N29" s="25">
        <v>0</v>
      </c>
      <c r="O29" s="33">
        <f t="shared" si="0"/>
        <v>13</v>
      </c>
      <c r="P29" s="6">
        <f t="shared" si="2"/>
        <v>6135</v>
      </c>
    </row>
    <row r="30" spans="1:26" ht="18" customHeight="1" thickTop="1" thickBot="1" x14ac:dyDescent="0.35">
      <c r="A30" s="19">
        <v>25</v>
      </c>
      <c r="B30" s="33">
        <f>3527+4+272</f>
        <v>3803</v>
      </c>
      <c r="C30" s="33">
        <v>0</v>
      </c>
      <c r="D30" s="33">
        <f>517+217+2</f>
        <v>736</v>
      </c>
      <c r="E30" s="33">
        <f>114+3</f>
        <v>117</v>
      </c>
      <c r="F30" s="33">
        <v>132</v>
      </c>
      <c r="G30" s="33">
        <v>190</v>
      </c>
      <c r="H30" s="33">
        <f t="shared" si="1"/>
        <v>4978</v>
      </c>
      <c r="I30" s="33">
        <v>0</v>
      </c>
      <c r="J30" s="17"/>
      <c r="K30" s="19">
        <v>25</v>
      </c>
      <c r="L30" s="25">
        <v>0</v>
      </c>
      <c r="M30" s="25">
        <v>2</v>
      </c>
      <c r="N30" s="25">
        <v>0</v>
      </c>
      <c r="O30" s="33">
        <f t="shared" si="0"/>
        <v>2</v>
      </c>
      <c r="P30" s="6">
        <f t="shared" si="2"/>
        <v>6135</v>
      </c>
    </row>
    <row r="31" spans="1:26" ht="18" customHeight="1" thickTop="1" thickBot="1" x14ac:dyDescent="0.35">
      <c r="A31" s="19">
        <v>26</v>
      </c>
      <c r="B31" s="33">
        <f>2125+13+406</f>
        <v>2544</v>
      </c>
      <c r="C31" s="33">
        <v>2</v>
      </c>
      <c r="D31" s="33">
        <f>862+297+4</f>
        <v>1163</v>
      </c>
      <c r="E31" s="33">
        <v>247</v>
      </c>
      <c r="F31" s="33">
        <v>210</v>
      </c>
      <c r="G31" s="33">
        <v>313</v>
      </c>
      <c r="H31" s="33">
        <f t="shared" si="1"/>
        <v>4479</v>
      </c>
      <c r="I31" s="33">
        <v>0</v>
      </c>
      <c r="J31" s="17"/>
      <c r="K31" s="19">
        <v>26</v>
      </c>
      <c r="L31" s="25">
        <v>2</v>
      </c>
      <c r="M31" s="25">
        <v>12</v>
      </c>
      <c r="N31" s="25">
        <v>3</v>
      </c>
      <c r="O31" s="33">
        <f t="shared" si="0"/>
        <v>17</v>
      </c>
      <c r="P31" s="6">
        <f t="shared" si="2"/>
        <v>6135</v>
      </c>
    </row>
    <row r="32" spans="1:26" ht="18" customHeight="1" thickTop="1" thickBot="1" x14ac:dyDescent="0.35">
      <c r="A32" s="19">
        <v>27</v>
      </c>
      <c r="B32" s="33">
        <f>2008+20+414</f>
        <v>2442</v>
      </c>
      <c r="C32" s="33">
        <v>2</v>
      </c>
      <c r="D32" s="33">
        <f>1132+292+2</f>
        <v>1426</v>
      </c>
      <c r="E32" s="33">
        <f>258+23</f>
        <v>281</v>
      </c>
      <c r="F32" s="33">
        <v>224</v>
      </c>
      <c r="G32" s="33">
        <v>347</v>
      </c>
      <c r="H32" s="33">
        <f t="shared" si="1"/>
        <v>4722</v>
      </c>
      <c r="I32" s="33">
        <v>0</v>
      </c>
      <c r="J32" s="17"/>
      <c r="K32" s="19">
        <v>27</v>
      </c>
      <c r="L32" s="25">
        <v>3</v>
      </c>
      <c r="M32" s="25">
        <v>10</v>
      </c>
      <c r="N32" s="25">
        <v>6</v>
      </c>
      <c r="O32" s="33">
        <f t="shared" si="0"/>
        <v>19</v>
      </c>
      <c r="P32" s="6">
        <f t="shared" si="2"/>
        <v>6135</v>
      </c>
    </row>
    <row r="33" spans="1:16" ht="18" customHeight="1" thickTop="1" thickBot="1" x14ac:dyDescent="0.35">
      <c r="A33" s="19">
        <v>28</v>
      </c>
      <c r="B33" s="33">
        <f>2002+17+433</f>
        <v>2452</v>
      </c>
      <c r="C33" s="33">
        <v>6</v>
      </c>
      <c r="D33" s="33">
        <f>1085+278</f>
        <v>1363</v>
      </c>
      <c r="E33" s="33">
        <f>218+23</f>
        <v>241</v>
      </c>
      <c r="F33" s="33">
        <v>274</v>
      </c>
      <c r="G33" s="33">
        <v>384</v>
      </c>
      <c r="H33" s="33">
        <f t="shared" si="1"/>
        <v>4720</v>
      </c>
      <c r="I33" s="33">
        <v>0</v>
      </c>
      <c r="J33" s="17"/>
      <c r="K33" s="19">
        <v>28</v>
      </c>
      <c r="L33" s="25">
        <v>1</v>
      </c>
      <c r="M33" s="25">
        <v>9</v>
      </c>
      <c r="N33" s="25">
        <v>0</v>
      </c>
      <c r="O33" s="33">
        <f t="shared" si="0"/>
        <v>10</v>
      </c>
      <c r="P33" s="6">
        <f t="shared" si="2"/>
        <v>6135</v>
      </c>
    </row>
    <row r="34" spans="1:16" ht="18" customHeight="1" thickTop="1" thickBot="1" x14ac:dyDescent="0.35">
      <c r="A34" s="19">
        <v>29</v>
      </c>
      <c r="B34" s="33">
        <f>2310+28+467</f>
        <v>2805</v>
      </c>
      <c r="C34" s="33">
        <v>2</v>
      </c>
      <c r="D34" s="33">
        <f>1122+283+4</f>
        <v>1409</v>
      </c>
      <c r="E34" s="33">
        <f>217+16</f>
        <v>233</v>
      </c>
      <c r="F34" s="33">
        <v>214</v>
      </c>
      <c r="G34" s="33">
        <v>376</v>
      </c>
      <c r="H34" s="33">
        <f t="shared" si="1"/>
        <v>5039</v>
      </c>
      <c r="I34" s="33">
        <v>0</v>
      </c>
      <c r="J34" s="17"/>
      <c r="K34" s="19">
        <v>29</v>
      </c>
      <c r="L34" s="33">
        <v>1</v>
      </c>
      <c r="M34" s="33">
        <v>12</v>
      </c>
      <c r="N34" s="33">
        <v>5</v>
      </c>
      <c r="O34" s="33">
        <f>SUM(L34:N34)</f>
        <v>18</v>
      </c>
      <c r="P34" s="6">
        <f t="shared" si="2"/>
        <v>6135</v>
      </c>
    </row>
    <row r="35" spans="1:16" ht="18" customHeight="1" thickTop="1" thickBot="1" x14ac:dyDescent="0.35">
      <c r="A35" s="19">
        <v>30</v>
      </c>
      <c r="B35" s="33">
        <f>4839+22+508</f>
        <v>5369</v>
      </c>
      <c r="C35" s="33">
        <v>14</v>
      </c>
      <c r="D35" s="33">
        <f>1079+348+4</f>
        <v>1431</v>
      </c>
      <c r="E35" s="33">
        <v>199</v>
      </c>
      <c r="F35" s="33">
        <v>246</v>
      </c>
      <c r="G35" s="33">
        <v>246</v>
      </c>
      <c r="H35" s="33">
        <f t="shared" si="1"/>
        <v>7505</v>
      </c>
      <c r="I35" s="33">
        <v>0</v>
      </c>
      <c r="J35" s="17"/>
      <c r="K35" s="19">
        <v>30</v>
      </c>
      <c r="L35" s="33">
        <v>3</v>
      </c>
      <c r="M35" s="33">
        <v>11</v>
      </c>
      <c r="N35" s="33">
        <v>1</v>
      </c>
      <c r="O35" s="33">
        <f>SUM(L35:N35)</f>
        <v>15</v>
      </c>
      <c r="P35" s="6">
        <f t="shared" si="2"/>
        <v>6135</v>
      </c>
    </row>
    <row r="36" spans="1:16" ht="18" customHeight="1" thickTop="1" thickBot="1" x14ac:dyDescent="0.35">
      <c r="A36" s="19">
        <v>31</v>
      </c>
      <c r="B36" s="33">
        <f>5204+13+443</f>
        <v>5660</v>
      </c>
      <c r="C36" s="33">
        <v>0</v>
      </c>
      <c r="D36" s="33">
        <f>539+360+10</f>
        <v>909</v>
      </c>
      <c r="E36" s="33">
        <v>82</v>
      </c>
      <c r="F36" s="33">
        <v>163</v>
      </c>
      <c r="G36" s="33">
        <v>146</v>
      </c>
      <c r="H36" s="33">
        <f t="shared" si="1"/>
        <v>6960</v>
      </c>
      <c r="I36" s="33">
        <v>0</v>
      </c>
      <c r="J36" s="17"/>
      <c r="K36" s="19">
        <v>31</v>
      </c>
      <c r="L36" s="33">
        <v>0</v>
      </c>
      <c r="M36" s="33">
        <v>12</v>
      </c>
      <c r="N36" s="33">
        <v>0</v>
      </c>
      <c r="O36" s="33">
        <f>SUM(L36:N36)</f>
        <v>12</v>
      </c>
      <c r="P36" s="6">
        <f t="shared" si="2"/>
        <v>6135</v>
      </c>
    </row>
    <row r="37" spans="1:16" ht="18" customHeight="1" thickTop="1" x14ac:dyDescent="0.3">
      <c r="A37" s="20" t="s">
        <v>19</v>
      </c>
      <c r="B37" s="14">
        <f>SUM(B6:B36)</f>
        <v>135892</v>
      </c>
      <c r="C37" s="14">
        <f t="shared" ref="C37:H37" si="3">SUM(C6:C36)</f>
        <v>50</v>
      </c>
      <c r="D37" s="14">
        <f t="shared" si="3"/>
        <v>38111</v>
      </c>
      <c r="E37" s="14">
        <f t="shared" si="3"/>
        <v>5667</v>
      </c>
      <c r="F37" s="14">
        <f t="shared" si="3"/>
        <v>6919</v>
      </c>
      <c r="G37" s="14">
        <f t="shared" si="3"/>
        <v>8524</v>
      </c>
      <c r="H37" s="14">
        <f t="shared" si="3"/>
        <v>195163</v>
      </c>
      <c r="I37" s="14">
        <f t="shared" ref="I37" si="4">SUM(I6:I33)</f>
        <v>0</v>
      </c>
      <c r="J37" s="14"/>
      <c r="K37" s="14" t="s">
        <v>29</v>
      </c>
      <c r="L37" s="14">
        <f>SUM(L6:L36)</f>
        <v>46</v>
      </c>
      <c r="M37" s="14">
        <f t="shared" ref="M37:N37" si="5">SUM(M6:M36)</f>
        <v>275</v>
      </c>
      <c r="N37" s="14">
        <f t="shared" si="5"/>
        <v>81</v>
      </c>
      <c r="O37" s="8">
        <f>SUM(O6:O36)</f>
        <v>402</v>
      </c>
    </row>
    <row r="38" spans="1:16" ht="18" customHeight="1" x14ac:dyDescent="0.3">
      <c r="A38" s="20" t="s">
        <v>19</v>
      </c>
      <c r="B38" s="59">
        <f>+B37+C37</f>
        <v>135942</v>
      </c>
      <c r="C38" s="59"/>
      <c r="D38" s="14">
        <f>+D37</f>
        <v>38111</v>
      </c>
      <c r="E38" s="14">
        <f>+E37</f>
        <v>5667</v>
      </c>
      <c r="F38" s="14">
        <f>+F37</f>
        <v>6919</v>
      </c>
      <c r="G38" s="14">
        <f>+G37</f>
        <v>8524</v>
      </c>
      <c r="H38" s="8">
        <f>+H37</f>
        <v>195163</v>
      </c>
      <c r="I38" s="14">
        <v>0</v>
      </c>
      <c r="J38" s="31"/>
      <c r="K38" s="20"/>
      <c r="L38" s="13" t="s">
        <v>20</v>
      </c>
      <c r="M38" s="13" t="s">
        <v>21</v>
      </c>
      <c r="N38" s="13" t="s">
        <v>20</v>
      </c>
      <c r="O38" s="13" t="s">
        <v>21</v>
      </c>
    </row>
    <row r="39" spans="1:16" ht="18" customHeight="1" x14ac:dyDescent="0.3">
      <c r="A39" s="30" t="s">
        <v>22</v>
      </c>
      <c r="B39" s="12"/>
      <c r="C39" s="12"/>
      <c r="D39" s="12"/>
      <c r="E39" s="12"/>
      <c r="F39" s="12"/>
      <c r="G39" s="12"/>
      <c r="H39" s="12"/>
      <c r="L39" s="11"/>
    </row>
    <row r="40" spans="1:16" x14ac:dyDescent="0.3">
      <c r="A40" s="28"/>
      <c r="B40" s="10"/>
      <c r="C40" s="10"/>
      <c r="D40" s="10"/>
      <c r="E40" s="10"/>
      <c r="F40" s="10"/>
      <c r="G40" s="10"/>
      <c r="H40" s="10"/>
      <c r="I40" s="10"/>
      <c r="J40" s="11"/>
      <c r="K40" s="57"/>
      <c r="L40" s="56"/>
    </row>
    <row r="41" spans="1:16" x14ac:dyDescent="0.3">
      <c r="A41" s="32"/>
      <c r="H41" s="32"/>
      <c r="K41" s="57"/>
      <c r="L41" s="56"/>
    </row>
    <row r="42" spans="1:16" x14ac:dyDescent="0.3">
      <c r="K42" s="57"/>
      <c r="L42" s="56"/>
    </row>
    <row r="43" spans="1:16" x14ac:dyDescent="0.3">
      <c r="I43" s="32"/>
      <c r="J43" s="32"/>
    </row>
    <row r="45" spans="1:16" x14ac:dyDescent="0.3">
      <c r="A45" s="27"/>
    </row>
    <row r="46" spans="1:16" x14ac:dyDescent="0.3">
      <c r="A46" s="27"/>
      <c r="B46" s="32"/>
      <c r="C46" s="32"/>
      <c r="D46" s="32"/>
      <c r="E46" s="32"/>
      <c r="F46" s="32"/>
      <c r="G46" s="32"/>
      <c r="H46" s="32"/>
      <c r="I46" s="32"/>
      <c r="J46" s="32"/>
      <c r="K46" s="9"/>
      <c r="L46" s="32"/>
      <c r="M46" s="32"/>
      <c r="N46" s="32"/>
      <c r="O46" s="32"/>
    </row>
  </sheetData>
  <mergeCells count="13">
    <mergeCell ref="N4:N5"/>
    <mergeCell ref="O4:O5"/>
    <mergeCell ref="B38:C38"/>
    <mergeCell ref="A1:O1"/>
    <mergeCell ref="A2:O2"/>
    <mergeCell ref="A3:O3"/>
    <mergeCell ref="A4:A5"/>
    <mergeCell ref="B4:C4"/>
    <mergeCell ref="H4:H5"/>
    <mergeCell ref="I4:I5"/>
    <mergeCell ref="K4:K5"/>
    <mergeCell ref="L4:L5"/>
    <mergeCell ref="M4:M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9903E-C366-4CBF-BACB-DCD31B0D0231}">
  <dimension ref="A1:Z46"/>
  <sheetViews>
    <sheetView topLeftCell="A16" workbookViewId="0">
      <selection activeCell="J13" sqref="J13"/>
    </sheetView>
  </sheetViews>
  <sheetFormatPr baseColWidth="10" defaultRowHeight="14.4" x14ac:dyDescent="0.3"/>
  <cols>
    <col min="16" max="16" width="0" hidden="1" customWidth="1"/>
  </cols>
  <sheetData>
    <row r="1" spans="1:19" ht="15.6" x14ac:dyDescent="0.3">
      <c r="A1" s="64" t="s">
        <v>23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46"/>
      <c r="Q1" s="46"/>
      <c r="R1" s="46"/>
      <c r="S1" s="46"/>
    </row>
    <row r="2" spans="1:19" ht="15.6" x14ac:dyDescent="0.3">
      <c r="A2" s="64" t="s">
        <v>24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46"/>
      <c r="Q2" s="46"/>
      <c r="R2" s="46"/>
      <c r="S2" s="46"/>
    </row>
    <row r="3" spans="1:19" ht="15.6" x14ac:dyDescent="0.3">
      <c r="A3" s="68" t="s">
        <v>35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46"/>
      <c r="Q3" s="46"/>
      <c r="R3" s="46"/>
      <c r="S3" s="46"/>
    </row>
    <row r="4" spans="1:19" ht="82.8" x14ac:dyDescent="0.3">
      <c r="A4" s="66" t="s">
        <v>1</v>
      </c>
      <c r="B4" s="69" t="s">
        <v>2</v>
      </c>
      <c r="C4" s="69"/>
      <c r="D4" s="2" t="s">
        <v>3</v>
      </c>
      <c r="E4" s="2" t="s">
        <v>4</v>
      </c>
      <c r="F4" s="2" t="s">
        <v>5</v>
      </c>
      <c r="G4" s="2" t="s">
        <v>6</v>
      </c>
      <c r="H4" s="69" t="s">
        <v>7</v>
      </c>
      <c r="I4" s="69" t="s">
        <v>8</v>
      </c>
      <c r="J4" s="37"/>
      <c r="K4" s="71" t="s">
        <v>1</v>
      </c>
      <c r="L4" s="69" t="s">
        <v>9</v>
      </c>
      <c r="M4" s="69" t="s">
        <v>10</v>
      </c>
      <c r="N4" s="69" t="s">
        <v>11</v>
      </c>
      <c r="O4" s="69" t="s">
        <v>12</v>
      </c>
      <c r="P4" s="36"/>
      <c r="Q4" s="36"/>
      <c r="R4" s="36"/>
      <c r="S4" s="36"/>
    </row>
    <row r="5" spans="1:19" x14ac:dyDescent="0.3">
      <c r="A5" s="67"/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69"/>
      <c r="I5" s="69"/>
      <c r="J5" s="37"/>
      <c r="K5" s="71"/>
      <c r="L5" s="69"/>
      <c r="M5" s="69"/>
      <c r="N5" s="69"/>
      <c r="O5" s="69"/>
      <c r="P5" s="36"/>
      <c r="Q5" s="36"/>
      <c r="R5" s="36"/>
      <c r="S5" s="36"/>
    </row>
    <row r="6" spans="1:19" ht="15" thickBot="1" x14ac:dyDescent="0.35">
      <c r="A6" s="38">
        <v>1</v>
      </c>
      <c r="B6" s="39">
        <v>5270</v>
      </c>
      <c r="C6" s="39">
        <v>0</v>
      </c>
      <c r="D6" s="39">
        <v>976</v>
      </c>
      <c r="E6" s="39">
        <v>95</v>
      </c>
      <c r="F6" s="39">
        <v>156</v>
      </c>
      <c r="G6" s="39">
        <v>248</v>
      </c>
      <c r="H6" s="39">
        <v>6745</v>
      </c>
      <c r="I6" s="39">
        <v>0</v>
      </c>
      <c r="J6" s="40"/>
      <c r="K6" s="38">
        <v>1</v>
      </c>
      <c r="L6" s="58">
        <v>1</v>
      </c>
      <c r="M6" s="58">
        <v>3</v>
      </c>
      <c r="N6" s="58">
        <v>0</v>
      </c>
      <c r="O6" s="39">
        <v>4</v>
      </c>
      <c r="P6" s="50">
        <v>6135</v>
      </c>
      <c r="Q6" s="36"/>
      <c r="R6" s="36"/>
      <c r="S6" s="36"/>
    </row>
    <row r="7" spans="1:19" ht="15.6" thickTop="1" thickBot="1" x14ac:dyDescent="0.35">
      <c r="A7" s="38">
        <v>2</v>
      </c>
      <c r="B7" s="39">
        <v>9029</v>
      </c>
      <c r="C7" s="39">
        <v>0</v>
      </c>
      <c r="D7" s="39">
        <v>776</v>
      </c>
      <c r="E7" s="39">
        <v>69</v>
      </c>
      <c r="F7" s="39">
        <v>58</v>
      </c>
      <c r="G7" s="39">
        <v>101</v>
      </c>
      <c r="H7" s="39">
        <v>10033</v>
      </c>
      <c r="I7" s="39">
        <v>0</v>
      </c>
      <c r="J7" s="40"/>
      <c r="K7" s="38">
        <v>2</v>
      </c>
      <c r="L7" s="58">
        <v>0</v>
      </c>
      <c r="M7" s="58">
        <v>0</v>
      </c>
      <c r="N7" s="58">
        <v>0</v>
      </c>
      <c r="O7" s="39">
        <v>0</v>
      </c>
      <c r="P7" s="50">
        <v>6135</v>
      </c>
      <c r="Q7" s="36"/>
      <c r="R7" s="36"/>
      <c r="S7" s="36"/>
    </row>
    <row r="8" spans="1:19" ht="15.6" thickTop="1" thickBot="1" x14ac:dyDescent="0.35">
      <c r="A8" s="38">
        <v>3</v>
      </c>
      <c r="B8" s="39">
        <v>2696</v>
      </c>
      <c r="C8" s="39">
        <v>0</v>
      </c>
      <c r="D8" s="39">
        <v>1375</v>
      </c>
      <c r="E8" s="39">
        <v>185</v>
      </c>
      <c r="F8" s="39">
        <v>203</v>
      </c>
      <c r="G8" s="39">
        <v>246</v>
      </c>
      <c r="H8" s="39">
        <v>4705</v>
      </c>
      <c r="I8" s="39">
        <v>0</v>
      </c>
      <c r="J8" s="40"/>
      <c r="K8" s="38">
        <v>3</v>
      </c>
      <c r="L8" s="58">
        <v>0</v>
      </c>
      <c r="M8" s="58">
        <v>8</v>
      </c>
      <c r="N8" s="58">
        <v>2</v>
      </c>
      <c r="O8" s="39">
        <v>10</v>
      </c>
      <c r="P8" s="50">
        <v>6135</v>
      </c>
      <c r="Q8" s="36"/>
      <c r="R8" s="36"/>
      <c r="S8" s="44"/>
    </row>
    <row r="9" spans="1:19" ht="15.6" thickTop="1" thickBot="1" x14ac:dyDescent="0.35">
      <c r="A9" s="38">
        <v>4</v>
      </c>
      <c r="B9" s="39">
        <v>2421</v>
      </c>
      <c r="C9" s="39">
        <v>2</v>
      </c>
      <c r="D9" s="39">
        <v>1517</v>
      </c>
      <c r="E9" s="39">
        <v>220</v>
      </c>
      <c r="F9" s="39">
        <v>240</v>
      </c>
      <c r="G9" s="39">
        <v>313</v>
      </c>
      <c r="H9" s="39">
        <v>4713</v>
      </c>
      <c r="I9" s="39">
        <v>0</v>
      </c>
      <c r="J9" s="40"/>
      <c r="K9" s="38">
        <v>4</v>
      </c>
      <c r="L9" s="58">
        <v>0</v>
      </c>
      <c r="M9" s="58">
        <v>10</v>
      </c>
      <c r="N9" s="58">
        <v>3</v>
      </c>
      <c r="O9" s="39">
        <v>13</v>
      </c>
      <c r="P9" s="50">
        <v>6135</v>
      </c>
      <c r="Q9" s="36"/>
      <c r="R9" s="36"/>
      <c r="S9" s="36"/>
    </row>
    <row r="10" spans="1:19" ht="15.6" thickTop="1" thickBot="1" x14ac:dyDescent="0.35">
      <c r="A10" s="38">
        <v>5</v>
      </c>
      <c r="B10" s="39">
        <v>2470</v>
      </c>
      <c r="C10" s="39">
        <v>2</v>
      </c>
      <c r="D10" s="39">
        <v>1445</v>
      </c>
      <c r="E10" s="39">
        <v>237</v>
      </c>
      <c r="F10" s="39">
        <v>231</v>
      </c>
      <c r="G10" s="39">
        <v>329</v>
      </c>
      <c r="H10" s="39">
        <v>4714</v>
      </c>
      <c r="I10" s="39">
        <v>0</v>
      </c>
      <c r="J10" s="40"/>
      <c r="K10" s="38">
        <v>5</v>
      </c>
      <c r="L10" s="58">
        <v>1</v>
      </c>
      <c r="M10" s="58">
        <v>8</v>
      </c>
      <c r="N10" s="58">
        <v>4</v>
      </c>
      <c r="O10" s="39">
        <v>13</v>
      </c>
      <c r="P10" s="50">
        <v>6135</v>
      </c>
      <c r="Q10" s="36"/>
      <c r="R10" s="36"/>
      <c r="S10" s="36"/>
    </row>
    <row r="11" spans="1:19" ht="15.6" thickTop="1" thickBot="1" x14ac:dyDescent="0.35">
      <c r="A11" s="38">
        <v>6</v>
      </c>
      <c r="B11" s="39">
        <v>3348</v>
      </c>
      <c r="C11" s="39">
        <v>0</v>
      </c>
      <c r="D11" s="39">
        <v>1356</v>
      </c>
      <c r="E11" s="39">
        <v>180</v>
      </c>
      <c r="F11" s="39">
        <v>204</v>
      </c>
      <c r="G11" s="39">
        <v>319</v>
      </c>
      <c r="H11" s="39">
        <v>5407</v>
      </c>
      <c r="I11" s="39">
        <v>0</v>
      </c>
      <c r="J11" s="40"/>
      <c r="K11" s="38">
        <v>6</v>
      </c>
      <c r="L11" s="58">
        <v>2</v>
      </c>
      <c r="M11" s="58">
        <v>3</v>
      </c>
      <c r="N11" s="58">
        <v>1</v>
      </c>
      <c r="O11" s="39">
        <v>6</v>
      </c>
      <c r="P11" s="50">
        <v>6135</v>
      </c>
      <c r="Q11" s="36"/>
      <c r="R11" s="36"/>
      <c r="S11" s="36"/>
    </row>
    <row r="12" spans="1:19" ht="15.6" thickTop="1" thickBot="1" x14ac:dyDescent="0.35">
      <c r="A12" s="38">
        <v>7</v>
      </c>
      <c r="B12" s="39">
        <v>3156</v>
      </c>
      <c r="C12" s="39">
        <v>0</v>
      </c>
      <c r="D12" s="39">
        <v>1141</v>
      </c>
      <c r="E12" s="39">
        <v>132</v>
      </c>
      <c r="F12" s="39">
        <v>204</v>
      </c>
      <c r="G12" s="39">
        <v>237</v>
      </c>
      <c r="H12" s="39">
        <v>4870</v>
      </c>
      <c r="I12" s="39">
        <v>0</v>
      </c>
      <c r="J12" s="41"/>
      <c r="K12" s="38">
        <v>7</v>
      </c>
      <c r="L12" s="58">
        <v>0</v>
      </c>
      <c r="M12" s="58">
        <v>3</v>
      </c>
      <c r="N12" s="58">
        <v>2</v>
      </c>
      <c r="O12" s="39">
        <v>5</v>
      </c>
      <c r="P12" s="50">
        <v>6135</v>
      </c>
      <c r="Q12" s="36"/>
      <c r="R12" s="36"/>
      <c r="S12" s="36"/>
    </row>
    <row r="13" spans="1:19" ht="15.6" thickTop="1" thickBot="1" x14ac:dyDescent="0.35">
      <c r="A13" s="38">
        <v>8</v>
      </c>
      <c r="B13" s="39">
        <v>4088</v>
      </c>
      <c r="C13" s="39">
        <v>2</v>
      </c>
      <c r="D13" s="39">
        <v>1035</v>
      </c>
      <c r="E13" s="39">
        <v>118</v>
      </c>
      <c r="F13" s="39">
        <v>135</v>
      </c>
      <c r="G13" s="39">
        <v>225</v>
      </c>
      <c r="H13" s="39">
        <v>5603</v>
      </c>
      <c r="I13" s="39">
        <v>0</v>
      </c>
      <c r="J13" s="41"/>
      <c r="K13" s="38">
        <v>8</v>
      </c>
      <c r="L13" s="58">
        <v>0</v>
      </c>
      <c r="M13" s="58">
        <v>5</v>
      </c>
      <c r="N13" s="58">
        <v>2</v>
      </c>
      <c r="O13" s="39">
        <v>7</v>
      </c>
      <c r="P13" s="50">
        <v>6135</v>
      </c>
      <c r="Q13" s="36"/>
      <c r="R13" s="36"/>
      <c r="S13" s="36"/>
    </row>
    <row r="14" spans="1:19" ht="15.6" thickTop="1" thickBot="1" x14ac:dyDescent="0.35">
      <c r="A14" s="38">
        <v>9</v>
      </c>
      <c r="B14" s="39">
        <v>2394</v>
      </c>
      <c r="C14" s="39">
        <v>0</v>
      </c>
      <c r="D14" s="39">
        <v>1188</v>
      </c>
      <c r="E14" s="39">
        <v>178</v>
      </c>
      <c r="F14" s="39">
        <v>193</v>
      </c>
      <c r="G14" s="39">
        <v>315</v>
      </c>
      <c r="H14" s="39">
        <v>4268</v>
      </c>
      <c r="I14" s="39">
        <v>0</v>
      </c>
      <c r="J14" s="41"/>
      <c r="K14" s="38">
        <v>9</v>
      </c>
      <c r="L14" s="58">
        <v>0</v>
      </c>
      <c r="M14" s="58">
        <v>14</v>
      </c>
      <c r="N14" s="58">
        <v>3</v>
      </c>
      <c r="O14" s="39">
        <v>17</v>
      </c>
      <c r="P14" s="51">
        <v>6135</v>
      </c>
      <c r="Q14" s="47"/>
      <c r="R14" s="47"/>
      <c r="S14" s="47"/>
    </row>
    <row r="15" spans="1:19" ht="15.6" thickTop="1" thickBot="1" x14ac:dyDescent="0.35">
      <c r="A15" s="38">
        <v>10</v>
      </c>
      <c r="B15" s="39">
        <v>2359</v>
      </c>
      <c r="C15" s="39">
        <v>0</v>
      </c>
      <c r="D15" s="39">
        <v>1462</v>
      </c>
      <c r="E15" s="39">
        <v>208</v>
      </c>
      <c r="F15" s="39">
        <v>229</v>
      </c>
      <c r="G15" s="39">
        <v>307</v>
      </c>
      <c r="H15" s="39">
        <v>4565</v>
      </c>
      <c r="I15" s="39">
        <v>0</v>
      </c>
      <c r="J15" s="41"/>
      <c r="K15" s="38">
        <v>10</v>
      </c>
      <c r="L15" s="58">
        <v>1</v>
      </c>
      <c r="M15" s="58">
        <v>9</v>
      </c>
      <c r="N15" s="58">
        <v>1</v>
      </c>
      <c r="O15" s="39">
        <v>11</v>
      </c>
      <c r="P15" s="50">
        <v>6135</v>
      </c>
      <c r="Q15" s="36"/>
      <c r="R15" s="36"/>
      <c r="S15" s="36"/>
    </row>
    <row r="16" spans="1:19" ht="15.6" thickTop="1" thickBot="1" x14ac:dyDescent="0.35">
      <c r="A16" s="38">
        <v>11</v>
      </c>
      <c r="B16" s="39">
        <v>2554</v>
      </c>
      <c r="C16" s="39">
        <v>2</v>
      </c>
      <c r="D16" s="39">
        <v>1458</v>
      </c>
      <c r="E16" s="39">
        <v>214</v>
      </c>
      <c r="F16" s="39">
        <v>242</v>
      </c>
      <c r="G16" s="39">
        <v>398</v>
      </c>
      <c r="H16" s="39">
        <v>4868</v>
      </c>
      <c r="I16" s="39">
        <v>0</v>
      </c>
      <c r="J16" s="41"/>
      <c r="K16" s="38">
        <v>11</v>
      </c>
      <c r="L16" s="58">
        <v>0</v>
      </c>
      <c r="M16" s="58">
        <v>16</v>
      </c>
      <c r="N16" s="58">
        <v>2</v>
      </c>
      <c r="O16" s="39">
        <v>18</v>
      </c>
      <c r="P16" s="50">
        <v>6135</v>
      </c>
      <c r="Q16" s="36"/>
      <c r="R16" s="36"/>
      <c r="S16" s="36"/>
    </row>
    <row r="17" spans="1:26" ht="15.6" thickTop="1" thickBot="1" x14ac:dyDescent="0.35">
      <c r="A17" s="38">
        <v>12</v>
      </c>
      <c r="B17" s="39">
        <v>3049</v>
      </c>
      <c r="C17" s="39">
        <v>6</v>
      </c>
      <c r="D17" s="39">
        <v>1459</v>
      </c>
      <c r="E17" s="39">
        <v>234</v>
      </c>
      <c r="F17" s="39">
        <v>242</v>
      </c>
      <c r="G17" s="39">
        <v>351</v>
      </c>
      <c r="H17" s="39">
        <v>5341</v>
      </c>
      <c r="I17" s="39">
        <v>0</v>
      </c>
      <c r="J17" s="41"/>
      <c r="K17" s="38">
        <v>12</v>
      </c>
      <c r="L17" s="58">
        <v>2</v>
      </c>
      <c r="M17" s="58">
        <v>12</v>
      </c>
      <c r="N17" s="58">
        <v>1</v>
      </c>
      <c r="O17" s="39">
        <v>15</v>
      </c>
      <c r="P17" s="50">
        <v>6135</v>
      </c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6" thickTop="1" thickBot="1" x14ac:dyDescent="0.35">
      <c r="A18" s="38">
        <v>13</v>
      </c>
      <c r="B18" s="39">
        <v>6547</v>
      </c>
      <c r="C18" s="39">
        <v>0</v>
      </c>
      <c r="D18" s="39">
        <v>1407</v>
      </c>
      <c r="E18" s="39">
        <v>182</v>
      </c>
      <c r="F18" s="39">
        <v>255</v>
      </c>
      <c r="G18" s="39">
        <v>262</v>
      </c>
      <c r="H18" s="39">
        <v>8653</v>
      </c>
      <c r="I18" s="39">
        <v>0</v>
      </c>
      <c r="J18" s="41"/>
      <c r="K18" s="38">
        <v>13</v>
      </c>
      <c r="L18" s="58">
        <v>2</v>
      </c>
      <c r="M18" s="58">
        <v>11</v>
      </c>
      <c r="N18" s="58">
        <v>5</v>
      </c>
      <c r="O18" s="39">
        <v>18</v>
      </c>
      <c r="P18" s="50">
        <v>6135</v>
      </c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6" thickTop="1" thickBot="1" x14ac:dyDescent="0.35">
      <c r="A19" s="38">
        <v>14</v>
      </c>
      <c r="B19" s="39">
        <v>7804</v>
      </c>
      <c r="C19" s="39">
        <v>0</v>
      </c>
      <c r="D19" s="39">
        <v>1092</v>
      </c>
      <c r="E19" s="39">
        <v>74</v>
      </c>
      <c r="F19" s="39">
        <v>164</v>
      </c>
      <c r="G19" s="39">
        <v>174</v>
      </c>
      <c r="H19" s="39">
        <v>9308</v>
      </c>
      <c r="I19" s="39">
        <v>0</v>
      </c>
      <c r="J19" s="41"/>
      <c r="K19" s="38">
        <v>14</v>
      </c>
      <c r="L19" s="58">
        <v>0</v>
      </c>
      <c r="M19" s="58">
        <v>2</v>
      </c>
      <c r="N19" s="58">
        <v>0</v>
      </c>
      <c r="O19" s="39">
        <v>2</v>
      </c>
      <c r="P19" s="50">
        <v>6135</v>
      </c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6" thickTop="1" thickBot="1" x14ac:dyDescent="0.35">
      <c r="A20" s="38">
        <v>15</v>
      </c>
      <c r="B20" s="39">
        <v>6172</v>
      </c>
      <c r="C20" s="39">
        <v>0</v>
      </c>
      <c r="D20" s="39">
        <v>1000</v>
      </c>
      <c r="E20" s="39">
        <v>89</v>
      </c>
      <c r="F20" s="39">
        <v>171</v>
      </c>
      <c r="G20" s="39">
        <v>226</v>
      </c>
      <c r="H20" s="39">
        <v>7658</v>
      </c>
      <c r="I20" s="39">
        <v>0</v>
      </c>
      <c r="J20" s="41"/>
      <c r="K20" s="38">
        <v>15</v>
      </c>
      <c r="L20" s="58">
        <v>1</v>
      </c>
      <c r="M20" s="58">
        <v>8</v>
      </c>
      <c r="N20" s="58">
        <v>1</v>
      </c>
      <c r="O20" s="39">
        <v>10</v>
      </c>
      <c r="P20" s="50">
        <v>6135</v>
      </c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6" thickTop="1" thickBot="1" x14ac:dyDescent="0.35">
      <c r="A21" s="38">
        <v>16</v>
      </c>
      <c r="B21" s="39">
        <v>11198</v>
      </c>
      <c r="C21" s="39">
        <v>4</v>
      </c>
      <c r="D21" s="39">
        <v>805</v>
      </c>
      <c r="E21" s="39">
        <v>72</v>
      </c>
      <c r="F21" s="39">
        <v>49</v>
      </c>
      <c r="G21" s="39">
        <v>77</v>
      </c>
      <c r="H21" s="39">
        <v>12205</v>
      </c>
      <c r="I21" s="39">
        <v>0</v>
      </c>
      <c r="J21" s="41"/>
      <c r="K21" s="38">
        <v>16</v>
      </c>
      <c r="L21" s="58">
        <v>0</v>
      </c>
      <c r="M21" s="58">
        <v>3</v>
      </c>
      <c r="N21" s="58">
        <v>2</v>
      </c>
      <c r="O21" s="39">
        <v>5</v>
      </c>
      <c r="P21" s="50">
        <v>6135</v>
      </c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6" thickTop="1" thickBot="1" x14ac:dyDescent="0.35">
      <c r="A22" s="38">
        <v>17</v>
      </c>
      <c r="B22" s="39">
        <v>2946</v>
      </c>
      <c r="C22" s="39">
        <v>0</v>
      </c>
      <c r="D22" s="39">
        <v>1324</v>
      </c>
      <c r="E22" s="39">
        <v>211</v>
      </c>
      <c r="F22" s="39">
        <v>263</v>
      </c>
      <c r="G22" s="39">
        <v>280</v>
      </c>
      <c r="H22" s="39">
        <v>5024</v>
      </c>
      <c r="I22" s="39">
        <v>0</v>
      </c>
      <c r="J22" s="41"/>
      <c r="K22" s="38">
        <v>17</v>
      </c>
      <c r="L22" s="58">
        <v>1</v>
      </c>
      <c r="M22" s="58">
        <v>10</v>
      </c>
      <c r="N22" s="58">
        <v>1</v>
      </c>
      <c r="O22" s="39">
        <v>12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8">
        <v>18</v>
      </c>
      <c r="B23" s="39">
        <v>2691</v>
      </c>
      <c r="C23" s="39">
        <v>0</v>
      </c>
      <c r="D23" s="39">
        <v>1424</v>
      </c>
      <c r="E23" s="39">
        <v>205</v>
      </c>
      <c r="F23" s="39">
        <v>236</v>
      </c>
      <c r="G23" s="39">
        <v>343</v>
      </c>
      <c r="H23" s="39">
        <v>4899</v>
      </c>
      <c r="I23" s="39">
        <v>0</v>
      </c>
      <c r="J23" s="41"/>
      <c r="K23" s="38">
        <v>18</v>
      </c>
      <c r="L23" s="58">
        <v>1</v>
      </c>
      <c r="M23" s="58">
        <v>12</v>
      </c>
      <c r="N23" s="58">
        <v>7</v>
      </c>
      <c r="O23" s="39">
        <v>20</v>
      </c>
      <c r="P23" s="50">
        <v>6135</v>
      </c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6" thickTop="1" thickBot="1" x14ac:dyDescent="0.35">
      <c r="A24" s="38">
        <v>19</v>
      </c>
      <c r="B24" s="39">
        <v>2789</v>
      </c>
      <c r="C24" s="39">
        <v>0</v>
      </c>
      <c r="D24" s="39">
        <v>1450</v>
      </c>
      <c r="E24" s="39">
        <v>194</v>
      </c>
      <c r="F24" s="39">
        <v>264</v>
      </c>
      <c r="G24" s="39">
        <v>350</v>
      </c>
      <c r="H24" s="39">
        <v>5047</v>
      </c>
      <c r="I24" s="39">
        <v>0</v>
      </c>
      <c r="J24" s="41"/>
      <c r="K24" s="38">
        <v>19</v>
      </c>
      <c r="L24" s="58">
        <v>3</v>
      </c>
      <c r="M24" s="58">
        <v>14</v>
      </c>
      <c r="N24" s="58">
        <v>4</v>
      </c>
      <c r="O24" s="39">
        <v>21</v>
      </c>
      <c r="P24" s="50">
        <v>6135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6" thickTop="1" thickBot="1" x14ac:dyDescent="0.35">
      <c r="A25" s="38">
        <v>20</v>
      </c>
      <c r="B25" s="39">
        <v>3506</v>
      </c>
      <c r="C25" s="39">
        <v>2</v>
      </c>
      <c r="D25" s="39">
        <v>1447</v>
      </c>
      <c r="E25" s="39">
        <v>187</v>
      </c>
      <c r="F25" s="39">
        <v>284</v>
      </c>
      <c r="G25" s="39">
        <v>324</v>
      </c>
      <c r="H25" s="39">
        <v>5750</v>
      </c>
      <c r="I25" s="39">
        <v>0</v>
      </c>
      <c r="J25" s="41"/>
      <c r="K25" s="38">
        <v>20</v>
      </c>
      <c r="L25" s="58">
        <v>4</v>
      </c>
      <c r="M25" s="58">
        <v>10</v>
      </c>
      <c r="N25" s="58">
        <v>4</v>
      </c>
      <c r="O25" s="39">
        <v>18</v>
      </c>
      <c r="P25" s="50">
        <v>6135</v>
      </c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6" thickTop="1" thickBot="1" x14ac:dyDescent="0.35">
      <c r="A26" s="38">
        <v>21</v>
      </c>
      <c r="B26" s="39">
        <v>3462</v>
      </c>
      <c r="C26" s="39">
        <v>0</v>
      </c>
      <c r="D26" s="39">
        <v>1133</v>
      </c>
      <c r="E26" s="39">
        <v>182</v>
      </c>
      <c r="F26" s="39">
        <v>214</v>
      </c>
      <c r="G26" s="39">
        <v>304</v>
      </c>
      <c r="H26" s="39">
        <v>5295</v>
      </c>
      <c r="I26" s="39">
        <v>0</v>
      </c>
      <c r="J26" s="41"/>
      <c r="K26" s="38">
        <v>21</v>
      </c>
      <c r="L26" s="58">
        <v>0</v>
      </c>
      <c r="M26" s="58">
        <v>9</v>
      </c>
      <c r="N26" s="58">
        <v>2</v>
      </c>
      <c r="O26" s="39">
        <v>11</v>
      </c>
      <c r="P26" s="50">
        <v>6135</v>
      </c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6" thickTop="1" thickBot="1" x14ac:dyDescent="0.35">
      <c r="A27" s="38">
        <v>22</v>
      </c>
      <c r="B27" s="39">
        <v>4370</v>
      </c>
      <c r="C27" s="39">
        <v>2</v>
      </c>
      <c r="D27" s="39">
        <v>1073</v>
      </c>
      <c r="E27" s="39">
        <v>158</v>
      </c>
      <c r="F27" s="39">
        <v>150</v>
      </c>
      <c r="G27" s="39">
        <v>252</v>
      </c>
      <c r="H27" s="39">
        <v>6005</v>
      </c>
      <c r="I27" s="39">
        <v>0</v>
      </c>
      <c r="J27" s="41"/>
      <c r="K27" s="38">
        <v>22</v>
      </c>
      <c r="L27" s="58">
        <v>0</v>
      </c>
      <c r="M27" s="58">
        <v>5</v>
      </c>
      <c r="N27" s="58">
        <v>2</v>
      </c>
      <c r="O27" s="39">
        <v>7</v>
      </c>
      <c r="P27" s="50">
        <v>6135</v>
      </c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6" thickTop="1" thickBot="1" x14ac:dyDescent="0.35">
      <c r="A28" s="38">
        <v>23</v>
      </c>
      <c r="B28" s="39">
        <v>2711</v>
      </c>
      <c r="C28" s="39">
        <v>0</v>
      </c>
      <c r="D28" s="39">
        <v>1253</v>
      </c>
      <c r="E28" s="39">
        <v>234</v>
      </c>
      <c r="F28" s="39">
        <v>265</v>
      </c>
      <c r="G28" s="39">
        <v>318</v>
      </c>
      <c r="H28" s="39">
        <v>4781</v>
      </c>
      <c r="I28" s="39">
        <v>0</v>
      </c>
      <c r="J28" s="41"/>
      <c r="K28" s="38">
        <v>23</v>
      </c>
      <c r="L28" s="58">
        <v>1</v>
      </c>
      <c r="M28" s="58">
        <v>8</v>
      </c>
      <c r="N28" s="58">
        <v>1</v>
      </c>
      <c r="O28" s="39">
        <v>10</v>
      </c>
      <c r="P28" s="50">
        <v>6135</v>
      </c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6" thickTop="1" thickBot="1" x14ac:dyDescent="0.35">
      <c r="A29" s="38">
        <v>24</v>
      </c>
      <c r="B29" s="39">
        <v>2510</v>
      </c>
      <c r="C29" s="39">
        <v>4</v>
      </c>
      <c r="D29" s="39">
        <v>1473</v>
      </c>
      <c r="E29" s="39">
        <v>293</v>
      </c>
      <c r="F29" s="39">
        <v>269</v>
      </c>
      <c r="G29" s="39">
        <v>311</v>
      </c>
      <c r="H29" s="39">
        <v>4860</v>
      </c>
      <c r="I29" s="39">
        <v>0</v>
      </c>
      <c r="J29" s="41"/>
      <c r="K29" s="38">
        <v>24</v>
      </c>
      <c r="L29" s="58">
        <v>0</v>
      </c>
      <c r="M29" s="58">
        <v>10</v>
      </c>
      <c r="N29" s="58">
        <v>4</v>
      </c>
      <c r="O29" s="39">
        <v>14</v>
      </c>
      <c r="P29" s="50">
        <v>6135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6" thickTop="1" thickBot="1" x14ac:dyDescent="0.35">
      <c r="A30" s="38">
        <v>25</v>
      </c>
      <c r="B30" s="39">
        <v>2691</v>
      </c>
      <c r="C30" s="39">
        <v>2</v>
      </c>
      <c r="D30" s="39">
        <v>1386</v>
      </c>
      <c r="E30" s="39">
        <v>274</v>
      </c>
      <c r="F30" s="39">
        <v>261</v>
      </c>
      <c r="G30" s="39">
        <v>376</v>
      </c>
      <c r="H30" s="39">
        <v>4990</v>
      </c>
      <c r="I30" s="39">
        <v>0</v>
      </c>
      <c r="J30" s="41"/>
      <c r="K30" s="38">
        <v>25</v>
      </c>
      <c r="L30" s="58">
        <v>1</v>
      </c>
      <c r="M30" s="58">
        <v>10</v>
      </c>
      <c r="N30" s="58">
        <v>7</v>
      </c>
      <c r="O30" s="39">
        <v>18</v>
      </c>
      <c r="P30" s="50">
        <v>6135</v>
      </c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6" thickTop="1" thickBot="1" x14ac:dyDescent="0.35">
      <c r="A31" s="38">
        <v>26</v>
      </c>
      <c r="B31" s="39">
        <v>2927</v>
      </c>
      <c r="C31" s="39">
        <v>10</v>
      </c>
      <c r="D31" s="39">
        <v>1485</v>
      </c>
      <c r="E31" s="39">
        <v>255</v>
      </c>
      <c r="F31" s="39">
        <v>241</v>
      </c>
      <c r="G31" s="39">
        <v>341</v>
      </c>
      <c r="H31" s="39">
        <v>5259</v>
      </c>
      <c r="I31" s="39">
        <v>0</v>
      </c>
      <c r="J31" s="41"/>
      <c r="K31" s="38">
        <v>26</v>
      </c>
      <c r="L31" s="58">
        <v>1</v>
      </c>
      <c r="M31" s="58">
        <v>13</v>
      </c>
      <c r="N31" s="58">
        <v>3</v>
      </c>
      <c r="O31" s="39">
        <v>17</v>
      </c>
      <c r="P31" s="50">
        <v>6135</v>
      </c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6" thickTop="1" thickBot="1" x14ac:dyDescent="0.35">
      <c r="A32" s="38">
        <v>27</v>
      </c>
      <c r="B32" s="39">
        <v>3990</v>
      </c>
      <c r="C32" s="39">
        <v>2</v>
      </c>
      <c r="D32" s="39">
        <v>1364</v>
      </c>
      <c r="E32" s="39">
        <v>223</v>
      </c>
      <c r="F32" s="39">
        <v>266</v>
      </c>
      <c r="G32" s="39">
        <v>333</v>
      </c>
      <c r="H32" s="39">
        <v>6178</v>
      </c>
      <c r="I32" s="39">
        <v>0</v>
      </c>
      <c r="J32" s="41"/>
      <c r="K32" s="38">
        <v>27</v>
      </c>
      <c r="L32" s="58">
        <v>2</v>
      </c>
      <c r="M32" s="58">
        <v>7</v>
      </c>
      <c r="N32" s="58">
        <v>9</v>
      </c>
      <c r="O32" s="39">
        <v>18</v>
      </c>
      <c r="P32" s="50">
        <v>6135</v>
      </c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16" ht="15.6" thickTop="1" thickBot="1" x14ac:dyDescent="0.35">
      <c r="A33" s="38">
        <v>28</v>
      </c>
      <c r="B33" s="39">
        <v>4021</v>
      </c>
      <c r="C33" s="39">
        <v>6</v>
      </c>
      <c r="D33" s="39">
        <v>1229</v>
      </c>
      <c r="E33" s="39">
        <v>151</v>
      </c>
      <c r="F33" s="39">
        <v>241</v>
      </c>
      <c r="G33" s="39">
        <v>203</v>
      </c>
      <c r="H33" s="39">
        <v>5851</v>
      </c>
      <c r="I33" s="39">
        <v>0</v>
      </c>
      <c r="J33" s="41"/>
      <c r="K33" s="38">
        <v>28</v>
      </c>
      <c r="L33" s="58">
        <v>2</v>
      </c>
      <c r="M33" s="58">
        <v>4</v>
      </c>
      <c r="N33" s="58">
        <v>3</v>
      </c>
      <c r="O33" s="39">
        <v>9</v>
      </c>
      <c r="P33" s="50">
        <v>6135</v>
      </c>
    </row>
    <row r="34" spans="1:16" ht="15.6" thickTop="1" thickBot="1" x14ac:dyDescent="0.35">
      <c r="A34" s="38">
        <v>29</v>
      </c>
      <c r="B34" s="39">
        <v>5378</v>
      </c>
      <c r="C34" s="39">
        <v>0</v>
      </c>
      <c r="D34" s="39">
        <v>1095</v>
      </c>
      <c r="E34" s="39">
        <v>139</v>
      </c>
      <c r="F34" s="39">
        <v>147</v>
      </c>
      <c r="G34" s="39">
        <v>224</v>
      </c>
      <c r="H34" s="39">
        <v>6983</v>
      </c>
      <c r="I34" s="39">
        <v>0</v>
      </c>
      <c r="J34" s="41"/>
      <c r="K34" s="38">
        <v>29</v>
      </c>
      <c r="L34" s="39">
        <v>1</v>
      </c>
      <c r="M34" s="39">
        <v>6</v>
      </c>
      <c r="N34" s="39">
        <v>0</v>
      </c>
      <c r="O34" s="39">
        <v>7</v>
      </c>
      <c r="P34" s="50">
        <v>6135</v>
      </c>
    </row>
    <row r="35" spans="1:16" ht="15.6" thickTop="1" thickBot="1" x14ac:dyDescent="0.35">
      <c r="A35" s="38">
        <v>30</v>
      </c>
      <c r="B35" s="39">
        <v>3033</v>
      </c>
      <c r="C35" s="39">
        <v>4</v>
      </c>
      <c r="D35" s="39">
        <v>1300</v>
      </c>
      <c r="E35" s="39">
        <v>216</v>
      </c>
      <c r="F35" s="39">
        <v>244</v>
      </c>
      <c r="G35" s="39">
        <v>305</v>
      </c>
      <c r="H35" s="39">
        <v>5102</v>
      </c>
      <c r="I35" s="39">
        <v>0</v>
      </c>
      <c r="J35" s="41"/>
      <c r="K35" s="38">
        <v>30</v>
      </c>
      <c r="L35" s="39">
        <v>1</v>
      </c>
      <c r="M35" s="39">
        <v>6</v>
      </c>
      <c r="N35" s="39">
        <v>4</v>
      </c>
      <c r="O35" s="39">
        <v>11</v>
      </c>
      <c r="P35" s="50">
        <v>6135</v>
      </c>
    </row>
    <row r="36" spans="1:16" ht="15.6" hidden="1" thickTop="1" thickBot="1" x14ac:dyDescent="0.35">
      <c r="A36" s="38">
        <v>31</v>
      </c>
      <c r="B36" s="39"/>
      <c r="C36" s="39"/>
      <c r="D36" s="39"/>
      <c r="E36" s="39"/>
      <c r="F36" s="39"/>
      <c r="G36" s="39"/>
      <c r="H36" s="39">
        <v>0</v>
      </c>
      <c r="I36" s="39">
        <v>0</v>
      </c>
      <c r="J36" s="41"/>
      <c r="K36" s="38">
        <v>31</v>
      </c>
      <c r="L36" s="39"/>
      <c r="M36" s="39"/>
      <c r="N36" s="39"/>
      <c r="O36" s="39">
        <v>0</v>
      </c>
      <c r="P36" s="50">
        <v>6135</v>
      </c>
    </row>
    <row r="37" spans="1:16" ht="15" thickTop="1" x14ac:dyDescent="0.3">
      <c r="A37" s="4" t="s">
        <v>19</v>
      </c>
      <c r="B37" s="3">
        <v>121580</v>
      </c>
      <c r="C37" s="3">
        <v>50</v>
      </c>
      <c r="D37" s="3">
        <v>37928</v>
      </c>
      <c r="E37" s="3">
        <v>5409</v>
      </c>
      <c r="F37" s="3">
        <v>6321</v>
      </c>
      <c r="G37" s="3">
        <v>8392</v>
      </c>
      <c r="H37" s="3">
        <v>179680</v>
      </c>
      <c r="I37" s="3">
        <v>0</v>
      </c>
      <c r="J37" s="3"/>
      <c r="K37" s="3" t="s">
        <v>29</v>
      </c>
      <c r="L37" s="3">
        <v>28</v>
      </c>
      <c r="M37" s="3">
        <v>239</v>
      </c>
      <c r="N37" s="3">
        <v>80</v>
      </c>
      <c r="O37" s="5">
        <f>SUM(O6:O36)</f>
        <v>347</v>
      </c>
      <c r="P37" s="36"/>
    </row>
    <row r="38" spans="1:16" x14ac:dyDescent="0.3">
      <c r="A38" s="4" t="s">
        <v>19</v>
      </c>
      <c r="B38" s="70">
        <v>121630</v>
      </c>
      <c r="C38" s="70"/>
      <c r="D38" s="3">
        <v>37928</v>
      </c>
      <c r="E38" s="3">
        <v>5409</v>
      </c>
      <c r="F38" s="3">
        <v>6321</v>
      </c>
      <c r="G38" s="3">
        <v>8392</v>
      </c>
      <c r="H38" s="5">
        <v>179680</v>
      </c>
      <c r="I38" s="3">
        <v>0</v>
      </c>
      <c r="J38" s="42"/>
      <c r="K38" s="4"/>
      <c r="L38" s="35" t="s">
        <v>20</v>
      </c>
      <c r="M38" s="35" t="s">
        <v>21</v>
      </c>
      <c r="N38" s="35" t="s">
        <v>20</v>
      </c>
      <c r="O38" s="35" t="s">
        <v>21</v>
      </c>
      <c r="P38" s="36"/>
    </row>
    <row r="39" spans="1:16" x14ac:dyDescent="0.3">
      <c r="A39" s="43" t="s">
        <v>22</v>
      </c>
      <c r="B39" s="45"/>
      <c r="C39" s="45"/>
      <c r="D39" s="45"/>
      <c r="E39" s="45"/>
      <c r="F39" s="45"/>
      <c r="G39" s="45"/>
      <c r="H39" s="45"/>
      <c r="I39" s="36"/>
      <c r="J39" s="36"/>
      <c r="K39" s="36"/>
      <c r="L39" s="48"/>
      <c r="M39" s="36"/>
      <c r="N39" s="36"/>
      <c r="O39" s="36"/>
      <c r="P39" s="36"/>
    </row>
    <row r="40" spans="1:16" x14ac:dyDescent="0.3">
      <c r="A40" s="54"/>
      <c r="B40" s="55"/>
      <c r="C40" s="55"/>
      <c r="D40" s="55"/>
      <c r="E40" s="55"/>
      <c r="F40" s="55"/>
      <c r="G40" s="55"/>
      <c r="H40" s="55"/>
      <c r="I40" s="55"/>
      <c r="J40" s="48"/>
      <c r="K40" s="57"/>
      <c r="L40" s="56"/>
      <c r="M40" s="36"/>
      <c r="N40" s="36"/>
      <c r="O40" s="36"/>
      <c r="P40" s="36"/>
    </row>
    <row r="41" spans="1:16" x14ac:dyDescent="0.3">
      <c r="A41" s="44"/>
      <c r="B41" s="36"/>
      <c r="C41" s="36"/>
      <c r="D41" s="36"/>
      <c r="E41" s="36"/>
      <c r="F41" s="36"/>
      <c r="G41" s="36"/>
      <c r="H41" s="44"/>
      <c r="I41" s="36"/>
      <c r="J41" s="36"/>
      <c r="K41" s="57"/>
      <c r="L41" s="56"/>
      <c r="M41" s="36"/>
      <c r="N41" s="36"/>
      <c r="O41" s="36"/>
      <c r="P41" s="36"/>
    </row>
    <row r="42" spans="1:16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57"/>
      <c r="L42" s="56"/>
      <c r="M42" s="36"/>
      <c r="N42" s="36"/>
      <c r="O42" s="36"/>
      <c r="P42" s="36"/>
    </row>
    <row r="43" spans="1:16" x14ac:dyDescent="0.3">
      <c r="A43" s="36"/>
      <c r="B43" s="36"/>
      <c r="C43" s="36"/>
      <c r="D43" s="36"/>
      <c r="E43" s="36"/>
      <c r="F43" s="36"/>
      <c r="G43" s="36"/>
      <c r="H43" s="36"/>
      <c r="I43" s="44"/>
      <c r="J43" s="44"/>
      <c r="K43" s="36"/>
      <c r="L43" s="36"/>
      <c r="M43" s="36"/>
      <c r="N43" s="36"/>
      <c r="O43" s="36"/>
      <c r="P43" s="36"/>
    </row>
    <row r="45" spans="1:16" x14ac:dyDescent="0.3">
      <c r="A45" s="53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</row>
    <row r="46" spans="1:16" x14ac:dyDescent="0.3">
      <c r="A46" s="53"/>
      <c r="B46" s="44"/>
      <c r="C46" s="44"/>
      <c r="D46" s="44"/>
      <c r="E46" s="44"/>
      <c r="F46" s="44"/>
      <c r="G46" s="44"/>
      <c r="H46" s="44"/>
      <c r="I46" s="44"/>
      <c r="J46" s="44"/>
      <c r="K46" s="49"/>
      <c r="L46" s="44"/>
      <c r="M46" s="44"/>
      <c r="N46" s="44"/>
      <c r="O46" s="44"/>
      <c r="P46" s="36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9D27-BA2E-4362-A229-4058DF51571F}">
  <dimension ref="A1:Z46"/>
  <sheetViews>
    <sheetView tabSelected="1" workbookViewId="0">
      <selection activeCell="J6" sqref="J6"/>
    </sheetView>
  </sheetViews>
  <sheetFormatPr baseColWidth="10" defaultRowHeight="14.4" x14ac:dyDescent="0.3"/>
  <cols>
    <col min="16" max="16" width="0" hidden="1" customWidth="1"/>
  </cols>
  <sheetData>
    <row r="1" spans="1:19" ht="15.6" x14ac:dyDescent="0.3">
      <c r="A1" s="64" t="s">
        <v>23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46"/>
      <c r="Q1" s="46"/>
      <c r="R1" s="46"/>
      <c r="S1" s="46"/>
    </row>
    <row r="2" spans="1:19" ht="15.6" x14ac:dyDescent="0.3">
      <c r="A2" s="64" t="s">
        <v>24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46"/>
      <c r="Q2" s="46"/>
      <c r="R2" s="46"/>
      <c r="S2" s="46"/>
    </row>
    <row r="3" spans="1:19" ht="15.6" x14ac:dyDescent="0.3">
      <c r="A3" s="68" t="s">
        <v>36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46"/>
      <c r="Q3" s="46"/>
      <c r="R3" s="46"/>
      <c r="S3" s="46"/>
    </row>
    <row r="4" spans="1:19" ht="82.8" x14ac:dyDescent="0.3">
      <c r="A4" s="66" t="s">
        <v>1</v>
      </c>
      <c r="B4" s="69" t="s">
        <v>2</v>
      </c>
      <c r="C4" s="69"/>
      <c r="D4" s="2" t="s">
        <v>3</v>
      </c>
      <c r="E4" s="2" t="s">
        <v>4</v>
      </c>
      <c r="F4" s="2" t="s">
        <v>5</v>
      </c>
      <c r="G4" s="2" t="s">
        <v>6</v>
      </c>
      <c r="H4" s="69" t="s">
        <v>7</v>
      </c>
      <c r="I4" s="69" t="s">
        <v>8</v>
      </c>
      <c r="J4" s="37"/>
      <c r="K4" s="71" t="s">
        <v>1</v>
      </c>
      <c r="L4" s="69" t="s">
        <v>9</v>
      </c>
      <c r="M4" s="69" t="s">
        <v>10</v>
      </c>
      <c r="N4" s="69" t="s">
        <v>11</v>
      </c>
      <c r="O4" s="69" t="s">
        <v>12</v>
      </c>
      <c r="P4" s="36"/>
      <c r="Q4" s="36"/>
      <c r="R4" s="36"/>
      <c r="S4" s="36"/>
    </row>
    <row r="5" spans="1:19" x14ac:dyDescent="0.3">
      <c r="A5" s="67"/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  <c r="H5" s="69"/>
      <c r="I5" s="69"/>
      <c r="J5" s="37"/>
      <c r="K5" s="71"/>
      <c r="L5" s="69"/>
      <c r="M5" s="69"/>
      <c r="N5" s="69"/>
      <c r="O5" s="69"/>
      <c r="P5" s="36"/>
      <c r="Q5" s="36"/>
      <c r="R5" s="36"/>
      <c r="S5" s="36"/>
    </row>
    <row r="6" spans="1:19" ht="15" thickBot="1" x14ac:dyDescent="0.35">
      <c r="A6" s="38">
        <v>1</v>
      </c>
      <c r="B6" s="39">
        <v>2931</v>
      </c>
      <c r="C6" s="39">
        <v>2</v>
      </c>
      <c r="D6" s="39">
        <v>1487</v>
      </c>
      <c r="E6" s="39">
        <v>244</v>
      </c>
      <c r="F6" s="39">
        <v>246</v>
      </c>
      <c r="G6" s="39">
        <v>309</v>
      </c>
      <c r="H6" s="39">
        <v>5219</v>
      </c>
      <c r="I6" s="39">
        <v>0</v>
      </c>
      <c r="J6" s="40"/>
      <c r="K6" s="38">
        <v>1</v>
      </c>
      <c r="L6" s="58">
        <v>0</v>
      </c>
      <c r="M6" s="58">
        <v>7</v>
      </c>
      <c r="N6" s="58">
        <v>3</v>
      </c>
      <c r="O6" s="39">
        <v>10</v>
      </c>
      <c r="P6" s="50">
        <v>6135</v>
      </c>
      <c r="Q6" s="36"/>
      <c r="R6" s="36"/>
      <c r="S6" s="36"/>
    </row>
    <row r="7" spans="1:19" ht="15.6" thickTop="1" thickBot="1" x14ac:dyDescent="0.35">
      <c r="A7" s="38">
        <v>2</v>
      </c>
      <c r="B7" s="39">
        <v>2998</v>
      </c>
      <c r="C7" s="39">
        <v>0</v>
      </c>
      <c r="D7" s="39">
        <v>1474</v>
      </c>
      <c r="E7" s="39">
        <v>220</v>
      </c>
      <c r="F7" s="39">
        <v>281</v>
      </c>
      <c r="G7" s="39">
        <v>340</v>
      </c>
      <c r="H7" s="39">
        <v>5313</v>
      </c>
      <c r="I7" s="39">
        <v>0</v>
      </c>
      <c r="J7" s="40"/>
      <c r="K7" s="38">
        <v>2</v>
      </c>
      <c r="L7" s="58">
        <v>1</v>
      </c>
      <c r="M7" s="58">
        <v>9</v>
      </c>
      <c r="N7" s="58">
        <v>4</v>
      </c>
      <c r="O7" s="39">
        <v>14</v>
      </c>
      <c r="P7" s="50">
        <v>6135</v>
      </c>
      <c r="Q7" s="36"/>
      <c r="R7" s="36"/>
      <c r="S7" s="36"/>
    </row>
    <row r="8" spans="1:19" ht="15.6" thickTop="1" thickBot="1" x14ac:dyDescent="0.35">
      <c r="A8" s="38">
        <v>3</v>
      </c>
      <c r="B8" s="39">
        <v>3382</v>
      </c>
      <c r="C8" s="39">
        <v>2</v>
      </c>
      <c r="D8" s="39">
        <v>1628</v>
      </c>
      <c r="E8" s="39">
        <v>276</v>
      </c>
      <c r="F8" s="39">
        <v>284</v>
      </c>
      <c r="G8" s="39">
        <v>368</v>
      </c>
      <c r="H8" s="39">
        <v>5940</v>
      </c>
      <c r="I8" s="39">
        <v>0</v>
      </c>
      <c r="J8" s="40"/>
      <c r="K8" s="38">
        <v>3</v>
      </c>
      <c r="L8" s="58">
        <v>3</v>
      </c>
      <c r="M8" s="58">
        <v>16</v>
      </c>
      <c r="N8" s="58">
        <v>8</v>
      </c>
      <c r="O8" s="39">
        <v>27</v>
      </c>
      <c r="P8" s="50">
        <v>6135</v>
      </c>
      <c r="Q8" s="36"/>
      <c r="R8" s="36"/>
      <c r="S8" s="44"/>
    </row>
    <row r="9" spans="1:19" ht="15.6" thickTop="1" thickBot="1" x14ac:dyDescent="0.35">
      <c r="A9" s="38">
        <v>4</v>
      </c>
      <c r="B9" s="39">
        <v>5573</v>
      </c>
      <c r="C9" s="39">
        <v>2</v>
      </c>
      <c r="D9" s="39">
        <v>1645</v>
      </c>
      <c r="E9" s="39">
        <v>259</v>
      </c>
      <c r="F9" s="39">
        <v>288</v>
      </c>
      <c r="G9" s="39">
        <v>325</v>
      </c>
      <c r="H9" s="39">
        <v>8092</v>
      </c>
      <c r="I9" s="39">
        <v>0</v>
      </c>
      <c r="J9" s="40"/>
      <c r="K9" s="38">
        <v>4</v>
      </c>
      <c r="L9" s="58">
        <v>2</v>
      </c>
      <c r="M9" s="58">
        <v>2</v>
      </c>
      <c r="N9" s="58">
        <v>3</v>
      </c>
      <c r="O9" s="39">
        <v>7</v>
      </c>
      <c r="P9" s="50">
        <v>6135</v>
      </c>
      <c r="Q9" s="36"/>
      <c r="R9" s="36"/>
      <c r="S9" s="36"/>
    </row>
    <row r="10" spans="1:19" ht="15.6" thickTop="1" thickBot="1" x14ac:dyDescent="0.35">
      <c r="A10" s="38">
        <v>5</v>
      </c>
      <c r="B10" s="39">
        <v>5754</v>
      </c>
      <c r="C10" s="39">
        <v>2</v>
      </c>
      <c r="D10" s="39">
        <v>1247</v>
      </c>
      <c r="E10" s="39">
        <v>147</v>
      </c>
      <c r="F10" s="39">
        <v>193</v>
      </c>
      <c r="G10" s="39">
        <v>220</v>
      </c>
      <c r="H10" s="39">
        <v>7563</v>
      </c>
      <c r="I10" s="39">
        <v>0</v>
      </c>
      <c r="J10" s="40"/>
      <c r="K10" s="38">
        <v>5</v>
      </c>
      <c r="L10" s="58">
        <v>4</v>
      </c>
      <c r="M10" s="58">
        <v>11</v>
      </c>
      <c r="N10" s="58">
        <v>2</v>
      </c>
      <c r="O10" s="39">
        <v>17</v>
      </c>
      <c r="P10" s="50">
        <v>6135</v>
      </c>
      <c r="Q10" s="36"/>
      <c r="R10" s="36"/>
      <c r="S10" s="36"/>
    </row>
    <row r="11" spans="1:19" ht="15.6" thickTop="1" thickBot="1" x14ac:dyDescent="0.35">
      <c r="A11" s="38">
        <v>6</v>
      </c>
      <c r="B11" s="39">
        <v>5696</v>
      </c>
      <c r="C11" s="39">
        <v>0</v>
      </c>
      <c r="D11" s="39">
        <v>1098</v>
      </c>
      <c r="E11" s="39">
        <v>142</v>
      </c>
      <c r="F11" s="39">
        <v>169</v>
      </c>
      <c r="G11" s="39">
        <v>275</v>
      </c>
      <c r="H11" s="39">
        <v>7380</v>
      </c>
      <c r="I11" s="39">
        <v>0</v>
      </c>
      <c r="J11" s="40"/>
      <c r="K11" s="38">
        <v>6</v>
      </c>
      <c r="L11" s="58">
        <v>2</v>
      </c>
      <c r="M11" s="58">
        <v>2</v>
      </c>
      <c r="N11" s="58">
        <v>3</v>
      </c>
      <c r="O11" s="39">
        <v>7</v>
      </c>
      <c r="P11" s="50">
        <v>6135</v>
      </c>
      <c r="Q11" s="36"/>
      <c r="R11" s="36"/>
      <c r="S11" s="36"/>
    </row>
    <row r="12" spans="1:19" ht="15.6" thickTop="1" thickBot="1" x14ac:dyDescent="0.35">
      <c r="A12" s="38">
        <v>7</v>
      </c>
      <c r="B12" s="39">
        <v>3554</v>
      </c>
      <c r="C12" s="39">
        <v>2</v>
      </c>
      <c r="D12" s="39">
        <v>1104</v>
      </c>
      <c r="E12" s="39">
        <v>188</v>
      </c>
      <c r="F12" s="39">
        <v>253</v>
      </c>
      <c r="G12" s="39">
        <v>286</v>
      </c>
      <c r="H12" s="39">
        <v>5387</v>
      </c>
      <c r="I12" s="39">
        <v>0</v>
      </c>
      <c r="J12" s="41"/>
      <c r="K12" s="38">
        <v>7</v>
      </c>
      <c r="L12" s="58">
        <v>2</v>
      </c>
      <c r="M12" s="58">
        <v>0</v>
      </c>
      <c r="N12" s="58">
        <v>2</v>
      </c>
      <c r="O12" s="39">
        <v>4</v>
      </c>
      <c r="P12" s="50">
        <v>6135</v>
      </c>
      <c r="Q12" s="36"/>
      <c r="R12" s="36"/>
      <c r="S12" s="36"/>
    </row>
    <row r="13" spans="1:19" ht="15.6" thickTop="1" thickBot="1" x14ac:dyDescent="0.35">
      <c r="A13" s="38">
        <v>8</v>
      </c>
      <c r="B13" s="39">
        <v>6682</v>
      </c>
      <c r="C13" s="39">
        <v>2</v>
      </c>
      <c r="D13" s="39">
        <v>905</v>
      </c>
      <c r="E13" s="39">
        <v>79</v>
      </c>
      <c r="F13" s="39">
        <v>83</v>
      </c>
      <c r="G13" s="39">
        <v>140</v>
      </c>
      <c r="H13" s="39">
        <v>7891</v>
      </c>
      <c r="I13" s="39">
        <v>0</v>
      </c>
      <c r="J13" s="41"/>
      <c r="K13" s="38">
        <v>8</v>
      </c>
      <c r="L13" s="58">
        <v>1</v>
      </c>
      <c r="M13" s="58">
        <v>5</v>
      </c>
      <c r="N13" s="58">
        <v>5</v>
      </c>
      <c r="O13" s="39">
        <v>11</v>
      </c>
      <c r="P13" s="50">
        <v>6135</v>
      </c>
      <c r="Q13" s="36"/>
      <c r="R13" s="36"/>
      <c r="S13" s="36"/>
    </row>
    <row r="14" spans="1:19" ht="15.6" thickTop="1" thickBot="1" x14ac:dyDescent="0.35">
      <c r="A14" s="38">
        <v>9</v>
      </c>
      <c r="B14" s="39">
        <v>3421</v>
      </c>
      <c r="C14" s="39">
        <v>8</v>
      </c>
      <c r="D14" s="39">
        <v>1526</v>
      </c>
      <c r="E14" s="39">
        <v>211</v>
      </c>
      <c r="F14" s="39">
        <v>259</v>
      </c>
      <c r="G14" s="39">
        <v>377</v>
      </c>
      <c r="H14" s="39">
        <v>5802</v>
      </c>
      <c r="I14" s="39">
        <v>0</v>
      </c>
      <c r="J14" s="41"/>
      <c r="K14" s="38">
        <v>9</v>
      </c>
      <c r="L14" s="58">
        <v>0</v>
      </c>
      <c r="M14" s="58">
        <v>19</v>
      </c>
      <c r="N14" s="58">
        <v>1</v>
      </c>
      <c r="O14" s="39">
        <v>20</v>
      </c>
      <c r="P14" s="51">
        <v>6135</v>
      </c>
      <c r="Q14" s="47"/>
      <c r="R14" s="47"/>
      <c r="S14" s="47"/>
    </row>
    <row r="15" spans="1:19" ht="15.6" thickTop="1" thickBot="1" x14ac:dyDescent="0.35">
      <c r="A15" s="38">
        <v>10</v>
      </c>
      <c r="B15" s="39">
        <v>3447</v>
      </c>
      <c r="C15" s="39">
        <v>0</v>
      </c>
      <c r="D15" s="39">
        <v>1569</v>
      </c>
      <c r="E15" s="39">
        <v>209</v>
      </c>
      <c r="F15" s="39">
        <v>277</v>
      </c>
      <c r="G15" s="39">
        <v>338</v>
      </c>
      <c r="H15" s="39">
        <v>5840</v>
      </c>
      <c r="I15" s="39">
        <v>0</v>
      </c>
      <c r="J15" s="41"/>
      <c r="K15" s="38">
        <v>10</v>
      </c>
      <c r="L15" s="58">
        <v>4</v>
      </c>
      <c r="M15" s="58">
        <v>11</v>
      </c>
      <c r="N15" s="58">
        <v>3</v>
      </c>
      <c r="O15" s="39">
        <v>18</v>
      </c>
      <c r="P15" s="50">
        <v>6135</v>
      </c>
      <c r="Q15" s="36"/>
      <c r="R15" s="36"/>
      <c r="S15" s="36"/>
    </row>
    <row r="16" spans="1:19" ht="15.6" thickTop="1" thickBot="1" x14ac:dyDescent="0.35">
      <c r="A16" s="38">
        <v>11</v>
      </c>
      <c r="B16" s="39">
        <v>4600</v>
      </c>
      <c r="C16" s="39">
        <v>8</v>
      </c>
      <c r="D16" s="39">
        <v>1622</v>
      </c>
      <c r="E16" s="39">
        <v>214</v>
      </c>
      <c r="F16" s="39">
        <v>261</v>
      </c>
      <c r="G16" s="39">
        <v>320</v>
      </c>
      <c r="H16" s="39">
        <v>7025</v>
      </c>
      <c r="I16" s="39">
        <v>0</v>
      </c>
      <c r="J16" s="41"/>
      <c r="K16" s="38">
        <v>11</v>
      </c>
      <c r="L16" s="58">
        <v>1</v>
      </c>
      <c r="M16" s="58">
        <v>6</v>
      </c>
      <c r="N16" s="58">
        <v>4</v>
      </c>
      <c r="O16" s="39">
        <v>11</v>
      </c>
      <c r="P16" s="50">
        <v>6135</v>
      </c>
      <c r="Q16" s="36"/>
      <c r="R16" s="36"/>
      <c r="S16" s="36"/>
    </row>
    <row r="17" spans="1:26" ht="15.6" thickTop="1" thickBot="1" x14ac:dyDescent="0.35">
      <c r="A17" s="38">
        <v>12</v>
      </c>
      <c r="B17" s="39">
        <v>4903</v>
      </c>
      <c r="C17" s="39">
        <v>2</v>
      </c>
      <c r="D17" s="39">
        <v>1400</v>
      </c>
      <c r="E17" s="39">
        <v>154</v>
      </c>
      <c r="F17" s="39">
        <v>214</v>
      </c>
      <c r="G17" s="39">
        <v>283</v>
      </c>
      <c r="H17" s="39">
        <v>6956</v>
      </c>
      <c r="I17" s="39">
        <v>0</v>
      </c>
      <c r="J17" s="41"/>
      <c r="K17" s="38">
        <v>12</v>
      </c>
      <c r="L17" s="58">
        <v>0</v>
      </c>
      <c r="M17" s="58">
        <v>11</v>
      </c>
      <c r="N17" s="58">
        <v>1</v>
      </c>
      <c r="O17" s="39">
        <v>12</v>
      </c>
      <c r="P17" s="50">
        <v>6135</v>
      </c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ht="15.6" thickTop="1" thickBot="1" x14ac:dyDescent="0.35">
      <c r="A18" s="38">
        <v>13</v>
      </c>
      <c r="B18" s="39">
        <v>5910</v>
      </c>
      <c r="C18" s="39">
        <v>0</v>
      </c>
      <c r="D18" s="39">
        <v>1100</v>
      </c>
      <c r="E18" s="39">
        <v>151</v>
      </c>
      <c r="F18" s="39">
        <v>126</v>
      </c>
      <c r="G18" s="39">
        <v>274</v>
      </c>
      <c r="H18" s="39">
        <v>7561</v>
      </c>
      <c r="I18" s="39">
        <v>0</v>
      </c>
      <c r="J18" s="41"/>
      <c r="K18" s="38">
        <v>13</v>
      </c>
      <c r="L18" s="58">
        <v>1</v>
      </c>
      <c r="M18" s="58">
        <v>8</v>
      </c>
      <c r="N18" s="58">
        <v>0</v>
      </c>
      <c r="O18" s="39">
        <v>9</v>
      </c>
      <c r="P18" s="50">
        <v>6135</v>
      </c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ht="15.6" thickTop="1" thickBot="1" x14ac:dyDescent="0.35">
      <c r="A19" s="38">
        <v>14</v>
      </c>
      <c r="B19" s="39">
        <v>3338</v>
      </c>
      <c r="C19" s="39">
        <v>1</v>
      </c>
      <c r="D19" s="39">
        <v>1357</v>
      </c>
      <c r="E19" s="39">
        <v>231</v>
      </c>
      <c r="F19" s="39">
        <v>258</v>
      </c>
      <c r="G19" s="39">
        <v>366</v>
      </c>
      <c r="H19" s="39">
        <v>5551</v>
      </c>
      <c r="I19" s="39">
        <v>0</v>
      </c>
      <c r="J19" s="41"/>
      <c r="K19" s="38">
        <v>14</v>
      </c>
      <c r="L19" s="58">
        <v>2</v>
      </c>
      <c r="M19" s="58">
        <v>6</v>
      </c>
      <c r="N19" s="58">
        <v>3</v>
      </c>
      <c r="O19" s="39">
        <v>11</v>
      </c>
      <c r="P19" s="50">
        <v>6135</v>
      </c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ht="15.6" thickTop="1" thickBot="1" x14ac:dyDescent="0.35">
      <c r="A20" s="38">
        <v>15</v>
      </c>
      <c r="B20" s="39">
        <v>3406</v>
      </c>
      <c r="C20" s="39">
        <v>0</v>
      </c>
      <c r="D20" s="39">
        <v>1641</v>
      </c>
      <c r="E20" s="39">
        <v>205</v>
      </c>
      <c r="F20" s="39">
        <v>248</v>
      </c>
      <c r="G20" s="39">
        <v>295</v>
      </c>
      <c r="H20" s="39">
        <v>5795</v>
      </c>
      <c r="I20" s="39">
        <v>0</v>
      </c>
      <c r="J20" s="41"/>
      <c r="K20" s="38">
        <v>15</v>
      </c>
      <c r="L20" s="58">
        <v>1</v>
      </c>
      <c r="M20" s="58">
        <v>15</v>
      </c>
      <c r="N20" s="58">
        <v>8</v>
      </c>
      <c r="O20" s="39">
        <v>24</v>
      </c>
      <c r="P20" s="50">
        <v>6135</v>
      </c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6" thickTop="1" thickBot="1" x14ac:dyDescent="0.35">
      <c r="A21" s="38">
        <v>16</v>
      </c>
      <c r="B21" s="39">
        <v>3661</v>
      </c>
      <c r="C21" s="39">
        <v>0</v>
      </c>
      <c r="D21" s="39">
        <v>1571</v>
      </c>
      <c r="E21" s="39">
        <v>244</v>
      </c>
      <c r="F21" s="39">
        <v>253</v>
      </c>
      <c r="G21" s="39">
        <v>349</v>
      </c>
      <c r="H21" s="39">
        <v>6078</v>
      </c>
      <c r="I21" s="39">
        <v>0</v>
      </c>
      <c r="J21" s="41"/>
      <c r="K21" s="38">
        <v>16</v>
      </c>
      <c r="L21" s="58">
        <v>2</v>
      </c>
      <c r="M21" s="58">
        <v>10</v>
      </c>
      <c r="N21" s="58">
        <v>2</v>
      </c>
      <c r="O21" s="39">
        <v>14</v>
      </c>
      <c r="P21" s="50">
        <v>6135</v>
      </c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6" thickTop="1" thickBot="1" x14ac:dyDescent="0.35">
      <c r="A22" s="38">
        <v>17</v>
      </c>
      <c r="B22" s="39">
        <v>4126</v>
      </c>
      <c r="C22" s="39">
        <v>0</v>
      </c>
      <c r="D22" s="39">
        <v>1645</v>
      </c>
      <c r="E22" s="39">
        <v>256</v>
      </c>
      <c r="F22" s="39">
        <v>284</v>
      </c>
      <c r="G22" s="39">
        <v>347</v>
      </c>
      <c r="H22" s="39">
        <v>6658</v>
      </c>
      <c r="I22" s="39">
        <v>0</v>
      </c>
      <c r="J22" s="41"/>
      <c r="K22" s="38">
        <v>17</v>
      </c>
      <c r="L22" s="58">
        <v>2</v>
      </c>
      <c r="M22" s="58">
        <v>9</v>
      </c>
      <c r="N22" s="58">
        <v>1</v>
      </c>
      <c r="O22" s="39">
        <v>12</v>
      </c>
      <c r="P22" s="50">
        <v>6135</v>
      </c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spans="1:26" ht="15.6" thickTop="1" thickBot="1" x14ac:dyDescent="0.35">
      <c r="A23" s="38">
        <v>18</v>
      </c>
      <c r="B23" s="39">
        <v>5837</v>
      </c>
      <c r="C23" s="39">
        <v>0</v>
      </c>
      <c r="D23" s="39">
        <v>1656</v>
      </c>
      <c r="E23" s="39">
        <v>224</v>
      </c>
      <c r="F23" s="39">
        <v>288</v>
      </c>
      <c r="G23" s="39">
        <v>314</v>
      </c>
      <c r="H23" s="39">
        <v>8319</v>
      </c>
      <c r="I23" s="39">
        <v>0</v>
      </c>
      <c r="J23" s="41"/>
      <c r="K23" s="38">
        <v>18</v>
      </c>
      <c r="L23" s="58">
        <v>1</v>
      </c>
      <c r="M23" s="58">
        <v>10</v>
      </c>
      <c r="N23" s="58">
        <v>4</v>
      </c>
      <c r="O23" s="39">
        <v>15</v>
      </c>
      <c r="P23" s="50">
        <v>6135</v>
      </c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6" thickTop="1" thickBot="1" x14ac:dyDescent="0.35">
      <c r="A24" s="38">
        <v>19</v>
      </c>
      <c r="B24" s="39">
        <v>6807</v>
      </c>
      <c r="C24" s="39">
        <v>0</v>
      </c>
      <c r="D24" s="39">
        <v>1363</v>
      </c>
      <c r="E24" s="39">
        <v>136</v>
      </c>
      <c r="F24" s="39">
        <v>282</v>
      </c>
      <c r="G24" s="39">
        <v>250</v>
      </c>
      <c r="H24" s="39">
        <v>8838</v>
      </c>
      <c r="I24" s="39">
        <v>0</v>
      </c>
      <c r="J24" s="41"/>
      <c r="K24" s="38">
        <v>19</v>
      </c>
      <c r="L24" s="58">
        <v>0</v>
      </c>
      <c r="M24" s="58">
        <v>6</v>
      </c>
      <c r="N24" s="58">
        <v>1</v>
      </c>
      <c r="O24" s="39">
        <v>7</v>
      </c>
      <c r="P24" s="50">
        <v>6135</v>
      </c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6" thickTop="1" thickBot="1" x14ac:dyDescent="0.35">
      <c r="A25" s="38">
        <v>20</v>
      </c>
      <c r="B25" s="39">
        <v>6831</v>
      </c>
      <c r="C25" s="39">
        <v>0</v>
      </c>
      <c r="D25" s="39">
        <v>1227</v>
      </c>
      <c r="E25" s="39">
        <v>144</v>
      </c>
      <c r="F25" s="39">
        <v>224</v>
      </c>
      <c r="G25" s="39">
        <v>240</v>
      </c>
      <c r="H25" s="39">
        <v>8666</v>
      </c>
      <c r="I25" s="39">
        <v>0</v>
      </c>
      <c r="J25" s="41"/>
      <c r="K25" s="38">
        <v>20</v>
      </c>
      <c r="L25" s="58">
        <v>1</v>
      </c>
      <c r="M25" s="58">
        <v>0</v>
      </c>
      <c r="N25" s="58">
        <v>1</v>
      </c>
      <c r="O25" s="39">
        <v>2</v>
      </c>
      <c r="P25" s="50">
        <v>6135</v>
      </c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6" thickTop="1" thickBot="1" x14ac:dyDescent="0.35">
      <c r="A26" s="38">
        <v>21</v>
      </c>
      <c r="B26" s="39">
        <v>5406</v>
      </c>
      <c r="C26" s="39">
        <v>3</v>
      </c>
      <c r="D26" s="39">
        <v>1512</v>
      </c>
      <c r="E26" s="39">
        <v>197</v>
      </c>
      <c r="F26" s="39">
        <v>272</v>
      </c>
      <c r="G26" s="39">
        <v>269</v>
      </c>
      <c r="H26" s="39">
        <v>7659</v>
      </c>
      <c r="I26" s="39">
        <v>0</v>
      </c>
      <c r="J26" s="41"/>
      <c r="K26" s="38">
        <v>21</v>
      </c>
      <c r="L26" s="58">
        <v>0</v>
      </c>
      <c r="M26" s="58">
        <v>17</v>
      </c>
      <c r="N26" s="58">
        <v>3</v>
      </c>
      <c r="O26" s="39">
        <v>20</v>
      </c>
      <c r="P26" s="50">
        <v>6135</v>
      </c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6" thickTop="1" thickBot="1" x14ac:dyDescent="0.35">
      <c r="A27" s="38">
        <v>22</v>
      </c>
      <c r="B27" s="39">
        <v>6752</v>
      </c>
      <c r="C27" s="39">
        <v>1</v>
      </c>
      <c r="D27" s="39">
        <v>1953</v>
      </c>
      <c r="E27" s="39">
        <v>179</v>
      </c>
      <c r="F27" s="39">
        <v>285</v>
      </c>
      <c r="G27" s="39">
        <v>265</v>
      </c>
      <c r="H27" s="39">
        <v>9435</v>
      </c>
      <c r="I27" s="39">
        <v>0</v>
      </c>
      <c r="J27" s="41"/>
      <c r="K27" s="38">
        <v>22</v>
      </c>
      <c r="L27" s="58">
        <v>2</v>
      </c>
      <c r="M27" s="58">
        <v>9</v>
      </c>
      <c r="N27" s="58">
        <v>7</v>
      </c>
      <c r="O27" s="39">
        <v>18</v>
      </c>
      <c r="P27" s="50">
        <v>6135</v>
      </c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6" thickTop="1" thickBot="1" x14ac:dyDescent="0.35">
      <c r="A28" s="38">
        <v>23</v>
      </c>
      <c r="B28" s="39">
        <v>8881</v>
      </c>
      <c r="C28" s="39">
        <v>0</v>
      </c>
      <c r="D28" s="39">
        <v>1593</v>
      </c>
      <c r="E28" s="39">
        <v>120</v>
      </c>
      <c r="F28" s="39">
        <v>215</v>
      </c>
      <c r="G28" s="39">
        <v>179</v>
      </c>
      <c r="H28" s="39">
        <v>10988</v>
      </c>
      <c r="I28" s="39">
        <v>0</v>
      </c>
      <c r="J28" s="41"/>
      <c r="K28" s="38">
        <v>23</v>
      </c>
      <c r="L28" s="58">
        <v>0</v>
      </c>
      <c r="M28" s="58">
        <v>6</v>
      </c>
      <c r="N28" s="58">
        <v>1</v>
      </c>
      <c r="O28" s="39">
        <v>7</v>
      </c>
      <c r="P28" s="50">
        <v>6135</v>
      </c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6" thickTop="1" thickBot="1" x14ac:dyDescent="0.35">
      <c r="A29" s="38">
        <v>24</v>
      </c>
      <c r="B29" s="39">
        <v>7652</v>
      </c>
      <c r="C29" s="39">
        <v>0</v>
      </c>
      <c r="D29" s="39">
        <v>881</v>
      </c>
      <c r="E29" s="39">
        <v>49</v>
      </c>
      <c r="F29" s="39">
        <v>100</v>
      </c>
      <c r="G29" s="39">
        <v>75</v>
      </c>
      <c r="H29" s="39">
        <v>8757</v>
      </c>
      <c r="I29" s="39">
        <v>0</v>
      </c>
      <c r="J29" s="41"/>
      <c r="K29" s="38">
        <v>24</v>
      </c>
      <c r="L29" s="58">
        <v>1</v>
      </c>
      <c r="M29" s="58">
        <v>0</v>
      </c>
      <c r="N29" s="58">
        <v>0</v>
      </c>
      <c r="O29" s="39">
        <v>1</v>
      </c>
      <c r="P29" s="50">
        <v>6135</v>
      </c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6" thickTop="1" thickBot="1" x14ac:dyDescent="0.35">
      <c r="A30" s="38">
        <v>25</v>
      </c>
      <c r="B30" s="39">
        <v>8537</v>
      </c>
      <c r="C30" s="39">
        <v>0</v>
      </c>
      <c r="D30" s="39">
        <v>619</v>
      </c>
      <c r="E30" s="39">
        <v>64</v>
      </c>
      <c r="F30" s="39">
        <v>121</v>
      </c>
      <c r="G30" s="39">
        <v>117</v>
      </c>
      <c r="H30" s="39">
        <v>9458</v>
      </c>
      <c r="I30" s="39">
        <v>0</v>
      </c>
      <c r="J30" s="41"/>
      <c r="K30" s="38">
        <v>25</v>
      </c>
      <c r="L30" s="58">
        <v>2</v>
      </c>
      <c r="M30" s="58">
        <v>2</v>
      </c>
      <c r="N30" s="58">
        <v>0</v>
      </c>
      <c r="O30" s="39">
        <v>4</v>
      </c>
      <c r="P30" s="50">
        <v>6135</v>
      </c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6" thickTop="1" thickBot="1" x14ac:dyDescent="0.35">
      <c r="A31" s="38">
        <v>26</v>
      </c>
      <c r="B31" s="39">
        <v>10253</v>
      </c>
      <c r="C31" s="39">
        <v>0</v>
      </c>
      <c r="D31" s="39">
        <v>1066</v>
      </c>
      <c r="E31" s="39">
        <v>106</v>
      </c>
      <c r="F31" s="39">
        <v>213</v>
      </c>
      <c r="G31" s="39">
        <v>243</v>
      </c>
      <c r="H31" s="39">
        <v>11881</v>
      </c>
      <c r="I31" s="39">
        <v>0</v>
      </c>
      <c r="J31" s="41"/>
      <c r="K31" s="38">
        <v>26</v>
      </c>
      <c r="L31" s="58">
        <v>0</v>
      </c>
      <c r="M31" s="58">
        <v>4</v>
      </c>
      <c r="N31" s="58">
        <v>1</v>
      </c>
      <c r="O31" s="39">
        <v>5</v>
      </c>
      <c r="P31" s="50">
        <v>6135</v>
      </c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6" thickTop="1" thickBot="1" x14ac:dyDescent="0.35">
      <c r="A32" s="38">
        <v>27</v>
      </c>
      <c r="B32" s="39">
        <v>13019</v>
      </c>
      <c r="C32" s="39">
        <v>0</v>
      </c>
      <c r="D32" s="39">
        <v>929</v>
      </c>
      <c r="E32" s="39">
        <v>68</v>
      </c>
      <c r="F32" s="39">
        <v>119</v>
      </c>
      <c r="G32" s="39">
        <v>103</v>
      </c>
      <c r="H32" s="39">
        <v>14238</v>
      </c>
      <c r="I32" s="39">
        <v>0</v>
      </c>
      <c r="J32" s="41"/>
      <c r="K32" s="38">
        <v>27</v>
      </c>
      <c r="L32" s="58">
        <v>0</v>
      </c>
      <c r="M32" s="58">
        <v>6</v>
      </c>
      <c r="N32" s="58">
        <v>1</v>
      </c>
      <c r="O32" s="39">
        <v>7</v>
      </c>
      <c r="P32" s="50">
        <v>6135</v>
      </c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16" ht="15.6" thickTop="1" thickBot="1" x14ac:dyDescent="0.35">
      <c r="A33" s="38">
        <v>28</v>
      </c>
      <c r="B33" s="39">
        <v>7815</v>
      </c>
      <c r="C33" s="39">
        <v>6</v>
      </c>
      <c r="D33" s="39">
        <v>1498</v>
      </c>
      <c r="E33" s="39">
        <v>152</v>
      </c>
      <c r="F33" s="39">
        <v>239</v>
      </c>
      <c r="G33" s="39">
        <v>253</v>
      </c>
      <c r="H33" s="39">
        <v>9963</v>
      </c>
      <c r="I33" s="39">
        <v>0</v>
      </c>
      <c r="J33" s="41"/>
      <c r="K33" s="38">
        <v>28</v>
      </c>
      <c r="L33" s="58">
        <v>0</v>
      </c>
      <c r="M33" s="58">
        <v>2</v>
      </c>
      <c r="N33" s="58">
        <v>1</v>
      </c>
      <c r="O33" s="39">
        <v>3</v>
      </c>
      <c r="P33" s="50">
        <v>6135</v>
      </c>
    </row>
    <row r="34" spans="1:16" ht="15.6" thickTop="1" thickBot="1" x14ac:dyDescent="0.35">
      <c r="A34" s="38">
        <v>29</v>
      </c>
      <c r="B34" s="39">
        <v>11747</v>
      </c>
      <c r="C34" s="39">
        <v>4</v>
      </c>
      <c r="D34" s="39">
        <v>1758</v>
      </c>
      <c r="E34" s="39">
        <v>172</v>
      </c>
      <c r="F34" s="39">
        <v>252</v>
      </c>
      <c r="G34" s="39">
        <v>273</v>
      </c>
      <c r="H34" s="39">
        <v>14206</v>
      </c>
      <c r="I34" s="39">
        <v>0</v>
      </c>
      <c r="J34" s="41"/>
      <c r="K34" s="38">
        <v>29</v>
      </c>
      <c r="L34" s="39">
        <v>1</v>
      </c>
      <c r="M34" s="39">
        <v>6</v>
      </c>
      <c r="N34" s="39">
        <v>4</v>
      </c>
      <c r="O34" s="39">
        <v>11</v>
      </c>
      <c r="P34" s="50">
        <v>6135</v>
      </c>
    </row>
    <row r="35" spans="1:16" ht="15.6" thickTop="1" thickBot="1" x14ac:dyDescent="0.35">
      <c r="A35" s="38">
        <v>30</v>
      </c>
      <c r="B35" s="39">
        <v>15446</v>
      </c>
      <c r="C35" s="39">
        <v>2</v>
      </c>
      <c r="D35" s="39">
        <v>1386</v>
      </c>
      <c r="E35" s="39">
        <v>106</v>
      </c>
      <c r="F35" s="39">
        <v>211</v>
      </c>
      <c r="G35" s="39">
        <v>167</v>
      </c>
      <c r="H35" s="39">
        <v>17318</v>
      </c>
      <c r="I35" s="39">
        <v>0</v>
      </c>
      <c r="J35" s="41"/>
      <c r="K35" s="38">
        <v>30</v>
      </c>
      <c r="L35" s="39">
        <v>1</v>
      </c>
      <c r="M35" s="39">
        <v>11</v>
      </c>
      <c r="N35" s="39">
        <v>0</v>
      </c>
      <c r="O35" s="39">
        <v>12</v>
      </c>
      <c r="P35" s="50">
        <v>6135</v>
      </c>
    </row>
    <row r="36" spans="1:16" ht="15.6" thickTop="1" thickBot="1" x14ac:dyDescent="0.35">
      <c r="A36" s="38">
        <v>31</v>
      </c>
      <c r="B36" s="39">
        <v>11529</v>
      </c>
      <c r="C36" s="39">
        <v>0</v>
      </c>
      <c r="D36" s="39">
        <v>767</v>
      </c>
      <c r="E36" s="39">
        <v>33</v>
      </c>
      <c r="F36" s="39">
        <v>48</v>
      </c>
      <c r="G36" s="39">
        <v>42</v>
      </c>
      <c r="H36" s="39">
        <v>12419</v>
      </c>
      <c r="I36" s="39">
        <v>0</v>
      </c>
      <c r="J36" s="41"/>
      <c r="K36" s="38">
        <v>31</v>
      </c>
      <c r="L36" s="39">
        <v>0</v>
      </c>
      <c r="M36" s="39">
        <v>0</v>
      </c>
      <c r="N36" s="39">
        <v>0</v>
      </c>
      <c r="O36" s="39">
        <v>0</v>
      </c>
      <c r="P36" s="50">
        <v>6135</v>
      </c>
    </row>
    <row r="37" spans="1:16" ht="15" thickTop="1" x14ac:dyDescent="0.3">
      <c r="A37" s="4" t="s">
        <v>19</v>
      </c>
      <c r="B37" s="3">
        <v>199894</v>
      </c>
      <c r="C37" s="3">
        <v>47</v>
      </c>
      <c r="D37" s="3">
        <v>42227</v>
      </c>
      <c r="E37" s="3">
        <v>5180</v>
      </c>
      <c r="F37" s="3">
        <v>6846</v>
      </c>
      <c r="G37" s="3">
        <v>8002</v>
      </c>
      <c r="H37" s="3">
        <v>262196</v>
      </c>
      <c r="I37" s="3">
        <v>0</v>
      </c>
      <c r="J37" s="3"/>
      <c r="K37" s="3" t="s">
        <v>29</v>
      </c>
      <c r="L37" s="3">
        <v>37</v>
      </c>
      <c r="M37" s="3">
        <v>226</v>
      </c>
      <c r="N37" s="3">
        <v>77</v>
      </c>
      <c r="O37" s="5">
        <f>SUM(O6:O36)</f>
        <v>340</v>
      </c>
      <c r="P37" s="36"/>
    </row>
    <row r="38" spans="1:16" x14ac:dyDescent="0.3">
      <c r="A38" s="4" t="s">
        <v>19</v>
      </c>
      <c r="B38" s="70">
        <v>199941</v>
      </c>
      <c r="C38" s="70"/>
      <c r="D38" s="3">
        <v>42227</v>
      </c>
      <c r="E38" s="3">
        <v>5180</v>
      </c>
      <c r="F38" s="3">
        <v>6846</v>
      </c>
      <c r="G38" s="3">
        <v>8002</v>
      </c>
      <c r="H38" s="5">
        <v>262196</v>
      </c>
      <c r="I38" s="3">
        <v>0</v>
      </c>
      <c r="J38" s="42"/>
      <c r="K38" s="4"/>
      <c r="L38" s="35" t="s">
        <v>20</v>
      </c>
      <c r="M38" s="35" t="s">
        <v>21</v>
      </c>
      <c r="N38" s="35" t="s">
        <v>20</v>
      </c>
      <c r="O38" s="35" t="s">
        <v>21</v>
      </c>
      <c r="P38" s="36"/>
    </row>
    <row r="39" spans="1:16" x14ac:dyDescent="0.3">
      <c r="A39" s="43" t="s">
        <v>22</v>
      </c>
      <c r="B39" s="45"/>
      <c r="C39" s="45"/>
      <c r="D39" s="45"/>
      <c r="E39" s="45"/>
      <c r="F39" s="45"/>
      <c r="G39" s="45"/>
      <c r="H39" s="45"/>
      <c r="I39" s="36"/>
      <c r="J39" s="36"/>
      <c r="K39" s="36"/>
      <c r="L39" s="48"/>
      <c r="M39" s="36"/>
      <c r="N39" s="36"/>
      <c r="O39" s="36"/>
      <c r="P39" s="36"/>
    </row>
    <row r="40" spans="1:16" x14ac:dyDescent="0.3">
      <c r="A40" s="54"/>
      <c r="B40" s="55"/>
      <c r="C40" s="55"/>
      <c r="D40" s="55"/>
      <c r="E40" s="55"/>
      <c r="F40" s="55"/>
      <c r="G40" s="55"/>
      <c r="H40" s="55"/>
      <c r="I40" s="55"/>
      <c r="J40" s="48"/>
      <c r="K40" s="57"/>
      <c r="L40" s="56"/>
      <c r="M40" s="36"/>
      <c r="N40" s="36"/>
      <c r="O40" s="36"/>
      <c r="P40" s="36"/>
    </row>
    <row r="41" spans="1:16" x14ac:dyDescent="0.3">
      <c r="A41" s="44"/>
      <c r="B41" s="36"/>
      <c r="C41" s="36"/>
      <c r="D41" s="36"/>
      <c r="E41" s="36"/>
      <c r="F41" s="36"/>
      <c r="G41" s="36"/>
      <c r="H41" s="44"/>
      <c r="I41" s="36"/>
      <c r="J41" s="36"/>
      <c r="K41" s="57"/>
      <c r="L41" s="56"/>
      <c r="M41" s="36"/>
      <c r="N41" s="36"/>
      <c r="O41" s="36"/>
      <c r="P41" s="36"/>
    </row>
    <row r="42" spans="1:16" x14ac:dyDescent="0.3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57"/>
      <c r="L42" s="56"/>
      <c r="M42" s="36"/>
      <c r="N42" s="36"/>
      <c r="O42" s="36"/>
      <c r="P42" s="36"/>
    </row>
    <row r="43" spans="1:16" x14ac:dyDescent="0.3">
      <c r="A43" s="36"/>
      <c r="B43" s="36"/>
      <c r="C43" s="36"/>
      <c r="D43" s="36"/>
      <c r="E43" s="36"/>
      <c r="F43" s="36"/>
      <c r="G43" s="36"/>
      <c r="H43" s="36"/>
      <c r="I43" s="44"/>
      <c r="J43" s="44"/>
      <c r="K43" s="36"/>
      <c r="L43" s="36"/>
      <c r="M43" s="36"/>
      <c r="N43" s="36"/>
      <c r="O43" s="36"/>
      <c r="P43" s="36"/>
    </row>
    <row r="45" spans="1:16" x14ac:dyDescent="0.3">
      <c r="A45" s="53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</row>
    <row r="46" spans="1:16" x14ac:dyDescent="0.3">
      <c r="A46" s="53"/>
      <c r="B46" s="44"/>
      <c r="C46" s="44"/>
      <c r="D46" s="44"/>
      <c r="E46" s="44"/>
      <c r="F46" s="44"/>
      <c r="G46" s="44"/>
      <c r="H46" s="44"/>
      <c r="I46" s="44"/>
      <c r="J46" s="44"/>
      <c r="K46" s="49"/>
      <c r="L46" s="44"/>
      <c r="M46" s="44"/>
      <c r="N46" s="44"/>
      <c r="O46" s="44"/>
      <c r="P46" s="36"/>
    </row>
  </sheetData>
  <mergeCells count="13">
    <mergeCell ref="B38:C38"/>
    <mergeCell ref="B4:C4"/>
    <mergeCell ref="H4:H5"/>
    <mergeCell ref="K4:K5"/>
    <mergeCell ref="I4:I5"/>
    <mergeCell ref="A4:A5"/>
    <mergeCell ref="A1:O1"/>
    <mergeCell ref="A2:O2"/>
    <mergeCell ref="A3:O3"/>
    <mergeCell ref="O4:O5"/>
    <mergeCell ref="L4:L5"/>
    <mergeCell ref="M4:M5"/>
    <mergeCell ref="N4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 2015</vt:lpstr>
      <vt:lpstr>FEBRERO 2015</vt:lpstr>
      <vt:lpstr>MARZO 2015</vt:lpstr>
      <vt:lpstr>ABRIL 2015</vt:lpstr>
      <vt:lpstr>MAYO 2015</vt:lpstr>
      <vt:lpstr>JUNIO 2015</vt:lpstr>
      <vt:lpstr>JULIO 2015</vt:lpstr>
      <vt:lpstr>AGOSTO 2015</vt:lpstr>
      <vt:lpstr>SEPTIEMBRE 2015</vt:lpstr>
      <vt:lpstr>OCTUBRE 2015</vt:lpstr>
      <vt:lpstr>NOVIEMBRE 2015</vt:lpstr>
      <vt:lpstr>DICIEMBRE 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Gonzalez</dc:creator>
  <cp:lastModifiedBy>ANDREA CAROLINA BUSTOS FUENTES</cp:lastModifiedBy>
  <dcterms:created xsi:type="dcterms:W3CDTF">2024-09-03T15:27:59Z</dcterms:created>
  <dcterms:modified xsi:type="dcterms:W3CDTF">2026-01-27T23:09:31Z</dcterms:modified>
</cp:coreProperties>
</file>