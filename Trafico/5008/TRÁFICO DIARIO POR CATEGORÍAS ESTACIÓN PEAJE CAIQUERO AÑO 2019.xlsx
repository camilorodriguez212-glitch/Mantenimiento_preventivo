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1BAA8FF8-EA1C-4CDE-A2A2-4FD73232DD4A}" xr6:coauthVersionLast="47" xr6:coauthVersionMax="47" xr10:uidLastSave="{00000000-0000-0000-0000-000000000000}"/>
  <bookViews>
    <workbookView xWindow="-108" yWindow="-108" windowWidth="23256" windowHeight="12456" firstSheet="6" activeTab="11" xr2:uid="{6C32BAD0-3D13-4711-BC7E-838096021442}"/>
  </bookViews>
  <sheets>
    <sheet name="ENERO 2019" sheetId="1" r:id="rId1"/>
    <sheet name="FEBRERO 2019" sheetId="2" r:id="rId2"/>
    <sheet name="MARZO 2019" sheetId="3" r:id="rId3"/>
    <sheet name="ABRIL 2019" sheetId="4" r:id="rId4"/>
    <sheet name="MAYO 2019" sheetId="5" r:id="rId5"/>
    <sheet name="JUNIO 2019" sheetId="6" r:id="rId6"/>
    <sheet name="JULIO 2019" sheetId="7" r:id="rId7"/>
    <sheet name="AGOSTO 2019" sheetId="8" r:id="rId8"/>
    <sheet name="SEPTIEMBRE 2019" sheetId="9" r:id="rId9"/>
    <sheet name="OCTUBRE 2019" sheetId="10" r:id="rId10"/>
    <sheet name="NOVIEMBRE 2019" sheetId="11" r:id="rId11"/>
    <sheet name="DICIEMBRE 2019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5" l="1"/>
  <c r="N37" i="5"/>
  <c r="M37" i="5"/>
  <c r="L37" i="5"/>
  <c r="I37" i="5"/>
  <c r="G37" i="5"/>
  <c r="F37" i="5"/>
  <c r="F38" i="5" s="1"/>
  <c r="E37" i="5"/>
  <c r="E38" i="5" s="1"/>
  <c r="D37" i="5"/>
  <c r="D38" i="5" s="1"/>
  <c r="C37" i="5"/>
  <c r="B37" i="5"/>
  <c r="B38" i="5" s="1"/>
  <c r="O36" i="5"/>
  <c r="H36" i="5"/>
  <c r="O35" i="5"/>
  <c r="H35" i="5"/>
  <c r="O34" i="5"/>
  <c r="H34" i="5"/>
  <c r="O33" i="5"/>
  <c r="H33" i="5"/>
  <c r="O32" i="5"/>
  <c r="H32" i="5"/>
  <c r="O31" i="5"/>
  <c r="H31" i="5"/>
  <c r="O30" i="5"/>
  <c r="H30" i="5"/>
  <c r="O29" i="5"/>
  <c r="H29" i="5"/>
  <c r="O28" i="5"/>
  <c r="H28" i="5"/>
  <c r="O27" i="5"/>
  <c r="H27" i="5"/>
  <c r="O26" i="5"/>
  <c r="H26" i="5"/>
  <c r="O25" i="5"/>
  <c r="H25" i="5"/>
  <c r="O24" i="5"/>
  <c r="H24" i="5"/>
  <c r="O23" i="5"/>
  <c r="H23" i="5"/>
  <c r="O22" i="5"/>
  <c r="H22" i="5"/>
  <c r="O21" i="5"/>
  <c r="H21" i="5"/>
  <c r="O20" i="5"/>
  <c r="H20" i="5"/>
  <c r="O19" i="5"/>
  <c r="H19" i="5"/>
  <c r="O18" i="5"/>
  <c r="H18" i="5"/>
  <c r="O17" i="5"/>
  <c r="H17" i="5"/>
  <c r="O16" i="5"/>
  <c r="H16" i="5"/>
  <c r="O15" i="5"/>
  <c r="H15" i="5"/>
  <c r="O14" i="5"/>
  <c r="H14" i="5"/>
  <c r="O13" i="5"/>
  <c r="H13" i="5"/>
  <c r="O12" i="5"/>
  <c r="H12" i="5"/>
  <c r="O11" i="5"/>
  <c r="H11" i="5"/>
  <c r="O10" i="5"/>
  <c r="H10" i="5"/>
  <c r="O9" i="5"/>
  <c r="H9" i="5"/>
  <c r="O8" i="5"/>
  <c r="H8" i="5"/>
  <c r="P7" i="5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O7" i="5"/>
  <c r="H7" i="5"/>
  <c r="O6" i="5"/>
  <c r="O37" i="5" s="1"/>
  <c r="H6" i="5"/>
  <c r="H37" i="5" s="1"/>
  <c r="H38" i="5" s="1"/>
  <c r="N37" i="1" l="1"/>
  <c r="M37" i="1"/>
  <c r="L37" i="1"/>
  <c r="I37" i="1"/>
  <c r="G37" i="1"/>
  <c r="G38" i="1" s="1"/>
  <c r="F37" i="1"/>
  <c r="F38" i="1" s="1"/>
  <c r="E37" i="1"/>
  <c r="E38" i="1" s="1"/>
  <c r="D37" i="1"/>
  <c r="D38" i="1" s="1"/>
  <c r="C37" i="1"/>
  <c r="B37" i="1"/>
  <c r="B38" i="1" s="1"/>
  <c r="O36" i="1"/>
  <c r="H36" i="1"/>
  <c r="O35" i="1"/>
  <c r="H35" i="1"/>
  <c r="O34" i="1"/>
  <c r="H34" i="1"/>
  <c r="O33" i="1"/>
  <c r="H33" i="1"/>
  <c r="O32" i="1"/>
  <c r="H32" i="1"/>
  <c r="O31" i="1"/>
  <c r="H31" i="1"/>
  <c r="O30" i="1"/>
  <c r="H30" i="1"/>
  <c r="O29" i="1"/>
  <c r="H29" i="1"/>
  <c r="O28" i="1"/>
  <c r="H28" i="1"/>
  <c r="O27" i="1"/>
  <c r="H27" i="1"/>
  <c r="O26" i="1"/>
  <c r="H26" i="1"/>
  <c r="O25" i="1"/>
  <c r="H25" i="1"/>
  <c r="O24" i="1"/>
  <c r="H24" i="1"/>
  <c r="O23" i="1"/>
  <c r="H23" i="1"/>
  <c r="O22" i="1"/>
  <c r="H22" i="1"/>
  <c r="O21" i="1"/>
  <c r="H21" i="1"/>
  <c r="O20" i="1"/>
  <c r="H20" i="1"/>
  <c r="O19" i="1"/>
  <c r="H19" i="1"/>
  <c r="O18" i="1"/>
  <c r="H18" i="1"/>
  <c r="O17" i="1"/>
  <c r="H17" i="1"/>
  <c r="O16" i="1"/>
  <c r="H16" i="1"/>
  <c r="O15" i="1"/>
  <c r="H15" i="1"/>
  <c r="O14" i="1"/>
  <c r="H14" i="1"/>
  <c r="O13" i="1"/>
  <c r="H13" i="1"/>
  <c r="O12" i="1"/>
  <c r="H12" i="1"/>
  <c r="O11" i="1"/>
  <c r="H11" i="1"/>
  <c r="O10" i="1"/>
  <c r="H10" i="1"/>
  <c r="O9" i="1"/>
  <c r="H9" i="1"/>
  <c r="O8" i="1"/>
  <c r="H8" i="1"/>
  <c r="P7" i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O7" i="1"/>
  <c r="H7" i="1"/>
  <c r="O6" i="1"/>
  <c r="O37" i="1" s="1"/>
  <c r="H6" i="1"/>
  <c r="H37" i="1" s="1"/>
  <c r="H38" i="1" s="1"/>
</calcChain>
</file>

<file path=xl/sharedStrings.xml><?xml version="1.0" encoding="utf-8"?>
<sst xmlns="http://schemas.openxmlformats.org/spreadsheetml/2006/main" count="348" uniqueCount="36">
  <si>
    <t>ENERO 2019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</si>
  <si>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</si>
  <si>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</si>
  <si>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</si>
  <si>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</si>
  <si>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</si>
  <si>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</si>
  <si>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</si>
  <si>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</si>
  <si>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</si>
  <si>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</si>
  <si>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</si>
  <si>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</si>
  <si>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</si>
  <si>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</si>
  <si>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</si>
  <si>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</si>
  <si>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</si>
  <si>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</si>
  <si>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</si>
  <si>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</si>
  <si>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</si>
  <si>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NOTA (1):  EL TRAFICO ASOCIADO A ESTOS EJES , SE ENCUENTRA INCLUIDO DENTRO DEL TRAFICO DEL PEAJE DE CAIQUERO</t>
  </si>
  <si>
    <t>FEBRERO 2019</t>
  </si>
  <si>
    <t>MARZO 2019</t>
  </si>
  <si>
    <t>ABRIL 2019</t>
  </si>
  <si>
    <t>MAYO 2019</t>
  </si>
  <si>
    <t>JUNIO 2019</t>
  </si>
  <si>
    <t>JULIO 2019</t>
  </si>
  <si>
    <t>AGOSTO 2019</t>
  </si>
  <si>
    <t>SEPTIEMBRE 2019</t>
  </si>
  <si>
    <t>OCTUBRE 2019</t>
  </si>
  <si>
    <t>NOVIEMBRE 2019</t>
  </si>
  <si>
    <t>DICIEMBRE 2019</t>
  </si>
  <si>
    <t>CONCESIÓN SABANA DE OCCIDENTE S.A.S.</t>
  </si>
  <si>
    <t>TRÁFICO POR CATEGORÍAS, ESTACIÓN DE PEAJE CAIQUERO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</si>
</sst>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_ ;\-#,##0\ "/>
    <numFmt numFmtId="165" formatCode="_(* #,##0_);_(* \(#,##0\);_(* &quot;-&quot;??_);_(@_)"/>
    <numFmt numFmtId="166" formatCode="_([$$-240A]\ * #,##0_);_([$$-240A]\ * \(#,##0\);_([$$-240A]\ * &quot;-&quot;??_);_(@_)"/>
    <numFmt numFmtId="167" formatCode="_(&quot;N$&quot;* #,##0.00_);_(&quot;N$&quot;* \(#,##0.00\);_(&quot;N$&quot;* &quot;-&quot;??_);_(@_)"/>
    <numFmt numFmtId="168" formatCode="_ [$$-240A]\ * #,##0_ ;_ [$$-240A]\ * \-#,##0_ ;_ [$$-240A]\ * &quot;-&quot;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12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>
      <alignment vertical="top"/>
    </xf>
    <xf numFmtId="166" fontId="6" fillId="0" borderId="0"/>
    <xf numFmtId="166" fontId="6" fillId="0" borderId="0"/>
    <xf numFmtId="166" fontId="7" fillId="0" borderId="0">
      <alignment vertical="top"/>
    </xf>
    <xf numFmtId="166" fontId="8" fillId="0" borderId="0"/>
    <xf numFmtId="166" fontId="8" fillId="0" borderId="0"/>
    <xf numFmtId="166" fontId="7" fillId="0" borderId="0">
      <alignment vertical="top"/>
    </xf>
    <xf numFmtId="166" fontId="7" fillId="0" borderId="0">
      <alignment vertical="top"/>
    </xf>
    <xf numFmtId="166" fontId="7" fillId="0" borderId="0">
      <alignment vertical="top"/>
    </xf>
    <xf numFmtId="166" fontId="7" fillId="0" borderId="0">
      <alignment vertical="top"/>
    </xf>
    <xf numFmtId="166" fontId="6" fillId="0" borderId="0"/>
    <xf numFmtId="166" fontId="8" fillId="3" borderId="0" applyNumberFormat="0" applyBorder="0" applyAlignment="0" applyProtection="0"/>
    <xf numFmtId="166" fontId="8" fillId="4" borderId="0" applyNumberFormat="0" applyBorder="0" applyAlignment="0" applyProtection="0"/>
    <xf numFmtId="166" fontId="8" fillId="5" borderId="0" applyNumberFormat="0" applyBorder="0" applyAlignment="0" applyProtection="0"/>
    <xf numFmtId="166" fontId="8" fillId="6" borderId="0" applyNumberFormat="0" applyBorder="0" applyAlignment="0" applyProtection="0"/>
    <xf numFmtId="166" fontId="8" fillId="7" borderId="0" applyNumberFormat="0" applyBorder="0" applyAlignment="0" applyProtection="0"/>
    <xf numFmtId="166" fontId="8" fillId="8" borderId="0" applyNumberFormat="0" applyBorder="0" applyAlignment="0" applyProtection="0"/>
    <xf numFmtId="166" fontId="8" fillId="9" borderId="0" applyNumberFormat="0" applyBorder="0" applyAlignment="0" applyProtection="0"/>
    <xf numFmtId="166" fontId="8" fillId="10" borderId="0" applyNumberFormat="0" applyBorder="0" applyAlignment="0" applyProtection="0"/>
    <xf numFmtId="166" fontId="8" fillId="11" borderId="0" applyNumberFormat="0" applyBorder="0" applyAlignment="0" applyProtection="0"/>
    <xf numFmtId="166" fontId="8" fillId="6" borderId="0" applyNumberFormat="0" applyBorder="0" applyAlignment="0" applyProtection="0"/>
    <xf numFmtId="166" fontId="8" fillId="9" borderId="0" applyNumberFormat="0" applyBorder="0" applyAlignment="0" applyProtection="0"/>
    <xf numFmtId="166" fontId="8" fillId="12" borderId="0" applyNumberFormat="0" applyBorder="0" applyAlignment="0" applyProtection="0"/>
    <xf numFmtId="166" fontId="9" fillId="13" borderId="0" applyNumberFormat="0" applyBorder="0" applyAlignment="0" applyProtection="0"/>
    <xf numFmtId="166" fontId="9" fillId="10" borderId="0" applyNumberFormat="0" applyBorder="0" applyAlignment="0" applyProtection="0"/>
    <xf numFmtId="166" fontId="9" fillId="11" borderId="0" applyNumberFormat="0" applyBorder="0" applyAlignment="0" applyProtection="0"/>
    <xf numFmtId="166" fontId="9" fillId="14" borderId="0" applyNumberFormat="0" applyBorder="0" applyAlignment="0" applyProtection="0"/>
    <xf numFmtId="166" fontId="9" fillId="15" borderId="0" applyNumberFormat="0" applyBorder="0" applyAlignment="0" applyProtection="0"/>
    <xf numFmtId="166" fontId="9" fillId="16" borderId="0" applyNumberFormat="0" applyBorder="0" applyAlignment="0" applyProtection="0"/>
    <xf numFmtId="166" fontId="10" fillId="5" borderId="0" applyNumberFormat="0" applyBorder="0" applyAlignment="0" applyProtection="0"/>
    <xf numFmtId="166" fontId="11" fillId="8" borderId="5" applyNumberFormat="0" applyAlignment="0" applyProtection="0"/>
    <xf numFmtId="166" fontId="12" fillId="17" borderId="6" applyNumberFormat="0" applyAlignment="0" applyProtection="0"/>
    <xf numFmtId="166" fontId="13" fillId="0" borderId="7" applyNumberFormat="0" applyFill="0" applyAlignment="0" applyProtection="0"/>
    <xf numFmtId="166" fontId="14" fillId="0" borderId="0" applyNumberFormat="0" applyFill="0" applyBorder="0" applyAlignment="0" applyProtection="0"/>
    <xf numFmtId="166" fontId="9" fillId="18" borderId="0" applyNumberFormat="0" applyBorder="0" applyAlignment="0" applyProtection="0"/>
    <xf numFmtId="166" fontId="9" fillId="19" borderId="0" applyNumberFormat="0" applyBorder="0" applyAlignment="0" applyProtection="0"/>
    <xf numFmtId="166" fontId="9" fillId="20" borderId="0" applyNumberFormat="0" applyBorder="0" applyAlignment="0" applyProtection="0"/>
    <xf numFmtId="166" fontId="9" fillId="14" borderId="0" applyNumberFormat="0" applyBorder="0" applyAlignment="0" applyProtection="0"/>
    <xf numFmtId="166" fontId="9" fillId="15" borderId="0" applyNumberFormat="0" applyBorder="0" applyAlignment="0" applyProtection="0"/>
    <xf numFmtId="166" fontId="9" fillId="21" borderId="0" applyNumberFormat="0" applyBorder="0" applyAlignment="0" applyProtection="0"/>
    <xf numFmtId="166" fontId="15" fillId="8" borderId="5" applyNumberFormat="0" applyAlignment="0" applyProtection="0"/>
    <xf numFmtId="166" fontId="6" fillId="0" borderId="0" applyFont="0" applyFill="0" applyBorder="0" applyAlignment="0" applyProtection="0"/>
    <xf numFmtId="166" fontId="16" fillId="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17" fillId="22" borderId="0" applyNumberFormat="0" applyBorder="0" applyAlignment="0" applyProtection="0"/>
    <xf numFmtId="166" fontId="8" fillId="23" borderId="8" applyNumberFormat="0" applyFont="0" applyAlignment="0" applyProtection="0"/>
    <xf numFmtId="9" fontId="6" fillId="0" borderId="0" applyFont="0" applyFill="0" applyBorder="0" applyAlignment="0" applyProtection="0"/>
    <xf numFmtId="166" fontId="18" fillId="8" borderId="9" applyNumberFormat="0" applyAlignment="0" applyProtection="0"/>
    <xf numFmtId="166" fontId="19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1" fillId="0" borderId="0" applyNumberFormat="0" applyFill="0" applyBorder="0" applyAlignment="0" applyProtection="0"/>
    <xf numFmtId="166" fontId="22" fillId="0" borderId="10" applyNumberFormat="0" applyFill="0" applyAlignment="0" applyProtection="0"/>
    <xf numFmtId="166" fontId="23" fillId="0" borderId="11" applyNumberFormat="0" applyFill="0" applyAlignment="0" applyProtection="0"/>
    <xf numFmtId="166" fontId="14" fillId="0" borderId="12" applyNumberFormat="0" applyFill="0" applyAlignment="0" applyProtection="0"/>
    <xf numFmtId="166" fontId="24" fillId="0" borderId="13" applyNumberFormat="0" applyFill="0" applyAlignment="0" applyProtection="0"/>
    <xf numFmtId="168" fontId="6" fillId="0" borderId="0">
      <alignment vertical="top"/>
    </xf>
    <xf numFmtId="168" fontId="6" fillId="0" borderId="0"/>
    <xf numFmtId="168" fontId="6" fillId="0" borderId="0"/>
    <xf numFmtId="168" fontId="7" fillId="0" borderId="0">
      <alignment vertical="top"/>
    </xf>
    <xf numFmtId="168" fontId="8" fillId="0" borderId="0"/>
    <xf numFmtId="168" fontId="8" fillId="0" borderId="0"/>
    <xf numFmtId="168" fontId="7" fillId="0" borderId="0">
      <alignment vertical="top"/>
    </xf>
    <xf numFmtId="168" fontId="7" fillId="0" borderId="0">
      <alignment vertical="top"/>
    </xf>
    <xf numFmtId="168" fontId="7" fillId="0" borderId="0">
      <alignment vertical="top"/>
    </xf>
    <xf numFmtId="168" fontId="7" fillId="0" borderId="0">
      <alignment vertical="top"/>
    </xf>
    <xf numFmtId="168" fontId="6" fillId="0" borderId="0"/>
    <xf numFmtId="168" fontId="8" fillId="3" borderId="0" applyNumberFormat="0" applyBorder="0" applyAlignment="0" applyProtection="0"/>
    <xf numFmtId="168" fontId="8" fillId="4" borderId="0" applyNumberFormat="0" applyBorder="0" applyAlignment="0" applyProtection="0"/>
    <xf numFmtId="168" fontId="8" fillId="5" borderId="0" applyNumberFormat="0" applyBorder="0" applyAlignment="0" applyProtection="0"/>
    <xf numFmtId="168" fontId="8" fillId="6" borderId="0" applyNumberFormat="0" applyBorder="0" applyAlignment="0" applyProtection="0"/>
    <xf numFmtId="168" fontId="8" fillId="7" borderId="0" applyNumberFormat="0" applyBorder="0" applyAlignment="0" applyProtection="0"/>
    <xf numFmtId="168" fontId="8" fillId="8" borderId="0" applyNumberFormat="0" applyBorder="0" applyAlignment="0" applyProtection="0"/>
    <xf numFmtId="168" fontId="8" fillId="9" borderId="0" applyNumberFormat="0" applyBorder="0" applyAlignment="0" applyProtection="0"/>
    <xf numFmtId="168" fontId="8" fillId="10" borderId="0" applyNumberFormat="0" applyBorder="0" applyAlignment="0" applyProtection="0"/>
    <xf numFmtId="168" fontId="8" fillId="11" borderId="0" applyNumberFormat="0" applyBorder="0" applyAlignment="0" applyProtection="0"/>
    <xf numFmtId="168" fontId="8" fillId="6" borderId="0" applyNumberFormat="0" applyBorder="0" applyAlignment="0" applyProtection="0"/>
    <xf numFmtId="168" fontId="8" fillId="9" borderId="0" applyNumberFormat="0" applyBorder="0" applyAlignment="0" applyProtection="0"/>
    <xf numFmtId="168" fontId="8" fillId="12" borderId="0" applyNumberFormat="0" applyBorder="0" applyAlignment="0" applyProtection="0"/>
    <xf numFmtId="168" fontId="9" fillId="13" borderId="0" applyNumberFormat="0" applyBorder="0" applyAlignment="0" applyProtection="0"/>
    <xf numFmtId="168" fontId="9" fillId="10" borderId="0" applyNumberFormat="0" applyBorder="0" applyAlignment="0" applyProtection="0"/>
    <xf numFmtId="168" fontId="9" fillId="11" borderId="0" applyNumberFormat="0" applyBorder="0" applyAlignment="0" applyProtection="0"/>
    <xf numFmtId="168" fontId="9" fillId="14" borderId="0" applyNumberFormat="0" applyBorder="0" applyAlignment="0" applyProtection="0"/>
    <xf numFmtId="168" fontId="9" fillId="15" borderId="0" applyNumberFormat="0" applyBorder="0" applyAlignment="0" applyProtection="0"/>
    <xf numFmtId="168" fontId="9" fillId="16" borderId="0" applyNumberFormat="0" applyBorder="0" applyAlignment="0" applyProtection="0"/>
    <xf numFmtId="168" fontId="10" fillId="5" borderId="0" applyNumberFormat="0" applyBorder="0" applyAlignment="0" applyProtection="0"/>
    <xf numFmtId="168" fontId="11" fillId="8" borderId="5" applyNumberFormat="0" applyAlignment="0" applyProtection="0"/>
    <xf numFmtId="168" fontId="12" fillId="17" borderId="6" applyNumberFormat="0" applyAlignment="0" applyProtection="0"/>
    <xf numFmtId="168" fontId="13" fillId="0" borderId="7" applyNumberFormat="0" applyFill="0" applyAlignment="0" applyProtection="0"/>
    <xf numFmtId="168" fontId="14" fillId="0" borderId="0" applyNumberFormat="0" applyFill="0" applyBorder="0" applyAlignment="0" applyProtection="0"/>
    <xf numFmtId="168" fontId="9" fillId="18" borderId="0" applyNumberFormat="0" applyBorder="0" applyAlignment="0" applyProtection="0"/>
    <xf numFmtId="168" fontId="9" fillId="19" borderId="0" applyNumberFormat="0" applyBorder="0" applyAlignment="0" applyProtection="0"/>
    <xf numFmtId="168" fontId="9" fillId="20" borderId="0" applyNumberFormat="0" applyBorder="0" applyAlignment="0" applyProtection="0"/>
    <xf numFmtId="168" fontId="9" fillId="14" borderId="0" applyNumberFormat="0" applyBorder="0" applyAlignment="0" applyProtection="0"/>
    <xf numFmtId="168" fontId="9" fillId="15" borderId="0" applyNumberFormat="0" applyBorder="0" applyAlignment="0" applyProtection="0"/>
    <xf numFmtId="168" fontId="9" fillId="21" borderId="0" applyNumberFormat="0" applyBorder="0" applyAlignment="0" applyProtection="0"/>
    <xf numFmtId="168" fontId="15" fillId="8" borderId="5" applyNumberFormat="0" applyAlignment="0" applyProtection="0"/>
    <xf numFmtId="168" fontId="6" fillId="0" borderId="0" applyFont="0" applyFill="0" applyBorder="0" applyAlignment="0" applyProtection="0"/>
    <xf numFmtId="168" fontId="16" fillId="4" borderId="0" applyNumberFormat="0" applyBorder="0" applyAlignment="0" applyProtection="0"/>
    <xf numFmtId="43" fontId="6" fillId="0" borderId="0" applyFont="0" applyFill="0" applyBorder="0" applyAlignment="0" applyProtection="0"/>
    <xf numFmtId="168" fontId="17" fillId="22" borderId="0" applyNumberFormat="0" applyBorder="0" applyAlignment="0" applyProtection="0"/>
    <xf numFmtId="168" fontId="8" fillId="23" borderId="8" applyNumberFormat="0" applyFont="0" applyAlignment="0" applyProtection="0"/>
    <xf numFmtId="168" fontId="18" fillId="8" borderId="9" applyNumberFormat="0" applyAlignment="0" applyProtection="0"/>
    <xf numFmtId="168" fontId="19" fillId="0" borderId="0" applyNumberFormat="0" applyFill="0" applyBorder="0" applyAlignment="0" applyProtection="0"/>
    <xf numFmtId="168" fontId="20" fillId="0" borderId="0" applyNumberForma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10" applyNumberFormat="0" applyFill="0" applyAlignment="0" applyProtection="0"/>
    <xf numFmtId="168" fontId="23" fillId="0" borderId="11" applyNumberFormat="0" applyFill="0" applyAlignment="0" applyProtection="0"/>
    <xf numFmtId="168" fontId="14" fillId="0" borderId="12" applyNumberFormat="0" applyFill="0" applyAlignment="0" applyProtection="0"/>
    <xf numFmtId="168" fontId="24" fillId="0" borderId="13" applyNumberFormat="0" applyFill="0" applyAlignment="0" applyProtection="0"/>
    <xf numFmtId="0" fontId="1" fillId="0" borderId="0"/>
    <xf numFmtId="166" fontId="6" fillId="0" borderId="0">
      <alignment vertical="top"/>
    </xf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</cellStyleXfs>
  <cellXfs count="99">
    <xf numFmtId="0" fontId="0" fillId="0" borderId="0" xfId="0"/>
    <xf numFmtId="0" fontId="3" fillId="0" borderId="0" xfId="0" applyFont="1"/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37" fontId="4" fillId="0" borderId="2" xfId="1" applyNumberFormat="1" applyFont="1" applyFill="1" applyBorder="1" applyAlignment="1" applyProtection="1">
      <alignment horizontal="center" vertical="center"/>
    </xf>
    <xf numFmtId="37" fontId="5" fillId="0" borderId="2" xfId="1" applyNumberFormat="1" applyFont="1" applyFill="1" applyBorder="1" applyAlignment="1" applyProtection="1">
      <alignment horizontal="center" vertical="center"/>
    </xf>
    <xf numFmtId="37" fontId="5" fillId="0" borderId="0" xfId="1" applyNumberFormat="1" applyFont="1" applyFill="1" applyBorder="1" applyAlignment="1" applyProtection="1">
      <alignment horizontal="center" vertical="center" wrapText="1"/>
    </xf>
    <xf numFmtId="164" fontId="5" fillId="0" borderId="2" xfId="1" applyNumberFormat="1" applyFont="1" applyFill="1" applyBorder="1" applyAlignment="1" applyProtection="1">
      <alignment horizontal="center" vertical="center"/>
    </xf>
    <xf numFmtId="165" fontId="5" fillId="0" borderId="4" xfId="1" applyNumberFormat="1" applyFont="1" applyFill="1" applyBorder="1" applyAlignment="1" applyProtection="1"/>
    <xf numFmtId="3" fontId="5" fillId="0" borderId="0" xfId="0" applyNumberFormat="1" applyFont="1"/>
    <xf numFmtId="37" fontId="5" fillId="0" borderId="0" xfId="1" applyNumberFormat="1" applyFont="1" applyFill="1" applyBorder="1" applyAlignment="1" applyProtection="1">
      <alignment horizontal="center" vertical="center"/>
    </xf>
    <xf numFmtId="165" fontId="5" fillId="2" borderId="4" xfId="1" applyNumberFormat="1" applyFont="1" applyFill="1" applyBorder="1" applyAlignment="1" applyProtection="1"/>
    <xf numFmtId="0" fontId="5" fillId="2" borderId="0" xfId="0" applyFont="1" applyFill="1"/>
    <xf numFmtId="166" fontId="5" fillId="0" borderId="0" xfId="3" applyNumberFormat="1" applyFont="1" applyFill="1" applyProtection="1"/>
    <xf numFmtId="3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0" fontId="4" fillId="0" borderId="0" xfId="2" applyNumberFormat="1" applyFont="1" applyAlignment="1" applyProtection="1">
      <alignment horizontal="right"/>
    </xf>
    <xf numFmtId="10" fontId="5" fillId="0" borderId="0" xfId="2" applyNumberFormat="1" applyFont="1" applyAlignment="1" applyProtection="1">
      <alignment horizontal="right"/>
    </xf>
    <xf numFmtId="17" fontId="5" fillId="0" borderId="0" xfId="0" applyNumberFormat="1" applyFont="1"/>
    <xf numFmtId="3" fontId="4" fillId="0" borderId="0" xfId="0" applyNumberFormat="1" applyFont="1"/>
    <xf numFmtId="166" fontId="6" fillId="0" borderId="0" xfId="4" applyAlignment="1"/>
    <xf numFmtId="166" fontId="4" fillId="0" borderId="0" xfId="4" applyFont="1" applyAlignment="1">
      <alignment horizontal="center" vertical="center" wrapText="1"/>
    </xf>
    <xf numFmtId="37" fontId="4" fillId="0" borderId="2" xfId="47" applyNumberFormat="1" applyFont="1" applyFill="1" applyBorder="1" applyAlignment="1" applyProtection="1">
      <alignment horizontal="center" vertical="center"/>
    </xf>
    <xf numFmtId="37" fontId="5" fillId="0" borderId="2" xfId="47" applyNumberFormat="1" applyFont="1" applyFill="1" applyBorder="1" applyAlignment="1" applyProtection="1">
      <alignment horizontal="center" vertical="center"/>
    </xf>
    <xf numFmtId="37" fontId="5" fillId="0" borderId="0" xfId="47" applyNumberFormat="1" applyFont="1" applyFill="1" applyBorder="1" applyAlignment="1" applyProtection="1">
      <alignment horizontal="center" vertical="center" wrapText="1"/>
    </xf>
    <xf numFmtId="37" fontId="5" fillId="0" borderId="0" xfId="47" applyNumberFormat="1" applyFont="1" applyFill="1" applyBorder="1" applyAlignment="1" applyProtection="1">
      <alignment horizontal="center" vertical="center"/>
    </xf>
    <xf numFmtId="166" fontId="5" fillId="0" borderId="0" xfId="4" applyFont="1" applyAlignment="1">
      <alignment horizontal="center" vertical="center"/>
    </xf>
    <xf numFmtId="166" fontId="4" fillId="0" borderId="0" xfId="4" applyFont="1" applyAlignment="1">
      <alignment horizontal="center" vertical="center"/>
    </xf>
    <xf numFmtId="166" fontId="4" fillId="0" borderId="0" xfId="4" applyFont="1" applyAlignment="1">
      <alignment horizontal="left" vertical="center"/>
    </xf>
    <xf numFmtId="166" fontId="4" fillId="0" borderId="2" xfId="4" applyFont="1" applyBorder="1" applyAlignment="1">
      <alignment horizontal="center" vertical="center" wrapText="1"/>
    </xf>
    <xf numFmtId="166" fontId="4" fillId="0" borderId="2" xfId="4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3" fontId="5" fillId="0" borderId="0" xfId="4" applyNumberFormat="1" applyFont="1" applyAlignment="1"/>
    <xf numFmtId="166" fontId="4" fillId="0" borderId="0" xfId="4" applyFont="1" applyAlignment="1">
      <alignment horizontal="center"/>
    </xf>
    <xf numFmtId="166" fontId="3" fillId="0" borderId="0" xfId="4" applyFont="1" applyAlignment="1"/>
    <xf numFmtId="166" fontId="5" fillId="2" borderId="0" xfId="4" applyFont="1" applyFill="1" applyAlignment="1"/>
    <xf numFmtId="3" fontId="5" fillId="0" borderId="0" xfId="4" applyNumberFormat="1" applyFont="1" applyAlignment="1">
      <alignment horizontal="right"/>
    </xf>
    <xf numFmtId="3" fontId="4" fillId="0" borderId="0" xfId="4" applyNumberFormat="1" applyFont="1" applyAlignment="1"/>
    <xf numFmtId="165" fontId="5" fillId="0" borderId="4" xfId="47" applyNumberFormat="1" applyFont="1" applyFill="1" applyBorder="1" applyAlignment="1" applyProtection="1"/>
    <xf numFmtId="165" fontId="5" fillId="2" borderId="4" xfId="47" applyNumberFormat="1" applyFont="1" applyFill="1" applyBorder="1" applyAlignment="1" applyProtection="1"/>
    <xf numFmtId="166" fontId="5" fillId="0" borderId="0" xfId="48" applyNumberFormat="1" applyFont="1" applyFill="1" applyProtection="1"/>
    <xf numFmtId="17" fontId="5" fillId="0" borderId="0" xfId="4" applyNumberFormat="1" applyFont="1" applyAlignment="1"/>
    <xf numFmtId="166" fontId="4" fillId="0" borderId="0" xfId="4" applyFont="1" applyAlignment="1">
      <alignment horizontal="left"/>
    </xf>
    <xf numFmtId="166" fontId="5" fillId="0" borderId="0" xfId="4" applyFont="1" applyAlignment="1">
      <alignment horizontal="right"/>
    </xf>
    <xf numFmtId="10" fontId="5" fillId="0" borderId="0" xfId="52" applyNumberFormat="1" applyFont="1" applyAlignment="1" applyProtection="1">
      <alignment horizontal="right"/>
    </xf>
    <xf numFmtId="10" fontId="4" fillId="0" borderId="0" xfId="52" applyNumberFormat="1" applyFont="1" applyAlignment="1" applyProtection="1">
      <alignment horizontal="right"/>
    </xf>
    <xf numFmtId="164" fontId="5" fillId="0" borderId="2" xfId="47" applyNumberFormat="1" applyFont="1" applyFill="1" applyBorder="1" applyAlignment="1" applyProtection="1">
      <alignment horizontal="center" vertical="center"/>
    </xf>
    <xf numFmtId="166" fontId="4" fillId="0" borderId="2" xfId="116" applyFont="1" applyBorder="1" applyAlignment="1">
      <alignment horizontal="center" vertical="center" wrapText="1"/>
    </xf>
    <xf numFmtId="166" fontId="4" fillId="0" borderId="2" xfId="116" applyFont="1" applyBorder="1" applyAlignment="1">
      <alignment horizontal="center" vertical="center"/>
    </xf>
    <xf numFmtId="3" fontId="4" fillId="0" borderId="2" xfId="116" applyNumberFormat="1" applyFont="1" applyBorder="1" applyAlignment="1">
      <alignment horizontal="center" vertical="center"/>
    </xf>
    <xf numFmtId="166" fontId="6" fillId="0" borderId="0" xfId="116" applyAlignment="1"/>
    <xf numFmtId="166" fontId="4" fillId="0" borderId="0" xfId="116" applyFont="1" applyAlignment="1">
      <alignment horizontal="center" vertical="center" wrapText="1"/>
    </xf>
    <xf numFmtId="166" fontId="5" fillId="0" borderId="0" xfId="116" applyFont="1" applyAlignment="1">
      <alignment horizontal="center" vertical="center"/>
    </xf>
    <xf numFmtId="166" fontId="4" fillId="0" borderId="0" xfId="116" applyFont="1" applyAlignment="1">
      <alignment horizontal="center" vertical="center"/>
    </xf>
    <xf numFmtId="166" fontId="4" fillId="0" borderId="0" xfId="116" applyFont="1" applyAlignment="1">
      <alignment horizontal="left" vertical="center"/>
    </xf>
    <xf numFmtId="3" fontId="5" fillId="0" borderId="0" xfId="116" applyNumberFormat="1" applyFont="1" applyAlignment="1"/>
    <xf numFmtId="166" fontId="4" fillId="0" borderId="0" xfId="116" applyFont="1" applyAlignment="1">
      <alignment horizontal="center"/>
    </xf>
    <xf numFmtId="166" fontId="3" fillId="0" borderId="0" xfId="116" applyFont="1" applyAlignment="1"/>
    <xf numFmtId="166" fontId="5" fillId="2" borderId="0" xfId="116" applyFont="1" applyFill="1" applyAlignment="1"/>
    <xf numFmtId="3" fontId="5" fillId="0" borderId="0" xfId="116" applyNumberFormat="1" applyFont="1" applyAlignment="1">
      <alignment horizontal="right"/>
    </xf>
    <xf numFmtId="3" fontId="4" fillId="0" borderId="0" xfId="116" applyNumberFormat="1" applyFont="1" applyAlignment="1"/>
    <xf numFmtId="17" fontId="5" fillId="0" borderId="0" xfId="116" applyNumberFormat="1" applyFont="1" applyAlignment="1"/>
    <xf numFmtId="166" fontId="4" fillId="0" borderId="0" xfId="116" applyFont="1" applyAlignment="1">
      <alignment horizontal="left"/>
    </xf>
    <xf numFmtId="166" fontId="5" fillId="0" borderId="0" xfId="116" applyFont="1" applyAlignment="1">
      <alignment horizontal="right"/>
    </xf>
    <xf numFmtId="3" fontId="4" fillId="24" borderId="2" xfId="0" applyNumberFormat="1" applyFont="1" applyFill="1" applyBorder="1" applyAlignment="1">
      <alignment horizontal="center" vertical="center"/>
    </xf>
    <xf numFmtId="3" fontId="4" fillId="24" borderId="2" xfId="4" applyNumberFormat="1" applyFont="1" applyFill="1" applyBorder="1" applyAlignment="1">
      <alignment horizontal="center" vertical="center"/>
    </xf>
    <xf numFmtId="3" fontId="4" fillId="24" borderId="2" xfId="116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4" fillId="0" borderId="1" xfId="4" applyFont="1" applyBorder="1" applyAlignment="1">
      <alignment horizontal="center" vertical="center"/>
    </xf>
    <xf numFmtId="166" fontId="4" fillId="0" borderId="3" xfId="4" applyFont="1" applyBorder="1" applyAlignment="1">
      <alignment horizontal="center" vertical="center"/>
    </xf>
    <xf numFmtId="49" fontId="2" fillId="0" borderId="0" xfId="4" applyNumberFormat="1" applyFont="1" applyAlignment="1">
      <alignment horizontal="center" vertical="center"/>
    </xf>
    <xf numFmtId="166" fontId="4" fillId="0" borderId="2" xfId="4" applyFont="1" applyBorder="1" applyAlignment="1">
      <alignment horizontal="center" vertical="center" wrapText="1"/>
    </xf>
    <xf numFmtId="3" fontId="4" fillId="0" borderId="2" xfId="4" applyNumberFormat="1" applyFont="1" applyBorder="1" applyAlignment="1">
      <alignment horizontal="center" vertical="center"/>
    </xf>
    <xf numFmtId="166" fontId="4" fillId="0" borderId="2" xfId="4" applyFont="1" applyBorder="1" applyAlignment="1">
      <alignment horizontal="center" vertical="center"/>
    </xf>
    <xf numFmtId="3" fontId="4" fillId="0" borderId="2" xfId="116" applyNumberFormat="1" applyFont="1" applyBorder="1" applyAlignment="1">
      <alignment horizontal="center" vertical="center"/>
    </xf>
    <xf numFmtId="166" fontId="4" fillId="0" borderId="2" xfId="116" applyFont="1" applyBorder="1" applyAlignment="1">
      <alignment horizontal="center" vertical="center" wrapText="1"/>
    </xf>
    <xf numFmtId="166" fontId="4" fillId="0" borderId="2" xfId="116" applyFont="1" applyBorder="1" applyAlignment="1">
      <alignment horizontal="center" vertical="center"/>
    </xf>
    <xf numFmtId="166" fontId="4" fillId="0" borderId="1" xfId="116" applyFont="1" applyBorder="1" applyAlignment="1">
      <alignment horizontal="center" vertical="center"/>
    </xf>
    <xf numFmtId="166" fontId="4" fillId="0" borderId="3" xfId="116" applyFont="1" applyBorder="1" applyAlignment="1">
      <alignment horizontal="center" vertical="center"/>
    </xf>
    <xf numFmtId="49" fontId="2" fillId="0" borderId="0" xfId="116" applyNumberFormat="1" applyFont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</cellXfs>
  <cellStyles count="125">
    <cellStyle name="_ALCATRAZ RESUMEN  CEBRA MAYO DE 2008" xfId="5" xr:uid="{815286FB-DA2A-47E3-8142-345AFAA674B0}"/>
    <cellStyle name="_ALCATRAZ RESUMEN  CEBRA MAYO DE 2008 2" xfId="62" xr:uid="{8B64DFFD-2979-4A35-AB57-697728518F2E}"/>
    <cellStyle name="_CEBRA_CAIQUERO_MAYO(1)" xfId="6" xr:uid="{13B47084-7183-4AA9-A4BD-7504243D978E}"/>
    <cellStyle name="_CEBRA_CAIQUERO_MAYO(1) 2" xfId="63" xr:uid="{0A9E1AAD-6E52-4884-8135-F96524555D93}"/>
    <cellStyle name="_informe servicios mes de mayo" xfId="7" xr:uid="{CFA3B746-44C4-451E-857D-94F441D3E66E}"/>
    <cellStyle name="_informe servicios mes de mayo 2" xfId="64" xr:uid="{7225BD2C-754F-426C-972B-CB346DF52C7A}"/>
    <cellStyle name="_INV" xfId="8" xr:uid="{EAA8EDDD-CA4F-46F8-A9F2-4B551FCE5922}"/>
    <cellStyle name="_INV 2" xfId="65" xr:uid="{FC9F0B5A-DC98-4EBD-9148-7D13E1D610C4}"/>
    <cellStyle name="_INV MAYO" xfId="9" xr:uid="{094C7C82-EB8E-4854-96C9-B4553B67E7E1}"/>
    <cellStyle name="_INV MAYO 2" xfId="66" xr:uid="{4BC7B83C-6D61-4691-BF49-B6AE76B9B7E7}"/>
    <cellStyle name="_INVIAS SERVICIOS UNIDADES" xfId="10" xr:uid="{E4C20F02-DC42-42E4-8173-85872C9497EA}"/>
    <cellStyle name="_INVIAS SERVICIOS UNIDADES 2" xfId="67" xr:uid="{EFCC146A-8414-450A-B248-61DD4B5674D4}"/>
    <cellStyle name="_SER CT INV" xfId="11" xr:uid="{B1960A51-DA0C-4FFD-98F6-4316C514D550}"/>
    <cellStyle name="_SER CT INV 2" xfId="68" xr:uid="{7742EDDA-D690-4C3B-8DAD-D5AB51E94CEF}"/>
    <cellStyle name="_SER GRUA INV" xfId="12" xr:uid="{07B887B7-F060-4EA9-ADD4-3DA622E02B92}"/>
    <cellStyle name="_SER GRUA INV 2" xfId="69" xr:uid="{FBAC2A01-A55D-485C-95B1-CBEB3FFE43F5}"/>
    <cellStyle name="_SER. POS" xfId="13" xr:uid="{36B1D2F4-BA8A-4F99-B1CE-475AE1045FEB}"/>
    <cellStyle name="_SER. POS 2" xfId="70" xr:uid="{4563E707-2675-4A18-A380-2EF269218536}"/>
    <cellStyle name="_servicios de 2007 a 2008" xfId="14" xr:uid="{B9A73170-BF6A-43F1-BE9A-3D1F3D4FC054}"/>
    <cellStyle name="_servicios de 2007 a 2008 2" xfId="71" xr:uid="{7D0E4FF1-9D89-4D6A-9580-D5B402E20079}"/>
    <cellStyle name="20% - Énfasis1 2" xfId="72" xr:uid="{E7CB0D23-A72A-4FF2-84F0-5E9F99BA5BF8}"/>
    <cellStyle name="20% - Énfasis1 3" xfId="15" xr:uid="{B28447FE-ADE1-4732-860F-A001C6DF7445}"/>
    <cellStyle name="20% - Énfasis2 2" xfId="73" xr:uid="{94F95283-82A9-4D50-A0FE-129B65B069E0}"/>
    <cellStyle name="20% - Énfasis2 3" xfId="16" xr:uid="{D67B22EC-34F5-4B3A-A93E-ED3884131B28}"/>
    <cellStyle name="20% - Énfasis3 2" xfId="74" xr:uid="{EC18E4BE-95CD-4390-B8D6-2380E04083BE}"/>
    <cellStyle name="20% - Énfasis3 3" xfId="17" xr:uid="{2B107D67-96CE-4E72-9EB7-B8CD7991C212}"/>
    <cellStyle name="20% - Énfasis4 2" xfId="75" xr:uid="{EB3D8AB3-0B9E-4221-9BAA-7A863CDC70C2}"/>
    <cellStyle name="20% - Énfasis4 3" xfId="18" xr:uid="{8537F310-27D8-49EE-80E1-9301D4BC1E92}"/>
    <cellStyle name="20% - Énfasis5 2" xfId="76" xr:uid="{000EECAC-16CC-4724-B789-A263571CB102}"/>
    <cellStyle name="20% - Énfasis5 3" xfId="19" xr:uid="{5129FFC2-9098-4A28-AAA8-F1042E29863F}"/>
    <cellStyle name="20% - Énfasis6 2" xfId="77" xr:uid="{13BEFD0C-7246-44E4-92F0-41DE7A96D45B}"/>
    <cellStyle name="20% - Énfasis6 3" xfId="20" xr:uid="{AD5ACE9E-24B2-43AA-A65D-BBFF4BB3213F}"/>
    <cellStyle name="40% - Énfasis1 2" xfId="78" xr:uid="{4DBEE099-B6C4-4633-A581-7204B90C39EC}"/>
    <cellStyle name="40% - Énfasis1 3" xfId="21" xr:uid="{32A2F375-0500-4003-890E-52FEC78B1657}"/>
    <cellStyle name="40% - Énfasis2 2" xfId="79" xr:uid="{83C614BD-8A16-4BE0-B92F-76D9798E819E}"/>
    <cellStyle name="40% - Énfasis2 3" xfId="22" xr:uid="{C4E74CCE-E205-49CC-A0B0-C42877805043}"/>
    <cellStyle name="40% - Énfasis3 2" xfId="80" xr:uid="{492907ED-131B-4406-B2C5-05B9F1138D4A}"/>
    <cellStyle name="40% - Énfasis3 3" xfId="23" xr:uid="{B8603554-438D-422F-A097-CA7A162AE3FE}"/>
    <cellStyle name="40% - Énfasis4 2" xfId="81" xr:uid="{222F1227-78E5-42A3-9060-AFA5CDEA8AFA}"/>
    <cellStyle name="40% - Énfasis4 3" xfId="24" xr:uid="{CC4B2E16-6EA7-4516-84CE-E28D59CBEFF4}"/>
    <cellStyle name="40% - Énfasis5 2" xfId="82" xr:uid="{030F96B8-3F40-44A2-861C-9DF084BE9139}"/>
    <cellStyle name="40% - Énfasis5 3" xfId="25" xr:uid="{2BD5BCBA-FA92-4A3D-9A39-05B354496CAC}"/>
    <cellStyle name="40% - Énfasis6 2" xfId="83" xr:uid="{397A0D14-A509-4679-882D-4DDACE194669}"/>
    <cellStyle name="40% - Énfasis6 3" xfId="26" xr:uid="{43BC9A84-6C4F-48F9-A331-88FFD4BF31EF}"/>
    <cellStyle name="60% - Énfasis1 2" xfId="84" xr:uid="{9EF4083C-E837-4647-B0B8-03B332C7F4EB}"/>
    <cellStyle name="60% - Énfasis1 3" xfId="27" xr:uid="{DAB4AE76-F904-4D5D-8CA3-A12BFCA499F8}"/>
    <cellStyle name="60% - Énfasis2 2" xfId="85" xr:uid="{19D17AF9-A0B4-48CF-AEBC-6C0B4A66273D}"/>
    <cellStyle name="60% - Énfasis2 3" xfId="28" xr:uid="{92F3E379-A3AE-42D2-9BDE-BA9A524221BB}"/>
    <cellStyle name="60% - Énfasis3 2" xfId="86" xr:uid="{F255F934-F82C-477C-BEEC-6D271A47B34F}"/>
    <cellStyle name="60% - Énfasis3 3" xfId="29" xr:uid="{596C82D5-1419-40A0-B91F-619C4B8D88F3}"/>
    <cellStyle name="60% - Énfasis4 2" xfId="87" xr:uid="{954FA83C-7C9C-434E-842C-A8CE03188A59}"/>
    <cellStyle name="60% - Énfasis4 3" xfId="30" xr:uid="{FE27ABB1-A9E5-4144-B25E-BB008DD131D9}"/>
    <cellStyle name="60% - Énfasis5 2" xfId="88" xr:uid="{974960B1-8237-43A7-ABD8-BA6ABF1124CA}"/>
    <cellStyle name="60% - Énfasis5 3" xfId="31" xr:uid="{58345157-D37F-4BB8-A2E4-E6506D0F5EB2}"/>
    <cellStyle name="60% - Énfasis6 2" xfId="89" xr:uid="{8B1DF899-1FED-415B-983A-08F0E21C403B}"/>
    <cellStyle name="60% - Énfasis6 3" xfId="32" xr:uid="{BD5110D7-5FA8-4B03-8B04-DC82D62F02A5}"/>
    <cellStyle name="Buena 2" xfId="90" xr:uid="{E4EF8736-A203-43F5-927B-12266646C205}"/>
    <cellStyle name="Bueno 2" xfId="33" xr:uid="{1A0E1112-E8CC-4FA5-A90E-3343FB1EDF7D}"/>
    <cellStyle name="Cálculo 2" xfId="91" xr:uid="{4789A93D-1D1A-44EA-B47B-E8159A9DD1C3}"/>
    <cellStyle name="Cálculo 3" xfId="34" xr:uid="{E09BC260-D135-479D-B2C2-E2CFA9566662}"/>
    <cellStyle name="Celda de comprobación 2" xfId="92" xr:uid="{820D5BAA-0CAF-4CA9-9E4B-3471F558979A}"/>
    <cellStyle name="Celda de comprobación 3" xfId="35" xr:uid="{712854FC-B7B9-4FC3-B3DE-BB8AA1280ADE}"/>
    <cellStyle name="Celda vinculada 2" xfId="93" xr:uid="{56857A2C-F0C8-4190-9EB7-57C6E06E93A4}"/>
    <cellStyle name="Celda vinculada 3" xfId="36" xr:uid="{B4C6BE2A-4F9E-4A91-A8C2-C42AD4D8205C}"/>
    <cellStyle name="Encabezado 1 2" xfId="111" xr:uid="{8D0E474D-599E-4E2D-BC94-F74B970FB7C1}"/>
    <cellStyle name="Encabezado 1 3" xfId="57" xr:uid="{B4B7F24B-7D9F-4900-879A-3E7888831C40}"/>
    <cellStyle name="Encabezado 4 2" xfId="94" xr:uid="{E314FFCD-A53B-4468-A201-027FB99AE71D}"/>
    <cellStyle name="Encabezado 4 3" xfId="37" xr:uid="{05A29B93-9102-443E-ADE3-580F267A228D}"/>
    <cellStyle name="Énfasis1 2" xfId="95" xr:uid="{C809FE3D-4178-422D-9F01-8F38FFF99061}"/>
    <cellStyle name="Énfasis1 3" xfId="38" xr:uid="{9DE0E626-860B-420B-BF4C-6E2AFAC3A404}"/>
    <cellStyle name="Énfasis2 2" xfId="96" xr:uid="{D7F9C4F5-56E7-49A8-830A-99757A64E1AE}"/>
    <cellStyle name="Énfasis2 3" xfId="39" xr:uid="{6C52F4BB-DEBA-405E-9F4F-9923BDAD8A19}"/>
    <cellStyle name="Énfasis3 2" xfId="97" xr:uid="{3A28094B-5313-4FF9-9329-FC04262B933F}"/>
    <cellStyle name="Énfasis3 3" xfId="40" xr:uid="{821E6333-6950-46C8-95CB-306FABE7B4E8}"/>
    <cellStyle name="Énfasis4 2" xfId="98" xr:uid="{F787B174-82B8-4C41-A0A4-2792033AEF86}"/>
    <cellStyle name="Énfasis4 3" xfId="41" xr:uid="{B30DC128-6BC3-4DBD-956E-7CC39DE0F018}"/>
    <cellStyle name="Énfasis5 2" xfId="99" xr:uid="{C23F437B-0F47-44A0-8942-1C082DD055BA}"/>
    <cellStyle name="Énfasis5 3" xfId="42" xr:uid="{63040DFB-2BE1-47D9-BF89-2F1FE966C53F}"/>
    <cellStyle name="Énfasis6 2" xfId="100" xr:uid="{111B2235-ADD0-42E5-82E0-C612BD3A4BAE}"/>
    <cellStyle name="Énfasis6 3" xfId="43" xr:uid="{253AD46C-69A1-4AF9-821C-3370425424E3}"/>
    <cellStyle name="Entrada 2" xfId="101" xr:uid="{EDA897EC-4F05-43DA-A21C-362F6026717E}"/>
    <cellStyle name="Entrada 3" xfId="44" xr:uid="{EC29E9E6-2CAC-491A-B1E9-818FEDF69732}"/>
    <cellStyle name="Euro" xfId="45" xr:uid="{A49910CB-A104-4EF0-90BB-28479D92C9AC}"/>
    <cellStyle name="Euro 2" xfId="102" xr:uid="{6E6D2940-B46A-4F45-974B-10D349DC97A5}"/>
    <cellStyle name="Incorrecto 2" xfId="103" xr:uid="{EF73EE92-1679-4996-9C6B-CFFD2696CD0D}"/>
    <cellStyle name="Incorrecto 3" xfId="46" xr:uid="{44F539CC-EC67-4220-B78C-41172A0CA112}"/>
    <cellStyle name="Millares" xfId="1" builtinId="3"/>
    <cellStyle name="Millares 2" xfId="104" xr:uid="{6B34AC49-4F7F-430B-874D-49BB208994B5}"/>
    <cellStyle name="Millares 2 2" xfId="119" xr:uid="{52F744F2-CCEF-4B31-9BAD-69614D7E572B}"/>
    <cellStyle name="Millares 2 3" xfId="122" xr:uid="{16DD5A18-AFBF-40B6-9F81-D06C56967E96}"/>
    <cellStyle name="Millares 3" xfId="47" xr:uid="{5ED8C2C0-C12D-4B10-989D-5F0D8F477BDE}"/>
    <cellStyle name="Millares_TRAFICO CAIQUERO_1" xfId="3" xr:uid="{41AAED26-4F73-4E07-8866-EEB5753418E1}"/>
    <cellStyle name="Millares_TRAFICO CAIQUERO_1 2" xfId="48" xr:uid="{F0779AFB-56E6-4B85-AD61-E00606400CBB}"/>
    <cellStyle name="Moneda 2" xfId="49" xr:uid="{E5C3CB43-2216-409E-B18C-F9647F308E85}"/>
    <cellStyle name="Neutral 2" xfId="105" xr:uid="{9B0CB515-CA98-4078-A001-92CEC4DD9FA8}"/>
    <cellStyle name="Neutral 3" xfId="50" xr:uid="{374486CA-45B7-46D8-B49D-6F1ABDB8E082}"/>
    <cellStyle name="Normal" xfId="0" builtinId="0"/>
    <cellStyle name="Normal 2" xfId="61" xr:uid="{155BC0B2-739B-4832-96FE-765D1672C83A}"/>
    <cellStyle name="Normal 3" xfId="115" xr:uid="{C6D9EAD6-F812-4041-987B-769693812E95}"/>
    <cellStyle name="Normal 3 2" xfId="120" xr:uid="{A0CE2A69-F2B0-4393-BBE8-8512AC86BF75}"/>
    <cellStyle name="Normal 3 3" xfId="118" xr:uid="{B500CFE0-5E88-4829-8452-9D864DD2C587}"/>
    <cellStyle name="Normal 3 4" xfId="123" xr:uid="{A3CDCE05-3979-4313-8CD3-B6239191DBE2}"/>
    <cellStyle name="Normal 4" xfId="116" xr:uid="{DD91837D-B2EB-4BF0-90BE-E75DBEF138D0}"/>
    <cellStyle name="Normal 4 2" xfId="117" xr:uid="{01ED8C8E-080C-49D2-95A8-00E0BDF7FC71}"/>
    <cellStyle name="Normal 4 2 2" xfId="121" xr:uid="{0D534AF4-AF72-4933-AC5A-F41D292E4D38}"/>
    <cellStyle name="Normal 4 2 3" xfId="124" xr:uid="{69C62DD2-FEC8-466D-81CD-C37D8F949878}"/>
    <cellStyle name="Normal 5" xfId="4" xr:uid="{7F629D71-97DA-4653-B30D-88CC6E189456}"/>
    <cellStyle name="Notas 2" xfId="106" xr:uid="{1DE72436-1B7D-4A86-9959-435B2B058262}"/>
    <cellStyle name="Notas 3" xfId="51" xr:uid="{4D988AB0-183D-45A1-A99A-C0B5024A6105}"/>
    <cellStyle name="Porcentaje" xfId="2" builtinId="5"/>
    <cellStyle name="Porcentaje 2" xfId="52" xr:uid="{A5D0EA15-8BE2-49CD-89B6-80F9CB82426D}"/>
    <cellStyle name="Salida 2" xfId="107" xr:uid="{EEF43D67-9B54-4349-BE9D-9FF9A0785AB4}"/>
    <cellStyle name="Salida 3" xfId="53" xr:uid="{7820932B-12DE-4DA0-BC82-6E9BC6EFFCA0}"/>
    <cellStyle name="Texto de advertencia 2" xfId="108" xr:uid="{A35EF169-0A35-4AD6-9212-E64C58EDCDC0}"/>
    <cellStyle name="Texto de advertencia 3" xfId="54" xr:uid="{C2CAD763-C2D9-41A4-8AFF-84862DDF9C2E}"/>
    <cellStyle name="Texto explicativo 2" xfId="109" xr:uid="{3EA7C682-A582-4D4D-B854-87ED3B0B596A}"/>
    <cellStyle name="Texto explicativo 3" xfId="55" xr:uid="{E260B49A-3260-4ED9-A356-6F0517B7DD9F}"/>
    <cellStyle name="Título 2 2" xfId="112" xr:uid="{EB6E94D4-790A-4427-B456-2E1E21A9AA78}"/>
    <cellStyle name="Título 2 3" xfId="58" xr:uid="{9F6F854E-3EF4-4B5B-8E95-006262D6D192}"/>
    <cellStyle name="Título 3 2" xfId="113" xr:uid="{2D13916D-8F35-4B1F-96B3-C1F940D39E0E}"/>
    <cellStyle name="Título 3 3" xfId="59" xr:uid="{A370E9F0-CC07-4B31-AD6C-F94353EF34BD}"/>
    <cellStyle name="Título 4" xfId="110" xr:uid="{E2A26A0A-370A-4785-8CB3-C126DF7A1FF8}"/>
    <cellStyle name="Título 5" xfId="56" xr:uid="{8C29CB2E-808B-4338-9732-0813876CC59F}"/>
    <cellStyle name="Total 2" xfId="114" xr:uid="{CDD504EF-07B8-42D4-9E19-25C801D3830B}"/>
    <cellStyle name="Total 3" xfId="60" xr:uid="{1F91EADD-A09E-4E88-B048-CF8FA921C0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770E-53F2-46CA-BFBC-E67C60F5CB5B}">
  <dimension ref="A1:Z46"/>
  <sheetViews>
    <sheetView workbookViewId="0">
      <selection activeCell="J9" sqref="J9"/>
    </sheetView>
  </sheetViews>
  <sheetFormatPr baseColWidth="10" defaultColWidth="11.44140625" defaultRowHeight="13.8" x14ac:dyDescent="0.3"/>
  <cols>
    <col min="1" max="9" width="12.6640625" style="7" customWidth="1"/>
    <col min="10" max="10" width="4.6640625" style="7" customWidth="1"/>
    <col min="11" max="11" width="12.5546875" style="24" customWidth="1"/>
    <col min="12" max="15" width="12.5546875" style="7" customWidth="1"/>
    <col min="16" max="16" width="0" style="7" hidden="1" customWidth="1"/>
    <col min="17" max="16384" width="11.44140625" style="7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s="1" customFormat="1" ht="15.6" x14ac:dyDescent="0.3">
      <c r="A3" s="82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9" ht="78" customHeight="1" x14ac:dyDescent="0.3">
      <c r="A4" s="83" t="s">
        <v>1</v>
      </c>
      <c r="B4" s="79" t="s">
        <v>2</v>
      </c>
      <c r="C4" s="79"/>
      <c r="D4" s="4" t="s">
        <v>3</v>
      </c>
      <c r="E4" s="4" t="s">
        <v>4</v>
      </c>
      <c r="F4" s="4" t="s">
        <v>5</v>
      </c>
      <c r="G4" s="4" t="s">
        <v>6</v>
      </c>
      <c r="H4" s="79" t="s">
        <v>7</v>
      </c>
      <c r="I4" s="79" t="s">
        <v>8</v>
      </c>
      <c r="J4" s="5"/>
      <c r="K4" s="85" t="s">
        <v>1</v>
      </c>
      <c r="L4" s="79" t="s">
        <v>9</v>
      </c>
      <c r="M4" s="79" t="s">
        <v>10</v>
      </c>
      <c r="N4" s="79" t="s">
        <v>11</v>
      </c>
      <c r="O4" s="79" t="s">
        <v>12</v>
      </c>
    </row>
    <row r="5" spans="1:19" ht="18" customHeight="1" x14ac:dyDescent="0.3">
      <c r="A5" s="84"/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79"/>
      <c r="I5" s="79"/>
      <c r="J5" s="5"/>
      <c r="K5" s="85"/>
      <c r="L5" s="79"/>
      <c r="M5" s="79"/>
      <c r="N5" s="79"/>
      <c r="O5" s="79"/>
    </row>
    <row r="6" spans="1:19" ht="18" customHeight="1" thickBot="1" x14ac:dyDescent="0.35">
      <c r="A6" s="9">
        <v>1</v>
      </c>
      <c r="B6" s="10">
        <v>14360</v>
      </c>
      <c r="C6" s="10">
        <v>0</v>
      </c>
      <c r="D6" s="10">
        <v>502</v>
      </c>
      <c r="E6" s="10">
        <v>30</v>
      </c>
      <c r="F6" s="10">
        <v>36</v>
      </c>
      <c r="G6" s="10">
        <v>57</v>
      </c>
      <c r="H6" s="10">
        <f>SUM(B6:G6)</f>
        <v>14985</v>
      </c>
      <c r="I6" s="10">
        <v>0</v>
      </c>
      <c r="J6" s="11"/>
      <c r="K6" s="9">
        <v>1</v>
      </c>
      <c r="L6" s="12">
        <v>1</v>
      </c>
      <c r="M6" s="12">
        <v>0</v>
      </c>
      <c r="N6" s="12">
        <v>0</v>
      </c>
      <c r="O6" s="10">
        <f>SUM(L6:N6)</f>
        <v>1</v>
      </c>
      <c r="P6" s="13">
        <v>6135</v>
      </c>
    </row>
    <row r="7" spans="1:19" ht="18" customHeight="1" thickTop="1" thickBot="1" x14ac:dyDescent="0.35">
      <c r="A7" s="9">
        <v>2</v>
      </c>
      <c r="B7" s="10">
        <v>14966</v>
      </c>
      <c r="C7" s="10">
        <v>0</v>
      </c>
      <c r="D7" s="10">
        <v>1164</v>
      </c>
      <c r="E7" s="10">
        <v>110</v>
      </c>
      <c r="F7" s="10">
        <v>139</v>
      </c>
      <c r="G7" s="10">
        <v>242</v>
      </c>
      <c r="H7" s="10">
        <f>SUM(B7:G7)</f>
        <v>16621</v>
      </c>
      <c r="I7" s="10">
        <v>0</v>
      </c>
      <c r="J7" s="11"/>
      <c r="K7" s="9">
        <v>2</v>
      </c>
      <c r="L7" s="12">
        <v>5</v>
      </c>
      <c r="M7" s="12">
        <v>9</v>
      </c>
      <c r="N7" s="12">
        <v>1</v>
      </c>
      <c r="O7" s="10">
        <f t="shared" ref="O7:O36" si="0">SUM(L7:N7)</f>
        <v>15</v>
      </c>
      <c r="P7" s="13">
        <f>+P6</f>
        <v>6135</v>
      </c>
    </row>
    <row r="8" spans="1:19" ht="18" customHeight="1" thickTop="1" thickBot="1" x14ac:dyDescent="0.35">
      <c r="A8" s="9">
        <v>3</v>
      </c>
      <c r="B8" s="10">
        <v>12335</v>
      </c>
      <c r="C8" s="10">
        <v>0</v>
      </c>
      <c r="D8" s="10">
        <v>1355</v>
      </c>
      <c r="E8" s="10">
        <v>157</v>
      </c>
      <c r="F8" s="10">
        <v>199</v>
      </c>
      <c r="G8" s="10">
        <v>300</v>
      </c>
      <c r="H8" s="10">
        <f t="shared" ref="H8:H36" si="1">SUM(B8:G8)</f>
        <v>14346</v>
      </c>
      <c r="I8" s="10">
        <v>0</v>
      </c>
      <c r="J8" s="11"/>
      <c r="K8" s="9">
        <v>3</v>
      </c>
      <c r="L8" s="12">
        <v>5</v>
      </c>
      <c r="M8" s="12">
        <v>18</v>
      </c>
      <c r="N8" s="12">
        <v>7</v>
      </c>
      <c r="O8" s="10">
        <f t="shared" si="0"/>
        <v>30</v>
      </c>
      <c r="P8" s="13">
        <f t="shared" ref="P8:P36" si="2">+P7</f>
        <v>6135</v>
      </c>
      <c r="S8" s="14"/>
    </row>
    <row r="9" spans="1:19" ht="18" customHeight="1" thickTop="1" thickBot="1" x14ac:dyDescent="0.35">
      <c r="A9" s="9">
        <v>4</v>
      </c>
      <c r="B9" s="10">
        <v>13382</v>
      </c>
      <c r="C9" s="10">
        <v>0</v>
      </c>
      <c r="D9" s="10">
        <v>1206</v>
      </c>
      <c r="E9" s="10">
        <v>110</v>
      </c>
      <c r="F9" s="10">
        <v>185</v>
      </c>
      <c r="G9" s="10">
        <v>220</v>
      </c>
      <c r="H9" s="10">
        <f t="shared" si="1"/>
        <v>15103</v>
      </c>
      <c r="I9" s="10">
        <v>0</v>
      </c>
      <c r="J9" s="11"/>
      <c r="K9" s="9">
        <v>4</v>
      </c>
      <c r="L9" s="12">
        <v>0</v>
      </c>
      <c r="M9" s="12">
        <v>3</v>
      </c>
      <c r="N9" s="12">
        <v>5</v>
      </c>
      <c r="O9" s="10">
        <f t="shared" si="0"/>
        <v>8</v>
      </c>
      <c r="P9" s="13">
        <f t="shared" si="2"/>
        <v>6135</v>
      </c>
    </row>
    <row r="10" spans="1:19" ht="18" customHeight="1" thickTop="1" thickBot="1" x14ac:dyDescent="0.35">
      <c r="A10" s="9">
        <v>5</v>
      </c>
      <c r="B10" s="10">
        <v>14288</v>
      </c>
      <c r="C10" s="10">
        <v>0</v>
      </c>
      <c r="D10" s="10">
        <v>1012</v>
      </c>
      <c r="E10" s="10">
        <v>56</v>
      </c>
      <c r="F10" s="10">
        <v>139</v>
      </c>
      <c r="G10" s="10">
        <v>144</v>
      </c>
      <c r="H10" s="10">
        <f t="shared" si="1"/>
        <v>15639</v>
      </c>
      <c r="I10" s="10">
        <v>0</v>
      </c>
      <c r="J10" s="11"/>
      <c r="K10" s="9">
        <v>5</v>
      </c>
      <c r="L10" s="12">
        <v>1</v>
      </c>
      <c r="M10" s="12">
        <v>12</v>
      </c>
      <c r="N10" s="12">
        <v>1</v>
      </c>
      <c r="O10" s="10">
        <f t="shared" si="0"/>
        <v>14</v>
      </c>
      <c r="P10" s="13">
        <f t="shared" si="2"/>
        <v>6135</v>
      </c>
    </row>
    <row r="11" spans="1:19" ht="18" customHeight="1" thickTop="1" thickBot="1" x14ac:dyDescent="0.35">
      <c r="A11" s="9">
        <v>6</v>
      </c>
      <c r="B11" s="10">
        <v>16896</v>
      </c>
      <c r="C11" s="10">
        <v>0</v>
      </c>
      <c r="D11" s="10">
        <v>1070</v>
      </c>
      <c r="E11" s="10">
        <v>84</v>
      </c>
      <c r="F11" s="10">
        <v>132</v>
      </c>
      <c r="G11" s="10">
        <v>188</v>
      </c>
      <c r="H11" s="10">
        <f t="shared" si="1"/>
        <v>18370</v>
      </c>
      <c r="I11" s="10">
        <v>0</v>
      </c>
      <c r="J11" s="11"/>
      <c r="K11" s="9">
        <v>6</v>
      </c>
      <c r="L11" s="12">
        <v>1</v>
      </c>
      <c r="M11" s="12">
        <v>2</v>
      </c>
      <c r="N11" s="12">
        <v>0</v>
      </c>
      <c r="O11" s="10">
        <f t="shared" si="0"/>
        <v>3</v>
      </c>
      <c r="P11" s="13">
        <f t="shared" si="2"/>
        <v>6135</v>
      </c>
    </row>
    <row r="12" spans="1:19" ht="18" customHeight="1" thickTop="1" thickBot="1" x14ac:dyDescent="0.35">
      <c r="A12" s="9">
        <v>7</v>
      </c>
      <c r="B12" s="10">
        <v>15959</v>
      </c>
      <c r="C12" s="10">
        <v>0</v>
      </c>
      <c r="D12" s="10">
        <v>1014</v>
      </c>
      <c r="E12" s="10">
        <v>41</v>
      </c>
      <c r="F12" s="10">
        <v>60</v>
      </c>
      <c r="G12" s="10">
        <v>72</v>
      </c>
      <c r="H12" s="10">
        <f t="shared" si="1"/>
        <v>17146</v>
      </c>
      <c r="I12" s="10">
        <v>0</v>
      </c>
      <c r="J12" s="15"/>
      <c r="K12" s="9">
        <v>7</v>
      </c>
      <c r="L12" s="12">
        <v>1</v>
      </c>
      <c r="M12" s="12">
        <v>2</v>
      </c>
      <c r="N12" s="12">
        <v>1</v>
      </c>
      <c r="O12" s="10">
        <f t="shared" si="0"/>
        <v>4</v>
      </c>
      <c r="P12" s="13">
        <f t="shared" si="2"/>
        <v>6135</v>
      </c>
    </row>
    <row r="13" spans="1:19" ht="18" customHeight="1" thickTop="1" thickBot="1" x14ac:dyDescent="0.35">
      <c r="A13" s="9">
        <v>8</v>
      </c>
      <c r="B13" s="10">
        <v>9675</v>
      </c>
      <c r="C13" s="10">
        <v>0</v>
      </c>
      <c r="D13" s="10">
        <v>1486</v>
      </c>
      <c r="E13" s="10">
        <v>188</v>
      </c>
      <c r="F13" s="10">
        <v>181</v>
      </c>
      <c r="G13" s="10">
        <v>262</v>
      </c>
      <c r="H13" s="10">
        <f t="shared" si="1"/>
        <v>11792</v>
      </c>
      <c r="I13" s="10">
        <v>0</v>
      </c>
      <c r="J13" s="15"/>
      <c r="K13" s="9">
        <v>8</v>
      </c>
      <c r="L13" s="12">
        <v>1</v>
      </c>
      <c r="M13" s="12">
        <v>11</v>
      </c>
      <c r="N13" s="12">
        <v>2</v>
      </c>
      <c r="O13" s="10">
        <f t="shared" si="0"/>
        <v>14</v>
      </c>
      <c r="P13" s="13">
        <f t="shared" si="2"/>
        <v>6135</v>
      </c>
    </row>
    <row r="14" spans="1:19" s="17" customFormat="1" ht="18" customHeight="1" thickTop="1" thickBot="1" x14ac:dyDescent="0.35">
      <c r="A14" s="9">
        <v>9</v>
      </c>
      <c r="B14" s="10">
        <v>7557</v>
      </c>
      <c r="C14" s="10">
        <v>0</v>
      </c>
      <c r="D14" s="10">
        <v>1500</v>
      </c>
      <c r="E14" s="10">
        <v>174</v>
      </c>
      <c r="F14" s="10">
        <v>219</v>
      </c>
      <c r="G14" s="10">
        <v>335</v>
      </c>
      <c r="H14" s="10">
        <f t="shared" si="1"/>
        <v>9785</v>
      </c>
      <c r="I14" s="10">
        <v>0</v>
      </c>
      <c r="J14" s="15"/>
      <c r="K14" s="9">
        <v>9</v>
      </c>
      <c r="L14" s="12">
        <v>2</v>
      </c>
      <c r="M14" s="12">
        <v>8</v>
      </c>
      <c r="N14" s="12">
        <v>2</v>
      </c>
      <c r="O14" s="10">
        <f t="shared" si="0"/>
        <v>12</v>
      </c>
      <c r="P14" s="16">
        <f t="shared" si="2"/>
        <v>6135</v>
      </c>
    </row>
    <row r="15" spans="1:19" ht="18" customHeight="1" thickTop="1" thickBot="1" x14ac:dyDescent="0.35">
      <c r="A15" s="9">
        <v>10</v>
      </c>
      <c r="B15" s="10">
        <v>6873</v>
      </c>
      <c r="C15" s="10">
        <v>0</v>
      </c>
      <c r="D15" s="10">
        <v>1531</v>
      </c>
      <c r="E15" s="10">
        <v>212</v>
      </c>
      <c r="F15" s="10">
        <v>253</v>
      </c>
      <c r="G15" s="10">
        <v>361</v>
      </c>
      <c r="H15" s="10">
        <f t="shared" si="1"/>
        <v>9230</v>
      </c>
      <c r="I15" s="10">
        <v>0</v>
      </c>
      <c r="J15" s="15"/>
      <c r="K15" s="9">
        <v>10</v>
      </c>
      <c r="L15" s="12">
        <v>4</v>
      </c>
      <c r="M15" s="12">
        <v>9</v>
      </c>
      <c r="N15" s="12">
        <v>2</v>
      </c>
      <c r="O15" s="10">
        <f t="shared" si="0"/>
        <v>15</v>
      </c>
      <c r="P15" s="13">
        <f t="shared" si="2"/>
        <v>6135</v>
      </c>
    </row>
    <row r="16" spans="1:19" ht="18" customHeight="1" thickTop="1" thickBot="1" x14ac:dyDescent="0.35">
      <c r="A16" s="9">
        <v>11</v>
      </c>
      <c r="B16" s="10">
        <v>7462</v>
      </c>
      <c r="C16" s="10">
        <v>0</v>
      </c>
      <c r="D16" s="10">
        <v>1467</v>
      </c>
      <c r="E16" s="10">
        <v>173</v>
      </c>
      <c r="F16" s="10">
        <v>202</v>
      </c>
      <c r="G16" s="10">
        <v>298</v>
      </c>
      <c r="H16" s="10">
        <f t="shared" si="1"/>
        <v>9602</v>
      </c>
      <c r="I16" s="10">
        <v>0</v>
      </c>
      <c r="J16" s="15"/>
      <c r="K16" s="9">
        <v>11</v>
      </c>
      <c r="L16" s="12">
        <v>5</v>
      </c>
      <c r="M16" s="12">
        <v>8</v>
      </c>
      <c r="N16" s="12">
        <v>5</v>
      </c>
      <c r="O16" s="10">
        <f t="shared" si="0"/>
        <v>18</v>
      </c>
      <c r="P16" s="13">
        <f t="shared" si="2"/>
        <v>6135</v>
      </c>
    </row>
    <row r="17" spans="1:26" ht="18" customHeight="1" thickTop="1" thickBot="1" x14ac:dyDescent="0.35">
      <c r="A17" s="9">
        <v>12</v>
      </c>
      <c r="B17" s="10">
        <v>8460</v>
      </c>
      <c r="C17" s="10">
        <v>0</v>
      </c>
      <c r="D17" s="10">
        <v>1204</v>
      </c>
      <c r="E17" s="10">
        <v>123</v>
      </c>
      <c r="F17" s="10">
        <v>177</v>
      </c>
      <c r="G17" s="10">
        <v>200</v>
      </c>
      <c r="H17" s="10">
        <f t="shared" si="1"/>
        <v>10164</v>
      </c>
      <c r="I17" s="10">
        <v>0</v>
      </c>
      <c r="J17" s="15"/>
      <c r="K17" s="9">
        <v>12</v>
      </c>
      <c r="L17" s="12">
        <v>2</v>
      </c>
      <c r="M17" s="12">
        <v>8</v>
      </c>
      <c r="N17" s="12">
        <v>4</v>
      </c>
      <c r="O17" s="10">
        <f t="shared" si="0"/>
        <v>14</v>
      </c>
      <c r="P17" s="13">
        <f t="shared" si="2"/>
        <v>6135</v>
      </c>
    </row>
    <row r="18" spans="1:26" ht="18" customHeight="1" thickTop="1" thickBot="1" x14ac:dyDescent="0.35">
      <c r="A18" s="9">
        <v>13</v>
      </c>
      <c r="B18" s="10">
        <v>9806</v>
      </c>
      <c r="C18" s="10">
        <v>0</v>
      </c>
      <c r="D18" s="10">
        <v>1113</v>
      </c>
      <c r="E18" s="10">
        <v>118</v>
      </c>
      <c r="F18" s="10">
        <v>135</v>
      </c>
      <c r="G18" s="10">
        <v>229</v>
      </c>
      <c r="H18" s="10">
        <f t="shared" si="1"/>
        <v>11401</v>
      </c>
      <c r="I18" s="10">
        <v>0</v>
      </c>
      <c r="J18" s="15"/>
      <c r="K18" s="9">
        <v>13</v>
      </c>
      <c r="L18" s="12">
        <v>2</v>
      </c>
      <c r="M18" s="12">
        <v>2</v>
      </c>
      <c r="N18" s="12">
        <v>1</v>
      </c>
      <c r="O18" s="10">
        <f t="shared" si="0"/>
        <v>5</v>
      </c>
      <c r="P18" s="13">
        <f t="shared" si="2"/>
        <v>6135</v>
      </c>
    </row>
    <row r="19" spans="1:26" ht="18" customHeight="1" thickTop="1" thickBot="1" x14ac:dyDescent="0.35">
      <c r="A19" s="9">
        <v>14</v>
      </c>
      <c r="B19" s="10">
        <v>5389</v>
      </c>
      <c r="C19" s="10">
        <v>0</v>
      </c>
      <c r="D19" s="10">
        <v>1231</v>
      </c>
      <c r="E19" s="10">
        <v>225</v>
      </c>
      <c r="F19" s="10">
        <v>233</v>
      </c>
      <c r="G19" s="10">
        <v>274</v>
      </c>
      <c r="H19" s="10">
        <f t="shared" si="1"/>
        <v>7352</v>
      </c>
      <c r="I19" s="10">
        <v>0</v>
      </c>
      <c r="J19" s="15"/>
      <c r="K19" s="9">
        <v>14</v>
      </c>
      <c r="L19" s="12">
        <v>4</v>
      </c>
      <c r="M19" s="12">
        <v>8</v>
      </c>
      <c r="N19" s="12">
        <v>4</v>
      </c>
      <c r="O19" s="10">
        <f t="shared" si="0"/>
        <v>16</v>
      </c>
      <c r="P19" s="13">
        <f t="shared" si="2"/>
        <v>6135</v>
      </c>
    </row>
    <row r="20" spans="1:26" ht="18" customHeight="1" thickTop="1" thickBot="1" x14ac:dyDescent="0.35">
      <c r="A20" s="9">
        <v>15</v>
      </c>
      <c r="B20" s="10">
        <v>4349</v>
      </c>
      <c r="C20" s="10">
        <v>0</v>
      </c>
      <c r="D20" s="10">
        <v>1317</v>
      </c>
      <c r="E20" s="10">
        <v>186</v>
      </c>
      <c r="F20" s="10">
        <v>207</v>
      </c>
      <c r="G20" s="10">
        <v>330</v>
      </c>
      <c r="H20" s="10">
        <f t="shared" si="1"/>
        <v>6389</v>
      </c>
      <c r="I20" s="10">
        <v>0</v>
      </c>
      <c r="J20" s="15"/>
      <c r="K20" s="9">
        <v>15</v>
      </c>
      <c r="L20" s="12">
        <v>4</v>
      </c>
      <c r="M20" s="12">
        <v>11</v>
      </c>
      <c r="N20" s="12">
        <v>6</v>
      </c>
      <c r="O20" s="10">
        <f t="shared" si="0"/>
        <v>21</v>
      </c>
      <c r="P20" s="13">
        <f t="shared" si="2"/>
        <v>6135</v>
      </c>
    </row>
    <row r="21" spans="1:26" ht="18" customHeight="1" thickTop="1" thickBot="1" x14ac:dyDescent="0.35">
      <c r="A21" s="9">
        <v>16</v>
      </c>
      <c r="B21" s="10">
        <v>4222</v>
      </c>
      <c r="C21" s="10">
        <v>0</v>
      </c>
      <c r="D21" s="10">
        <v>1396</v>
      </c>
      <c r="E21" s="10">
        <v>200</v>
      </c>
      <c r="F21" s="10">
        <v>251</v>
      </c>
      <c r="G21" s="10">
        <v>343</v>
      </c>
      <c r="H21" s="10">
        <f t="shared" si="1"/>
        <v>6412</v>
      </c>
      <c r="I21" s="10">
        <v>0</v>
      </c>
      <c r="J21" s="15"/>
      <c r="K21" s="9">
        <v>16</v>
      </c>
      <c r="L21" s="12">
        <v>5</v>
      </c>
      <c r="M21" s="12">
        <v>13</v>
      </c>
      <c r="N21" s="12">
        <v>0</v>
      </c>
      <c r="O21" s="10">
        <f t="shared" si="0"/>
        <v>18</v>
      </c>
      <c r="P21" s="13">
        <f>+P20</f>
        <v>6135</v>
      </c>
    </row>
    <row r="22" spans="1:26" ht="18" customHeight="1" thickTop="1" thickBot="1" x14ac:dyDescent="0.35">
      <c r="A22" s="9">
        <v>17</v>
      </c>
      <c r="B22" s="10">
        <v>4209</v>
      </c>
      <c r="C22" s="10">
        <v>0</v>
      </c>
      <c r="D22" s="10">
        <v>1385</v>
      </c>
      <c r="E22" s="10">
        <v>182</v>
      </c>
      <c r="F22" s="10">
        <v>214</v>
      </c>
      <c r="G22" s="10">
        <v>350</v>
      </c>
      <c r="H22" s="10">
        <f t="shared" si="1"/>
        <v>6340</v>
      </c>
      <c r="I22" s="10">
        <v>0</v>
      </c>
      <c r="J22" s="15"/>
      <c r="K22" s="9">
        <v>17</v>
      </c>
      <c r="L22" s="12">
        <v>2</v>
      </c>
      <c r="M22" s="12">
        <v>9</v>
      </c>
      <c r="N22" s="12">
        <v>2</v>
      </c>
      <c r="O22" s="10">
        <f t="shared" si="0"/>
        <v>13</v>
      </c>
      <c r="P22" s="13">
        <f t="shared" si="2"/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8" customHeight="1" thickTop="1" thickBot="1" x14ac:dyDescent="0.35">
      <c r="A23" s="9">
        <v>18</v>
      </c>
      <c r="B23" s="10">
        <v>5754</v>
      </c>
      <c r="C23" s="10">
        <v>0</v>
      </c>
      <c r="D23" s="10">
        <v>1301</v>
      </c>
      <c r="E23" s="10">
        <v>183</v>
      </c>
      <c r="F23" s="10">
        <v>214</v>
      </c>
      <c r="G23" s="10">
        <v>337</v>
      </c>
      <c r="H23" s="10">
        <f t="shared" si="1"/>
        <v>7789</v>
      </c>
      <c r="I23" s="10">
        <v>0</v>
      </c>
      <c r="J23" s="15"/>
      <c r="K23" s="9">
        <v>18</v>
      </c>
      <c r="L23" s="12">
        <v>2</v>
      </c>
      <c r="M23" s="12">
        <v>6</v>
      </c>
      <c r="N23" s="12">
        <v>5</v>
      </c>
      <c r="O23" s="10">
        <f t="shared" si="0"/>
        <v>13</v>
      </c>
      <c r="P23" s="13">
        <f t="shared" si="2"/>
        <v>6135</v>
      </c>
    </row>
    <row r="24" spans="1:26" ht="18" customHeight="1" thickTop="1" thickBot="1" x14ac:dyDescent="0.35">
      <c r="A24" s="9">
        <v>19</v>
      </c>
      <c r="B24" s="10">
        <v>5814</v>
      </c>
      <c r="C24" s="10">
        <v>0</v>
      </c>
      <c r="D24" s="10">
        <v>1127</v>
      </c>
      <c r="E24" s="10">
        <v>136</v>
      </c>
      <c r="F24" s="10">
        <v>190</v>
      </c>
      <c r="G24" s="10">
        <v>238</v>
      </c>
      <c r="H24" s="10">
        <f t="shared" si="1"/>
        <v>7505</v>
      </c>
      <c r="I24" s="10">
        <v>0</v>
      </c>
      <c r="J24" s="15"/>
      <c r="K24" s="9">
        <v>19</v>
      </c>
      <c r="L24" s="12">
        <v>4</v>
      </c>
      <c r="M24" s="12">
        <v>13</v>
      </c>
      <c r="N24" s="12">
        <v>2</v>
      </c>
      <c r="O24" s="10">
        <f t="shared" si="0"/>
        <v>19</v>
      </c>
      <c r="P24" s="13">
        <f t="shared" si="2"/>
        <v>6135</v>
      </c>
    </row>
    <row r="25" spans="1:26" ht="18" customHeight="1" thickTop="1" thickBot="1" x14ac:dyDescent="0.35">
      <c r="A25" s="9">
        <v>20</v>
      </c>
      <c r="B25" s="10">
        <v>7725</v>
      </c>
      <c r="C25" s="10">
        <v>0</v>
      </c>
      <c r="D25" s="10">
        <v>926</v>
      </c>
      <c r="E25" s="10">
        <v>136</v>
      </c>
      <c r="F25" s="10">
        <v>166</v>
      </c>
      <c r="G25" s="10">
        <v>276</v>
      </c>
      <c r="H25" s="10">
        <f t="shared" si="1"/>
        <v>9229</v>
      </c>
      <c r="I25" s="10">
        <v>0</v>
      </c>
      <c r="J25" s="15"/>
      <c r="K25" s="9">
        <v>20</v>
      </c>
      <c r="L25" s="12">
        <v>1</v>
      </c>
      <c r="M25" s="12">
        <v>8</v>
      </c>
      <c r="N25" s="12">
        <v>2</v>
      </c>
      <c r="O25" s="10">
        <f t="shared" si="0"/>
        <v>11</v>
      </c>
      <c r="P25" s="13">
        <f t="shared" si="2"/>
        <v>6135</v>
      </c>
    </row>
    <row r="26" spans="1:26" ht="18" customHeight="1" thickTop="1" thickBot="1" x14ac:dyDescent="0.35">
      <c r="A26" s="9">
        <v>21</v>
      </c>
      <c r="B26" s="10">
        <v>3942</v>
      </c>
      <c r="C26" s="10">
        <v>0</v>
      </c>
      <c r="D26" s="10">
        <v>1176</v>
      </c>
      <c r="E26" s="10">
        <v>210</v>
      </c>
      <c r="F26" s="10">
        <v>230</v>
      </c>
      <c r="G26" s="10">
        <v>327</v>
      </c>
      <c r="H26" s="10">
        <f t="shared" si="1"/>
        <v>5885</v>
      </c>
      <c r="I26" s="10">
        <v>0</v>
      </c>
      <c r="J26" s="15"/>
      <c r="K26" s="9">
        <v>21</v>
      </c>
      <c r="L26" s="12">
        <v>1</v>
      </c>
      <c r="M26" s="12">
        <v>11</v>
      </c>
      <c r="N26" s="12">
        <v>7</v>
      </c>
      <c r="O26" s="10">
        <f t="shared" si="0"/>
        <v>19</v>
      </c>
      <c r="P26" s="13">
        <f t="shared" si="2"/>
        <v>6135</v>
      </c>
    </row>
    <row r="27" spans="1:26" ht="18" customHeight="1" thickTop="1" thickBot="1" x14ac:dyDescent="0.35">
      <c r="A27" s="9">
        <v>22</v>
      </c>
      <c r="B27" s="10">
        <v>3316</v>
      </c>
      <c r="C27" s="10">
        <v>0</v>
      </c>
      <c r="D27" s="10">
        <v>1349</v>
      </c>
      <c r="E27" s="10">
        <v>182</v>
      </c>
      <c r="F27" s="10">
        <v>236</v>
      </c>
      <c r="G27" s="10">
        <v>296</v>
      </c>
      <c r="H27" s="10">
        <f t="shared" si="1"/>
        <v>5379</v>
      </c>
      <c r="I27" s="10">
        <v>0</v>
      </c>
      <c r="J27" s="15"/>
      <c r="K27" s="9">
        <v>22</v>
      </c>
      <c r="L27" s="12">
        <v>1</v>
      </c>
      <c r="M27" s="12">
        <v>13</v>
      </c>
      <c r="N27" s="12">
        <v>4</v>
      </c>
      <c r="O27" s="10">
        <f t="shared" si="0"/>
        <v>18</v>
      </c>
      <c r="P27" s="13">
        <f t="shared" si="2"/>
        <v>6135</v>
      </c>
    </row>
    <row r="28" spans="1:26" ht="18" customHeight="1" thickTop="1" thickBot="1" x14ac:dyDescent="0.35">
      <c r="A28" s="9">
        <v>23</v>
      </c>
      <c r="B28" s="10">
        <v>3287</v>
      </c>
      <c r="C28" s="10">
        <v>0</v>
      </c>
      <c r="D28" s="10">
        <v>1320</v>
      </c>
      <c r="E28" s="10">
        <v>206</v>
      </c>
      <c r="F28" s="10">
        <v>247</v>
      </c>
      <c r="G28" s="10">
        <v>334</v>
      </c>
      <c r="H28" s="10">
        <f t="shared" si="1"/>
        <v>5394</v>
      </c>
      <c r="I28" s="10">
        <v>0</v>
      </c>
      <c r="J28" s="15"/>
      <c r="K28" s="9">
        <v>23</v>
      </c>
      <c r="L28" s="12">
        <v>3</v>
      </c>
      <c r="M28" s="12">
        <v>16</v>
      </c>
      <c r="N28" s="12">
        <v>7</v>
      </c>
      <c r="O28" s="10">
        <f t="shared" si="0"/>
        <v>26</v>
      </c>
      <c r="P28" s="13">
        <f t="shared" si="2"/>
        <v>6135</v>
      </c>
    </row>
    <row r="29" spans="1:26" ht="18" customHeight="1" thickTop="1" thickBot="1" x14ac:dyDescent="0.35">
      <c r="A29" s="9">
        <v>24</v>
      </c>
      <c r="B29" s="10">
        <v>3827</v>
      </c>
      <c r="C29" s="10">
        <v>0</v>
      </c>
      <c r="D29" s="10">
        <v>1395</v>
      </c>
      <c r="E29" s="10">
        <v>204</v>
      </c>
      <c r="F29" s="10">
        <v>261</v>
      </c>
      <c r="G29" s="10">
        <v>317</v>
      </c>
      <c r="H29" s="10">
        <f t="shared" si="1"/>
        <v>6004</v>
      </c>
      <c r="I29" s="10">
        <v>0</v>
      </c>
      <c r="J29" s="15"/>
      <c r="K29" s="9">
        <v>24</v>
      </c>
      <c r="L29" s="12">
        <v>4</v>
      </c>
      <c r="M29" s="12">
        <v>14</v>
      </c>
      <c r="N29" s="12">
        <v>5</v>
      </c>
      <c r="O29" s="10">
        <f t="shared" si="0"/>
        <v>23</v>
      </c>
      <c r="P29" s="13">
        <f t="shared" si="2"/>
        <v>6135</v>
      </c>
    </row>
    <row r="30" spans="1:26" ht="18" customHeight="1" thickTop="1" thickBot="1" x14ac:dyDescent="0.35">
      <c r="A30" s="9">
        <v>25</v>
      </c>
      <c r="B30" s="10">
        <v>5992</v>
      </c>
      <c r="C30" s="10">
        <v>0</v>
      </c>
      <c r="D30" s="10">
        <v>1269</v>
      </c>
      <c r="E30" s="10">
        <v>183</v>
      </c>
      <c r="F30" s="10">
        <v>233</v>
      </c>
      <c r="G30" s="10">
        <v>275</v>
      </c>
      <c r="H30" s="10">
        <f t="shared" si="1"/>
        <v>7952</v>
      </c>
      <c r="I30" s="10">
        <v>0</v>
      </c>
      <c r="J30" s="15"/>
      <c r="K30" s="9">
        <v>25</v>
      </c>
      <c r="L30" s="12">
        <v>4</v>
      </c>
      <c r="M30" s="12">
        <v>15</v>
      </c>
      <c r="N30" s="12">
        <v>7</v>
      </c>
      <c r="O30" s="10">
        <f t="shared" si="0"/>
        <v>26</v>
      </c>
      <c r="P30" s="13">
        <f t="shared" si="2"/>
        <v>6135</v>
      </c>
    </row>
    <row r="31" spans="1:26" ht="18" customHeight="1" thickTop="1" thickBot="1" x14ac:dyDescent="0.35">
      <c r="A31" s="9">
        <v>26</v>
      </c>
      <c r="B31" s="10">
        <v>8044</v>
      </c>
      <c r="C31" s="10">
        <v>0</v>
      </c>
      <c r="D31" s="10">
        <v>1271</v>
      </c>
      <c r="E31" s="10">
        <v>133</v>
      </c>
      <c r="F31" s="10">
        <v>208</v>
      </c>
      <c r="G31" s="10">
        <v>225</v>
      </c>
      <c r="H31" s="10">
        <f t="shared" si="1"/>
        <v>9881</v>
      </c>
      <c r="I31" s="10">
        <v>0</v>
      </c>
      <c r="J31" s="15"/>
      <c r="K31" s="9">
        <v>26</v>
      </c>
      <c r="L31" s="12">
        <v>2</v>
      </c>
      <c r="M31" s="12">
        <v>10</v>
      </c>
      <c r="N31" s="12">
        <v>7</v>
      </c>
      <c r="O31" s="10">
        <f t="shared" si="0"/>
        <v>19</v>
      </c>
      <c r="P31" s="13">
        <f t="shared" si="2"/>
        <v>6135</v>
      </c>
    </row>
    <row r="32" spans="1:26" ht="18" customHeight="1" thickTop="1" thickBot="1" x14ac:dyDescent="0.35">
      <c r="A32" s="9">
        <v>27</v>
      </c>
      <c r="B32" s="10">
        <v>9046</v>
      </c>
      <c r="C32" s="10">
        <v>0</v>
      </c>
      <c r="D32" s="10">
        <v>971</v>
      </c>
      <c r="E32" s="10">
        <v>134</v>
      </c>
      <c r="F32" s="10">
        <v>137</v>
      </c>
      <c r="G32" s="10">
        <v>248</v>
      </c>
      <c r="H32" s="10">
        <f t="shared" si="1"/>
        <v>10536</v>
      </c>
      <c r="I32" s="10">
        <v>0</v>
      </c>
      <c r="J32" s="15"/>
      <c r="K32" s="9">
        <v>27</v>
      </c>
      <c r="L32" s="12">
        <v>2</v>
      </c>
      <c r="M32" s="12">
        <v>6</v>
      </c>
      <c r="N32" s="12">
        <v>0</v>
      </c>
      <c r="O32" s="10">
        <f t="shared" si="0"/>
        <v>8</v>
      </c>
      <c r="P32" s="13">
        <f t="shared" si="2"/>
        <v>6135</v>
      </c>
    </row>
    <row r="33" spans="1:16" ht="18" customHeight="1" thickTop="1" thickBot="1" x14ac:dyDescent="0.35">
      <c r="A33" s="9">
        <v>28</v>
      </c>
      <c r="B33" s="10">
        <v>3770</v>
      </c>
      <c r="C33" s="10">
        <v>0</v>
      </c>
      <c r="D33" s="10">
        <v>1110</v>
      </c>
      <c r="E33" s="10">
        <v>167</v>
      </c>
      <c r="F33" s="10">
        <v>220</v>
      </c>
      <c r="G33" s="10">
        <v>271</v>
      </c>
      <c r="H33" s="10">
        <f t="shared" si="1"/>
        <v>5538</v>
      </c>
      <c r="I33" s="10">
        <v>0</v>
      </c>
      <c r="J33" s="15"/>
      <c r="K33" s="9">
        <v>28</v>
      </c>
      <c r="L33" s="12">
        <v>1</v>
      </c>
      <c r="M33" s="12">
        <v>10</v>
      </c>
      <c r="N33" s="12">
        <v>1</v>
      </c>
      <c r="O33" s="10">
        <f>SUM(L33:N33)</f>
        <v>12</v>
      </c>
      <c r="P33" s="13">
        <f t="shared" si="2"/>
        <v>6135</v>
      </c>
    </row>
    <row r="34" spans="1:16" ht="18" customHeight="1" thickTop="1" thickBot="1" x14ac:dyDescent="0.35">
      <c r="A34" s="9">
        <v>29</v>
      </c>
      <c r="B34" s="10">
        <v>3061</v>
      </c>
      <c r="C34" s="10">
        <v>0</v>
      </c>
      <c r="D34" s="10">
        <v>1278</v>
      </c>
      <c r="E34" s="10">
        <v>201</v>
      </c>
      <c r="F34" s="10">
        <v>223</v>
      </c>
      <c r="G34" s="10">
        <v>294</v>
      </c>
      <c r="H34" s="10">
        <f t="shared" si="1"/>
        <v>5057</v>
      </c>
      <c r="I34" s="10">
        <v>0</v>
      </c>
      <c r="J34" s="15"/>
      <c r="K34" s="9">
        <v>29</v>
      </c>
      <c r="L34" s="10">
        <v>2</v>
      </c>
      <c r="M34" s="10">
        <v>19</v>
      </c>
      <c r="N34" s="10">
        <v>1</v>
      </c>
      <c r="O34" s="10">
        <f t="shared" si="0"/>
        <v>22</v>
      </c>
      <c r="P34" s="13">
        <f t="shared" si="2"/>
        <v>6135</v>
      </c>
    </row>
    <row r="35" spans="1:16" ht="18" customHeight="1" thickTop="1" thickBot="1" x14ac:dyDescent="0.35">
      <c r="A35" s="9">
        <v>30</v>
      </c>
      <c r="B35" s="10">
        <v>3019</v>
      </c>
      <c r="C35" s="10">
        <v>0</v>
      </c>
      <c r="D35" s="10">
        <v>1310</v>
      </c>
      <c r="E35" s="10">
        <v>187</v>
      </c>
      <c r="F35" s="10">
        <v>252</v>
      </c>
      <c r="G35" s="10">
        <v>369</v>
      </c>
      <c r="H35" s="10">
        <f t="shared" si="1"/>
        <v>5137</v>
      </c>
      <c r="I35" s="10">
        <v>0</v>
      </c>
      <c r="J35" s="15"/>
      <c r="K35" s="9">
        <v>30</v>
      </c>
      <c r="L35" s="10">
        <v>3</v>
      </c>
      <c r="M35" s="10">
        <v>18</v>
      </c>
      <c r="N35" s="10">
        <v>3</v>
      </c>
      <c r="O35" s="10">
        <f t="shared" si="0"/>
        <v>24</v>
      </c>
      <c r="P35" s="13">
        <f t="shared" si="2"/>
        <v>6135</v>
      </c>
    </row>
    <row r="36" spans="1:16" ht="18" customHeight="1" thickTop="1" thickBot="1" x14ac:dyDescent="0.35">
      <c r="A36" s="9">
        <v>31</v>
      </c>
      <c r="B36" s="10">
        <v>3286</v>
      </c>
      <c r="C36" s="10">
        <v>0</v>
      </c>
      <c r="D36" s="10">
        <v>1285</v>
      </c>
      <c r="E36" s="10">
        <v>219</v>
      </c>
      <c r="F36" s="10">
        <v>241</v>
      </c>
      <c r="G36" s="10">
        <v>332</v>
      </c>
      <c r="H36" s="10">
        <f t="shared" si="1"/>
        <v>5363</v>
      </c>
      <c r="I36" s="10">
        <v>0</v>
      </c>
      <c r="J36" s="15"/>
      <c r="K36" s="9">
        <v>31</v>
      </c>
      <c r="L36" s="10">
        <v>0</v>
      </c>
      <c r="M36" s="10">
        <v>18</v>
      </c>
      <c r="N36" s="10">
        <v>0</v>
      </c>
      <c r="O36" s="10">
        <f t="shared" si="0"/>
        <v>18</v>
      </c>
      <c r="P36" s="13">
        <f t="shared" si="2"/>
        <v>6135</v>
      </c>
    </row>
    <row r="37" spans="1:16" ht="18" customHeight="1" thickTop="1" x14ac:dyDescent="0.3">
      <c r="A37" s="6" t="s">
        <v>19</v>
      </c>
      <c r="B37" s="19">
        <f>SUM(B6:B36)</f>
        <v>240071</v>
      </c>
      <c r="C37" s="19">
        <f t="shared" ref="C37:H37" si="3">SUM(C6:C36)</f>
        <v>0</v>
      </c>
      <c r="D37" s="19">
        <f t="shared" si="3"/>
        <v>38041</v>
      </c>
      <c r="E37" s="19">
        <f t="shared" si="3"/>
        <v>4850</v>
      </c>
      <c r="F37" s="19">
        <f t="shared" si="3"/>
        <v>6020</v>
      </c>
      <c r="G37" s="19">
        <f t="shared" si="3"/>
        <v>8344</v>
      </c>
      <c r="H37" s="19">
        <f t="shared" si="3"/>
        <v>297326</v>
      </c>
      <c r="I37" s="19">
        <f>SUM(I6:I33)</f>
        <v>0</v>
      </c>
      <c r="J37" s="19"/>
      <c r="K37" s="19"/>
      <c r="L37" s="19">
        <f>SUM(L6:L36)</f>
        <v>75</v>
      </c>
      <c r="M37" s="19">
        <f>SUM(M6:M36)</f>
        <v>310</v>
      </c>
      <c r="N37" s="19">
        <f>SUM(N6:N36)</f>
        <v>94</v>
      </c>
      <c r="O37" s="76">
        <f>SUM(O6:O36)</f>
        <v>479</v>
      </c>
    </row>
    <row r="38" spans="1:16" ht="18" customHeight="1" x14ac:dyDescent="0.3">
      <c r="A38" s="6" t="s">
        <v>19</v>
      </c>
      <c r="B38" s="80">
        <f>+B37+C37</f>
        <v>240071</v>
      </c>
      <c r="C38" s="80"/>
      <c r="D38" s="19">
        <f>+D37</f>
        <v>38041</v>
      </c>
      <c r="E38" s="19">
        <f>+E37</f>
        <v>4850</v>
      </c>
      <c r="F38" s="19">
        <f>+F37</f>
        <v>6020</v>
      </c>
      <c r="G38" s="19">
        <f>+G37</f>
        <v>8344</v>
      </c>
      <c r="H38" s="76">
        <f>+H37</f>
        <v>297326</v>
      </c>
      <c r="I38" s="19">
        <v>0</v>
      </c>
      <c r="J38" s="20"/>
      <c r="K38" s="6"/>
      <c r="L38" s="21" t="s">
        <v>20</v>
      </c>
      <c r="M38" s="21" t="s">
        <v>21</v>
      </c>
      <c r="N38" s="21" t="s">
        <v>20</v>
      </c>
      <c r="O38" s="21" t="s">
        <v>21</v>
      </c>
    </row>
    <row r="39" spans="1:16" ht="18" customHeight="1" x14ac:dyDescent="0.3">
      <c r="A39" s="22" t="s">
        <v>22</v>
      </c>
      <c r="B39" s="23"/>
      <c r="C39" s="23"/>
      <c r="D39" s="23"/>
      <c r="E39" s="23"/>
      <c r="F39" s="23"/>
      <c r="G39" s="23"/>
      <c r="H39" s="23"/>
      <c r="L39" s="25"/>
    </row>
    <row r="40" spans="1:16" x14ac:dyDescent="0.3">
      <c r="A40" s="26"/>
      <c r="B40" s="27"/>
      <c r="C40" s="27"/>
      <c r="D40" s="27"/>
      <c r="E40" s="27"/>
      <c r="F40" s="27"/>
      <c r="G40" s="27"/>
      <c r="H40" s="27"/>
      <c r="I40" s="27"/>
      <c r="J40" s="25"/>
      <c r="K40" s="28"/>
      <c r="L40" s="29"/>
    </row>
    <row r="41" spans="1:16" x14ac:dyDescent="0.3">
      <c r="A41" s="14"/>
      <c r="H41" s="14"/>
      <c r="K41" s="28"/>
      <c r="L41" s="29"/>
    </row>
    <row r="42" spans="1:16" x14ac:dyDescent="0.3">
      <c r="K42" s="28"/>
      <c r="L42" s="29"/>
    </row>
    <row r="43" spans="1:16" x14ac:dyDescent="0.3">
      <c r="I43" s="14"/>
      <c r="J43" s="14"/>
    </row>
    <row r="45" spans="1:16" x14ac:dyDescent="0.3">
      <c r="A45" s="30"/>
    </row>
    <row r="46" spans="1:16" x14ac:dyDescent="0.3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31"/>
      <c r="L46" s="14"/>
      <c r="M46" s="14"/>
      <c r="N46" s="14"/>
      <c r="O46" s="14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  <ignoredErrors>
    <ignoredError sqref="O6:O37 H6:H37 I3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6007-C133-423D-A0F4-04A6A4E4CC02}">
  <dimension ref="A1:Z46"/>
  <sheetViews>
    <sheetView workbookViewId="0">
      <selection activeCell="P11" sqref="P1:P1048576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88" t="s">
        <v>23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46"/>
      <c r="Q3" s="46"/>
      <c r="R3" s="46"/>
      <c r="S3" s="46"/>
    </row>
    <row r="4" spans="1:19" ht="82.8" x14ac:dyDescent="0.3">
      <c r="A4" s="86" t="s">
        <v>1</v>
      </c>
      <c r="B4" s="89" t="s">
        <v>2</v>
      </c>
      <c r="C4" s="89"/>
      <c r="D4" s="41" t="s">
        <v>3</v>
      </c>
      <c r="E4" s="41" t="s">
        <v>4</v>
      </c>
      <c r="F4" s="41" t="s">
        <v>5</v>
      </c>
      <c r="G4" s="41" t="s">
        <v>6</v>
      </c>
      <c r="H4" s="89" t="s">
        <v>7</v>
      </c>
      <c r="I4" s="89" t="s">
        <v>8</v>
      </c>
      <c r="J4" s="33"/>
      <c r="K4" s="91" t="s">
        <v>1</v>
      </c>
      <c r="L4" s="89" t="s">
        <v>9</v>
      </c>
      <c r="M4" s="89" t="s">
        <v>10</v>
      </c>
      <c r="N4" s="89" t="s">
        <v>11</v>
      </c>
      <c r="O4" s="89" t="s">
        <v>12</v>
      </c>
      <c r="P4" s="32"/>
      <c r="Q4" s="32"/>
      <c r="R4" s="32"/>
      <c r="S4" s="32"/>
    </row>
    <row r="5" spans="1:19" x14ac:dyDescent="0.3">
      <c r="A5" s="87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89"/>
      <c r="I5" s="89"/>
      <c r="J5" s="33"/>
      <c r="K5" s="91"/>
      <c r="L5" s="89"/>
      <c r="M5" s="89"/>
      <c r="N5" s="89"/>
      <c r="O5" s="89"/>
      <c r="P5" s="32"/>
      <c r="Q5" s="32"/>
      <c r="R5" s="32"/>
      <c r="S5" s="32"/>
    </row>
    <row r="6" spans="1:19" ht="15" thickBot="1" x14ac:dyDescent="0.35">
      <c r="A6" s="34">
        <v>1</v>
      </c>
      <c r="B6" s="35">
        <v>4709</v>
      </c>
      <c r="C6" s="35">
        <v>0</v>
      </c>
      <c r="D6" s="35">
        <v>1203</v>
      </c>
      <c r="E6" s="35">
        <v>148</v>
      </c>
      <c r="F6" s="35">
        <v>225</v>
      </c>
      <c r="G6" s="35">
        <v>271</v>
      </c>
      <c r="H6" s="35">
        <v>6556</v>
      </c>
      <c r="I6" s="35">
        <v>0</v>
      </c>
      <c r="J6" s="36"/>
      <c r="K6" s="34">
        <v>1</v>
      </c>
      <c r="L6" s="58">
        <v>5</v>
      </c>
      <c r="M6" s="58">
        <v>14</v>
      </c>
      <c r="N6" s="58">
        <v>4</v>
      </c>
      <c r="O6" s="35">
        <v>23</v>
      </c>
      <c r="P6" s="50">
        <v>6135</v>
      </c>
      <c r="Q6" s="32"/>
      <c r="R6" s="32"/>
      <c r="S6" s="32"/>
    </row>
    <row r="7" spans="1:19" ht="15.6" thickTop="1" thickBot="1" x14ac:dyDescent="0.35">
      <c r="A7" s="34">
        <v>2</v>
      </c>
      <c r="B7" s="35">
        <v>4924</v>
      </c>
      <c r="C7" s="35">
        <v>0</v>
      </c>
      <c r="D7" s="35">
        <v>965</v>
      </c>
      <c r="E7" s="35">
        <v>115</v>
      </c>
      <c r="F7" s="35">
        <v>191</v>
      </c>
      <c r="G7" s="35">
        <v>230</v>
      </c>
      <c r="H7" s="35">
        <v>6425</v>
      </c>
      <c r="I7" s="35">
        <v>0</v>
      </c>
      <c r="J7" s="36"/>
      <c r="K7" s="34">
        <v>2</v>
      </c>
      <c r="L7" s="58">
        <v>10</v>
      </c>
      <c r="M7" s="58">
        <v>11</v>
      </c>
      <c r="N7" s="58">
        <v>1</v>
      </c>
      <c r="O7" s="35">
        <v>22</v>
      </c>
      <c r="P7" s="50">
        <v>6135</v>
      </c>
      <c r="Q7" s="32"/>
      <c r="R7" s="32"/>
      <c r="S7" s="32"/>
    </row>
    <row r="8" spans="1:19" ht="15.6" thickTop="1" thickBot="1" x14ac:dyDescent="0.35">
      <c r="A8" s="34">
        <v>3</v>
      </c>
      <c r="B8" s="35">
        <v>6568</v>
      </c>
      <c r="C8" s="35">
        <v>0</v>
      </c>
      <c r="D8" s="35">
        <v>879</v>
      </c>
      <c r="E8" s="35">
        <v>127</v>
      </c>
      <c r="F8" s="35">
        <v>144</v>
      </c>
      <c r="G8" s="35">
        <v>252</v>
      </c>
      <c r="H8" s="35">
        <v>7970</v>
      </c>
      <c r="I8" s="35">
        <v>0</v>
      </c>
      <c r="J8" s="36"/>
      <c r="K8" s="34">
        <v>3</v>
      </c>
      <c r="L8" s="58">
        <v>2</v>
      </c>
      <c r="M8" s="58">
        <v>6</v>
      </c>
      <c r="N8" s="58">
        <v>1</v>
      </c>
      <c r="O8" s="35">
        <v>9</v>
      </c>
      <c r="P8" s="50">
        <v>6135</v>
      </c>
      <c r="Q8" s="32"/>
      <c r="R8" s="32"/>
      <c r="S8" s="44"/>
    </row>
    <row r="9" spans="1:19" ht="15.6" thickTop="1" thickBot="1" x14ac:dyDescent="0.35">
      <c r="A9" s="34">
        <v>4</v>
      </c>
      <c r="B9" s="35">
        <v>3017</v>
      </c>
      <c r="C9" s="35">
        <v>0</v>
      </c>
      <c r="D9" s="35">
        <v>1138</v>
      </c>
      <c r="E9" s="35">
        <v>160</v>
      </c>
      <c r="F9" s="35">
        <v>208</v>
      </c>
      <c r="G9" s="35">
        <v>285</v>
      </c>
      <c r="H9" s="35">
        <v>4808</v>
      </c>
      <c r="I9" s="35">
        <v>0</v>
      </c>
      <c r="J9" s="36"/>
      <c r="K9" s="34">
        <v>4</v>
      </c>
      <c r="L9" s="58">
        <v>2</v>
      </c>
      <c r="M9" s="58">
        <v>9</v>
      </c>
      <c r="N9" s="58">
        <v>4</v>
      </c>
      <c r="O9" s="35">
        <v>15</v>
      </c>
      <c r="P9" s="50">
        <v>6135</v>
      </c>
      <c r="Q9" s="32"/>
      <c r="R9" s="32"/>
      <c r="S9" s="32"/>
    </row>
    <row r="10" spans="1:19" ht="15.6" thickTop="1" thickBot="1" x14ac:dyDescent="0.35">
      <c r="A10" s="34">
        <v>5</v>
      </c>
      <c r="B10" s="35">
        <v>2666</v>
      </c>
      <c r="C10" s="35">
        <v>0</v>
      </c>
      <c r="D10" s="35">
        <v>1255</v>
      </c>
      <c r="E10" s="35">
        <v>166</v>
      </c>
      <c r="F10" s="35">
        <v>198</v>
      </c>
      <c r="G10" s="35">
        <v>332</v>
      </c>
      <c r="H10" s="35">
        <v>4617</v>
      </c>
      <c r="I10" s="35">
        <v>0</v>
      </c>
      <c r="J10" s="36"/>
      <c r="K10" s="34">
        <v>5</v>
      </c>
      <c r="L10" s="58">
        <v>2</v>
      </c>
      <c r="M10" s="58">
        <v>15</v>
      </c>
      <c r="N10" s="58">
        <v>3</v>
      </c>
      <c r="O10" s="35">
        <v>20</v>
      </c>
      <c r="P10" s="50">
        <v>6135</v>
      </c>
      <c r="Q10" s="32"/>
      <c r="R10" s="32"/>
      <c r="S10" s="32"/>
    </row>
    <row r="11" spans="1:19" ht="15.6" thickTop="1" thickBot="1" x14ac:dyDescent="0.35">
      <c r="A11" s="34">
        <v>6</v>
      </c>
      <c r="B11" s="35">
        <v>2997</v>
      </c>
      <c r="C11" s="35">
        <v>0</v>
      </c>
      <c r="D11" s="35">
        <v>1257</v>
      </c>
      <c r="E11" s="35">
        <v>177</v>
      </c>
      <c r="F11" s="35">
        <v>246</v>
      </c>
      <c r="G11" s="35">
        <v>375</v>
      </c>
      <c r="H11" s="35">
        <v>5052</v>
      </c>
      <c r="I11" s="35">
        <v>0</v>
      </c>
      <c r="J11" s="36"/>
      <c r="K11" s="34">
        <v>6</v>
      </c>
      <c r="L11" s="58">
        <v>3</v>
      </c>
      <c r="M11" s="58">
        <v>6</v>
      </c>
      <c r="N11" s="58">
        <v>3</v>
      </c>
      <c r="O11" s="35">
        <v>12</v>
      </c>
      <c r="P11" s="50">
        <v>6135</v>
      </c>
      <c r="Q11" s="32"/>
      <c r="R11" s="32"/>
      <c r="S11" s="32"/>
    </row>
    <row r="12" spans="1:19" ht="15.6" thickTop="1" thickBot="1" x14ac:dyDescent="0.35">
      <c r="A12" s="34">
        <v>7</v>
      </c>
      <c r="B12" s="35">
        <v>2355</v>
      </c>
      <c r="C12" s="35">
        <v>0</v>
      </c>
      <c r="D12" s="35">
        <v>1281</v>
      </c>
      <c r="E12" s="35">
        <v>174</v>
      </c>
      <c r="F12" s="35">
        <v>224</v>
      </c>
      <c r="G12" s="35">
        <v>359</v>
      </c>
      <c r="H12" s="35">
        <v>4393</v>
      </c>
      <c r="I12" s="35">
        <v>0</v>
      </c>
      <c r="J12" s="37"/>
      <c r="K12" s="34">
        <v>7</v>
      </c>
      <c r="L12" s="58">
        <v>2</v>
      </c>
      <c r="M12" s="58">
        <v>18</v>
      </c>
      <c r="N12" s="58">
        <v>3</v>
      </c>
      <c r="O12" s="35">
        <v>23</v>
      </c>
      <c r="P12" s="50">
        <v>6135</v>
      </c>
      <c r="Q12" s="32"/>
      <c r="R12" s="32"/>
      <c r="S12" s="32"/>
    </row>
    <row r="13" spans="1:19" ht="15.6" thickTop="1" thickBot="1" x14ac:dyDescent="0.35">
      <c r="A13" s="34">
        <v>8</v>
      </c>
      <c r="B13" s="35">
        <v>4449</v>
      </c>
      <c r="C13" s="35">
        <v>0</v>
      </c>
      <c r="D13" s="35">
        <v>1195</v>
      </c>
      <c r="E13" s="35">
        <v>161</v>
      </c>
      <c r="F13" s="35">
        <v>228</v>
      </c>
      <c r="G13" s="35">
        <v>272</v>
      </c>
      <c r="H13" s="35">
        <v>6305</v>
      </c>
      <c r="I13" s="35">
        <v>0</v>
      </c>
      <c r="J13" s="37"/>
      <c r="K13" s="34">
        <v>8</v>
      </c>
      <c r="L13" s="58">
        <v>1</v>
      </c>
      <c r="M13" s="58">
        <v>18</v>
      </c>
      <c r="N13" s="58">
        <v>4</v>
      </c>
      <c r="O13" s="35">
        <v>23</v>
      </c>
      <c r="P13" s="50">
        <v>6135</v>
      </c>
      <c r="Q13" s="32"/>
      <c r="R13" s="32"/>
      <c r="S13" s="32"/>
    </row>
    <row r="14" spans="1:19" ht="15.6" thickTop="1" thickBot="1" x14ac:dyDescent="0.35">
      <c r="A14" s="34">
        <v>9</v>
      </c>
      <c r="B14" s="35">
        <v>4318</v>
      </c>
      <c r="C14" s="35">
        <v>0</v>
      </c>
      <c r="D14" s="35">
        <v>1052</v>
      </c>
      <c r="E14" s="35">
        <v>121</v>
      </c>
      <c r="F14" s="35">
        <v>237</v>
      </c>
      <c r="G14" s="35">
        <v>296</v>
      </c>
      <c r="H14" s="35">
        <v>6024</v>
      </c>
      <c r="I14" s="35">
        <v>0</v>
      </c>
      <c r="J14" s="37"/>
      <c r="K14" s="34">
        <v>9</v>
      </c>
      <c r="L14" s="58">
        <v>2</v>
      </c>
      <c r="M14" s="58">
        <v>10</v>
      </c>
      <c r="N14" s="58">
        <v>2</v>
      </c>
      <c r="O14" s="35">
        <v>14</v>
      </c>
      <c r="P14" s="51">
        <v>6135</v>
      </c>
      <c r="Q14" s="47"/>
      <c r="R14" s="47"/>
      <c r="S14" s="47"/>
    </row>
    <row r="15" spans="1:19" ht="15.6" thickTop="1" thickBot="1" x14ac:dyDescent="0.35">
      <c r="A15" s="34">
        <v>10</v>
      </c>
      <c r="B15" s="35">
        <v>5957</v>
      </c>
      <c r="C15" s="35">
        <v>0</v>
      </c>
      <c r="D15" s="35">
        <v>883</v>
      </c>
      <c r="E15" s="35">
        <v>124</v>
      </c>
      <c r="F15" s="35">
        <v>153</v>
      </c>
      <c r="G15" s="35">
        <v>288</v>
      </c>
      <c r="H15" s="35">
        <v>7405</v>
      </c>
      <c r="I15" s="35">
        <v>0</v>
      </c>
      <c r="J15" s="37"/>
      <c r="K15" s="34">
        <v>10</v>
      </c>
      <c r="L15" s="58">
        <v>5</v>
      </c>
      <c r="M15" s="58">
        <v>4</v>
      </c>
      <c r="N15" s="58">
        <v>2</v>
      </c>
      <c r="O15" s="35">
        <v>11</v>
      </c>
      <c r="P15" s="50">
        <v>6135</v>
      </c>
      <c r="Q15" s="32"/>
      <c r="R15" s="32"/>
      <c r="S15" s="32"/>
    </row>
    <row r="16" spans="1:19" ht="15.6" thickTop="1" thickBot="1" x14ac:dyDescent="0.35">
      <c r="A16" s="34">
        <v>11</v>
      </c>
      <c r="B16" s="35">
        <v>2760</v>
      </c>
      <c r="C16" s="35">
        <v>0</v>
      </c>
      <c r="D16" s="35">
        <v>1057</v>
      </c>
      <c r="E16" s="35">
        <v>168</v>
      </c>
      <c r="F16" s="35">
        <v>224</v>
      </c>
      <c r="G16" s="35">
        <v>285</v>
      </c>
      <c r="H16" s="35">
        <v>4494</v>
      </c>
      <c r="I16" s="35">
        <v>0</v>
      </c>
      <c r="J16" s="37"/>
      <c r="K16" s="34">
        <v>11</v>
      </c>
      <c r="L16" s="58">
        <v>0</v>
      </c>
      <c r="M16" s="58">
        <v>10</v>
      </c>
      <c r="N16" s="58">
        <v>2</v>
      </c>
      <c r="O16" s="35">
        <v>12</v>
      </c>
      <c r="P16" s="50">
        <v>6135</v>
      </c>
      <c r="Q16" s="32"/>
      <c r="R16" s="32"/>
      <c r="S16" s="32"/>
    </row>
    <row r="17" spans="1:26" ht="15.6" thickTop="1" thickBot="1" x14ac:dyDescent="0.35">
      <c r="A17" s="34">
        <v>12</v>
      </c>
      <c r="B17" s="35">
        <v>2447</v>
      </c>
      <c r="C17" s="35">
        <v>0</v>
      </c>
      <c r="D17" s="35">
        <v>1272</v>
      </c>
      <c r="E17" s="35">
        <v>171</v>
      </c>
      <c r="F17" s="35">
        <v>233</v>
      </c>
      <c r="G17" s="35">
        <v>328</v>
      </c>
      <c r="H17" s="35">
        <v>4451</v>
      </c>
      <c r="I17" s="35">
        <v>0</v>
      </c>
      <c r="J17" s="37"/>
      <c r="K17" s="34">
        <v>12</v>
      </c>
      <c r="L17" s="58">
        <v>3</v>
      </c>
      <c r="M17" s="58">
        <v>16</v>
      </c>
      <c r="N17" s="58">
        <v>6</v>
      </c>
      <c r="O17" s="35">
        <v>25</v>
      </c>
      <c r="P17" s="50">
        <v>6135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6" thickTop="1" thickBot="1" x14ac:dyDescent="0.35">
      <c r="A18" s="34">
        <v>13</v>
      </c>
      <c r="B18" s="35">
        <v>2746</v>
      </c>
      <c r="C18" s="35">
        <v>0</v>
      </c>
      <c r="D18" s="35">
        <v>1308</v>
      </c>
      <c r="E18" s="35">
        <v>185</v>
      </c>
      <c r="F18" s="35">
        <v>249</v>
      </c>
      <c r="G18" s="35">
        <v>384</v>
      </c>
      <c r="H18" s="35">
        <v>4872</v>
      </c>
      <c r="I18" s="35">
        <v>0</v>
      </c>
      <c r="J18" s="37"/>
      <c r="K18" s="34">
        <v>13</v>
      </c>
      <c r="L18" s="58">
        <v>3</v>
      </c>
      <c r="M18" s="58">
        <v>21</v>
      </c>
      <c r="N18" s="58">
        <v>2</v>
      </c>
      <c r="O18" s="35">
        <v>26</v>
      </c>
      <c r="P18" s="50">
        <v>6135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6" thickTop="1" thickBot="1" x14ac:dyDescent="0.35">
      <c r="A19" s="34">
        <v>14</v>
      </c>
      <c r="B19" s="35">
        <v>3115</v>
      </c>
      <c r="C19" s="35">
        <v>0</v>
      </c>
      <c r="D19" s="35">
        <v>1319</v>
      </c>
      <c r="E19" s="35">
        <v>176</v>
      </c>
      <c r="F19" s="35">
        <v>234</v>
      </c>
      <c r="G19" s="35">
        <v>358</v>
      </c>
      <c r="H19" s="35">
        <v>5202</v>
      </c>
      <c r="I19" s="35">
        <v>0</v>
      </c>
      <c r="J19" s="37"/>
      <c r="K19" s="34">
        <v>14</v>
      </c>
      <c r="L19" s="58">
        <v>3</v>
      </c>
      <c r="M19" s="58">
        <v>9</v>
      </c>
      <c r="N19" s="58">
        <v>2</v>
      </c>
      <c r="O19" s="35">
        <v>14</v>
      </c>
      <c r="P19" s="50">
        <v>6135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6" thickTop="1" thickBot="1" x14ac:dyDescent="0.35">
      <c r="A20" s="34">
        <v>15</v>
      </c>
      <c r="B20" s="35">
        <v>4684</v>
      </c>
      <c r="C20" s="35">
        <v>0</v>
      </c>
      <c r="D20" s="35">
        <v>1180</v>
      </c>
      <c r="E20" s="35">
        <v>166</v>
      </c>
      <c r="F20" s="35">
        <v>206</v>
      </c>
      <c r="G20" s="35">
        <v>286</v>
      </c>
      <c r="H20" s="35">
        <v>6522</v>
      </c>
      <c r="I20" s="35">
        <v>0</v>
      </c>
      <c r="J20" s="37"/>
      <c r="K20" s="34">
        <v>15</v>
      </c>
      <c r="L20" s="58">
        <v>2</v>
      </c>
      <c r="M20" s="58">
        <v>11</v>
      </c>
      <c r="N20" s="58">
        <v>1</v>
      </c>
      <c r="O20" s="35">
        <v>14</v>
      </c>
      <c r="P20" s="50">
        <v>6135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6" thickTop="1" thickBot="1" x14ac:dyDescent="0.35">
      <c r="A21" s="34">
        <v>16</v>
      </c>
      <c r="B21" s="35">
        <v>4224</v>
      </c>
      <c r="C21" s="35">
        <v>0</v>
      </c>
      <c r="D21" s="35">
        <v>1009</v>
      </c>
      <c r="E21" s="35">
        <v>142</v>
      </c>
      <c r="F21" s="35">
        <v>203</v>
      </c>
      <c r="G21" s="35">
        <v>264</v>
      </c>
      <c r="H21" s="35">
        <v>5842</v>
      </c>
      <c r="I21" s="35">
        <v>0</v>
      </c>
      <c r="J21" s="37"/>
      <c r="K21" s="34">
        <v>16</v>
      </c>
      <c r="L21" s="58">
        <v>1</v>
      </c>
      <c r="M21" s="58">
        <v>18</v>
      </c>
      <c r="N21" s="58">
        <v>2</v>
      </c>
      <c r="O21" s="35">
        <v>21</v>
      </c>
      <c r="P21" s="50">
        <v>6135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6" thickTop="1" thickBot="1" x14ac:dyDescent="0.35">
      <c r="A22" s="34">
        <v>17</v>
      </c>
      <c r="B22" s="35">
        <v>6513</v>
      </c>
      <c r="C22" s="35">
        <v>0</v>
      </c>
      <c r="D22" s="35">
        <v>883</v>
      </c>
      <c r="E22" s="35">
        <v>118</v>
      </c>
      <c r="F22" s="35">
        <v>112</v>
      </c>
      <c r="G22" s="35">
        <v>250</v>
      </c>
      <c r="H22" s="35">
        <v>7876</v>
      </c>
      <c r="I22" s="35">
        <v>0</v>
      </c>
      <c r="J22" s="37"/>
      <c r="K22" s="34">
        <v>17</v>
      </c>
      <c r="L22" s="58">
        <v>0</v>
      </c>
      <c r="M22" s="58">
        <v>4</v>
      </c>
      <c r="N22" s="58">
        <v>2</v>
      </c>
      <c r="O22" s="35">
        <v>6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2880</v>
      </c>
      <c r="C23" s="35">
        <v>0</v>
      </c>
      <c r="D23" s="35">
        <v>1185</v>
      </c>
      <c r="E23" s="35">
        <v>176</v>
      </c>
      <c r="F23" s="35">
        <v>226</v>
      </c>
      <c r="G23" s="35">
        <v>266</v>
      </c>
      <c r="H23" s="35">
        <v>4733</v>
      </c>
      <c r="I23" s="35">
        <v>0</v>
      </c>
      <c r="J23" s="37"/>
      <c r="K23" s="34">
        <v>18</v>
      </c>
      <c r="L23" s="58">
        <v>3</v>
      </c>
      <c r="M23" s="58">
        <v>13</v>
      </c>
      <c r="N23" s="58">
        <v>5</v>
      </c>
      <c r="O23" s="35">
        <v>21</v>
      </c>
      <c r="P23" s="50">
        <v>6135</v>
      </c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6" thickTop="1" thickBot="1" x14ac:dyDescent="0.35">
      <c r="A24" s="34">
        <v>19</v>
      </c>
      <c r="B24" s="35">
        <v>2563</v>
      </c>
      <c r="C24" s="35">
        <v>0</v>
      </c>
      <c r="D24" s="35">
        <v>1291</v>
      </c>
      <c r="E24" s="35">
        <v>170</v>
      </c>
      <c r="F24" s="35">
        <v>220</v>
      </c>
      <c r="G24" s="35">
        <v>345</v>
      </c>
      <c r="H24" s="35">
        <v>4589</v>
      </c>
      <c r="I24" s="35">
        <v>0</v>
      </c>
      <c r="J24" s="37"/>
      <c r="K24" s="34">
        <v>19</v>
      </c>
      <c r="L24" s="58">
        <v>7</v>
      </c>
      <c r="M24" s="58">
        <v>19</v>
      </c>
      <c r="N24" s="58">
        <v>0</v>
      </c>
      <c r="O24" s="35">
        <v>26</v>
      </c>
      <c r="P24" s="50">
        <v>6135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6" thickTop="1" thickBot="1" x14ac:dyDescent="0.35">
      <c r="A25" s="34">
        <v>20</v>
      </c>
      <c r="B25" s="35">
        <v>2745</v>
      </c>
      <c r="C25" s="35">
        <v>0</v>
      </c>
      <c r="D25" s="35">
        <v>1325</v>
      </c>
      <c r="E25" s="35">
        <v>198</v>
      </c>
      <c r="F25" s="35">
        <v>268</v>
      </c>
      <c r="G25" s="35">
        <v>323</v>
      </c>
      <c r="H25" s="35">
        <v>4859</v>
      </c>
      <c r="I25" s="35">
        <v>0</v>
      </c>
      <c r="J25" s="37"/>
      <c r="K25" s="34">
        <v>20</v>
      </c>
      <c r="L25" s="58">
        <v>2</v>
      </c>
      <c r="M25" s="58">
        <v>8</v>
      </c>
      <c r="N25" s="58">
        <v>3</v>
      </c>
      <c r="O25" s="35">
        <v>13</v>
      </c>
      <c r="P25" s="50">
        <v>6135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6" thickTop="1" thickBot="1" x14ac:dyDescent="0.35">
      <c r="A26" s="34">
        <v>21</v>
      </c>
      <c r="B26" s="35">
        <v>2950</v>
      </c>
      <c r="C26" s="35">
        <v>0</v>
      </c>
      <c r="D26" s="35">
        <v>1313</v>
      </c>
      <c r="E26" s="35">
        <v>199</v>
      </c>
      <c r="F26" s="35">
        <v>209</v>
      </c>
      <c r="G26" s="35">
        <v>335</v>
      </c>
      <c r="H26" s="35">
        <v>5006</v>
      </c>
      <c r="I26" s="35">
        <v>0</v>
      </c>
      <c r="J26" s="37"/>
      <c r="K26" s="34">
        <v>21</v>
      </c>
      <c r="L26" s="58">
        <v>2</v>
      </c>
      <c r="M26" s="58">
        <v>18</v>
      </c>
      <c r="N26" s="58">
        <v>3</v>
      </c>
      <c r="O26" s="35">
        <v>23</v>
      </c>
      <c r="P26" s="50">
        <v>6135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6" thickTop="1" thickBot="1" x14ac:dyDescent="0.35">
      <c r="A27" s="34">
        <v>22</v>
      </c>
      <c r="B27" s="35">
        <v>4430</v>
      </c>
      <c r="C27" s="35">
        <v>0</v>
      </c>
      <c r="D27" s="35">
        <v>1205</v>
      </c>
      <c r="E27" s="35">
        <v>161</v>
      </c>
      <c r="F27" s="35">
        <v>238</v>
      </c>
      <c r="G27" s="35">
        <v>286</v>
      </c>
      <c r="H27" s="35">
        <v>6320</v>
      </c>
      <c r="I27" s="35">
        <v>0</v>
      </c>
      <c r="J27" s="37"/>
      <c r="K27" s="34">
        <v>22</v>
      </c>
      <c r="L27" s="58">
        <v>2</v>
      </c>
      <c r="M27" s="58">
        <v>20</v>
      </c>
      <c r="N27" s="58">
        <v>4</v>
      </c>
      <c r="O27" s="35">
        <v>26</v>
      </c>
      <c r="P27" s="50">
        <v>6135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6" thickTop="1" thickBot="1" x14ac:dyDescent="0.35">
      <c r="A28" s="34">
        <v>23</v>
      </c>
      <c r="B28" s="35">
        <v>4282</v>
      </c>
      <c r="C28" s="35">
        <v>0</v>
      </c>
      <c r="D28" s="35">
        <v>975</v>
      </c>
      <c r="E28" s="35">
        <v>121</v>
      </c>
      <c r="F28" s="35">
        <v>200</v>
      </c>
      <c r="G28" s="35">
        <v>241</v>
      </c>
      <c r="H28" s="35">
        <v>5819</v>
      </c>
      <c r="I28" s="35">
        <v>0</v>
      </c>
      <c r="J28" s="37"/>
      <c r="K28" s="34">
        <v>23</v>
      </c>
      <c r="L28" s="58">
        <v>0</v>
      </c>
      <c r="M28" s="58">
        <v>19</v>
      </c>
      <c r="N28" s="58">
        <v>3</v>
      </c>
      <c r="O28" s="35">
        <v>22</v>
      </c>
      <c r="P28" s="50">
        <v>6135</v>
      </c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6" thickTop="1" thickBot="1" x14ac:dyDescent="0.35">
      <c r="A29" s="34">
        <v>24</v>
      </c>
      <c r="B29" s="35">
        <v>6257</v>
      </c>
      <c r="C29" s="35">
        <v>0</v>
      </c>
      <c r="D29" s="35">
        <v>924</v>
      </c>
      <c r="E29" s="35">
        <v>126</v>
      </c>
      <c r="F29" s="35">
        <v>120</v>
      </c>
      <c r="G29" s="35">
        <v>251</v>
      </c>
      <c r="H29" s="35">
        <v>7678</v>
      </c>
      <c r="I29" s="35">
        <v>0</v>
      </c>
      <c r="J29" s="37"/>
      <c r="K29" s="34">
        <v>24</v>
      </c>
      <c r="L29" s="58">
        <v>5</v>
      </c>
      <c r="M29" s="58">
        <v>9</v>
      </c>
      <c r="N29" s="58">
        <v>4</v>
      </c>
      <c r="O29" s="35">
        <v>18</v>
      </c>
      <c r="P29" s="50">
        <v>6135</v>
      </c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6" thickTop="1" thickBot="1" x14ac:dyDescent="0.35">
      <c r="A30" s="34">
        <v>25</v>
      </c>
      <c r="B30" s="35">
        <v>2859</v>
      </c>
      <c r="C30" s="35">
        <v>0</v>
      </c>
      <c r="D30" s="35">
        <v>1140</v>
      </c>
      <c r="E30" s="35">
        <v>175</v>
      </c>
      <c r="F30" s="35">
        <v>250</v>
      </c>
      <c r="G30" s="35">
        <v>301</v>
      </c>
      <c r="H30" s="35">
        <v>4725</v>
      </c>
      <c r="I30" s="35">
        <v>0</v>
      </c>
      <c r="J30" s="37"/>
      <c r="K30" s="34">
        <v>25</v>
      </c>
      <c r="L30" s="58">
        <v>2</v>
      </c>
      <c r="M30" s="58">
        <v>19</v>
      </c>
      <c r="N30" s="58">
        <v>0</v>
      </c>
      <c r="O30" s="35">
        <v>21</v>
      </c>
      <c r="P30" s="50">
        <v>6135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6" thickTop="1" thickBot="1" x14ac:dyDescent="0.35">
      <c r="A31" s="34">
        <v>26</v>
      </c>
      <c r="B31" s="35">
        <v>2572</v>
      </c>
      <c r="C31" s="35">
        <v>0</v>
      </c>
      <c r="D31" s="35">
        <v>1266</v>
      </c>
      <c r="E31" s="35">
        <v>201</v>
      </c>
      <c r="F31" s="35">
        <v>219</v>
      </c>
      <c r="G31" s="35">
        <v>345</v>
      </c>
      <c r="H31" s="35">
        <v>4603</v>
      </c>
      <c r="I31" s="35">
        <v>0</v>
      </c>
      <c r="J31" s="37"/>
      <c r="K31" s="34">
        <v>26</v>
      </c>
      <c r="L31" s="58">
        <v>1</v>
      </c>
      <c r="M31" s="58">
        <v>13</v>
      </c>
      <c r="N31" s="58">
        <v>3</v>
      </c>
      <c r="O31" s="35">
        <v>17</v>
      </c>
      <c r="P31" s="50">
        <v>6135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6" thickTop="1" thickBot="1" x14ac:dyDescent="0.35">
      <c r="A32" s="34">
        <v>27</v>
      </c>
      <c r="B32" s="35">
        <v>2729</v>
      </c>
      <c r="C32" s="35">
        <v>0</v>
      </c>
      <c r="D32" s="35">
        <v>1353</v>
      </c>
      <c r="E32" s="35">
        <v>172</v>
      </c>
      <c r="F32" s="35">
        <v>244</v>
      </c>
      <c r="G32" s="35">
        <v>341</v>
      </c>
      <c r="H32" s="35">
        <v>4839</v>
      </c>
      <c r="I32" s="35">
        <v>0</v>
      </c>
      <c r="J32" s="37"/>
      <c r="K32" s="34">
        <v>27</v>
      </c>
      <c r="L32" s="58">
        <v>3</v>
      </c>
      <c r="M32" s="58">
        <v>11</v>
      </c>
      <c r="N32" s="58">
        <v>2</v>
      </c>
      <c r="O32" s="35">
        <v>16</v>
      </c>
      <c r="P32" s="50">
        <v>6135</v>
      </c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16" ht="15.6" thickTop="1" thickBot="1" x14ac:dyDescent="0.35">
      <c r="A33" s="34">
        <v>28</v>
      </c>
      <c r="B33" s="35">
        <v>2969</v>
      </c>
      <c r="C33" s="35">
        <v>0</v>
      </c>
      <c r="D33" s="35">
        <v>1247</v>
      </c>
      <c r="E33" s="35">
        <v>180</v>
      </c>
      <c r="F33" s="35">
        <v>238</v>
      </c>
      <c r="G33" s="35">
        <v>326</v>
      </c>
      <c r="H33" s="35">
        <v>4960</v>
      </c>
      <c r="I33" s="35">
        <v>0</v>
      </c>
      <c r="J33" s="37"/>
      <c r="K33" s="34">
        <v>28</v>
      </c>
      <c r="L33" s="58">
        <v>5</v>
      </c>
      <c r="M33" s="58">
        <v>14</v>
      </c>
      <c r="N33" s="58">
        <v>5</v>
      </c>
      <c r="O33" s="35">
        <v>24</v>
      </c>
      <c r="P33" s="50">
        <v>6135</v>
      </c>
    </row>
    <row r="34" spans="1:16" ht="15.6" thickTop="1" thickBot="1" x14ac:dyDescent="0.35">
      <c r="A34" s="34">
        <v>29</v>
      </c>
      <c r="B34" s="35"/>
      <c r="C34" s="35"/>
      <c r="D34" s="35"/>
      <c r="E34" s="35"/>
      <c r="F34" s="35"/>
      <c r="G34" s="35"/>
      <c r="H34" s="35">
        <v>0</v>
      </c>
      <c r="I34" s="35">
        <v>0</v>
      </c>
      <c r="J34" s="37"/>
      <c r="K34" s="34">
        <v>29</v>
      </c>
      <c r="L34" s="35"/>
      <c r="M34" s="35"/>
      <c r="N34" s="35"/>
      <c r="O34" s="35">
        <v>0</v>
      </c>
      <c r="P34" s="50">
        <v>6135</v>
      </c>
    </row>
    <row r="35" spans="1:16" ht="15.6" thickTop="1" thickBot="1" x14ac:dyDescent="0.35">
      <c r="A35" s="34">
        <v>30</v>
      </c>
      <c r="B35" s="35"/>
      <c r="C35" s="35"/>
      <c r="D35" s="35"/>
      <c r="E35" s="35"/>
      <c r="F35" s="35"/>
      <c r="G35" s="35"/>
      <c r="H35" s="35">
        <v>0</v>
      </c>
      <c r="I35" s="35">
        <v>0</v>
      </c>
      <c r="J35" s="37"/>
      <c r="K35" s="34">
        <v>30</v>
      </c>
      <c r="L35" s="35"/>
      <c r="M35" s="35"/>
      <c r="N35" s="35"/>
      <c r="O35" s="35">
        <v>0</v>
      </c>
      <c r="P35" s="50">
        <v>6135</v>
      </c>
    </row>
    <row r="36" spans="1:16" ht="15.6" thickTop="1" thickBot="1" x14ac:dyDescent="0.35">
      <c r="A36" s="34">
        <v>31</v>
      </c>
      <c r="B36" s="35"/>
      <c r="C36" s="35"/>
      <c r="D36" s="35"/>
      <c r="E36" s="35"/>
      <c r="F36" s="35"/>
      <c r="G36" s="35"/>
      <c r="H36" s="35">
        <v>0</v>
      </c>
      <c r="I36" s="35">
        <v>0</v>
      </c>
      <c r="J36" s="37"/>
      <c r="K36" s="34">
        <v>31</v>
      </c>
      <c r="L36" s="35"/>
      <c r="M36" s="35"/>
      <c r="N36" s="35"/>
      <c r="O36" s="35">
        <v>0</v>
      </c>
      <c r="P36" s="50">
        <v>6135</v>
      </c>
    </row>
    <row r="37" spans="1:16" ht="15" thickTop="1" x14ac:dyDescent="0.3">
      <c r="A37" s="42" t="s">
        <v>19</v>
      </c>
      <c r="B37" s="43">
        <v>105685</v>
      </c>
      <c r="C37" s="43">
        <v>0</v>
      </c>
      <c r="D37" s="43">
        <v>32360</v>
      </c>
      <c r="E37" s="43">
        <v>4478</v>
      </c>
      <c r="F37" s="43">
        <v>5947</v>
      </c>
      <c r="G37" s="43">
        <v>8475</v>
      </c>
      <c r="H37" s="43">
        <v>156945</v>
      </c>
      <c r="I37" s="43">
        <v>0</v>
      </c>
      <c r="J37" s="43"/>
      <c r="K37" s="43"/>
      <c r="L37" s="43">
        <v>78</v>
      </c>
      <c r="M37" s="43">
        <v>363</v>
      </c>
      <c r="N37" s="43">
        <v>76</v>
      </c>
      <c r="O37" s="77">
        <v>517</v>
      </c>
      <c r="P37" s="32"/>
    </row>
    <row r="38" spans="1:16" x14ac:dyDescent="0.3">
      <c r="A38" s="42" t="s">
        <v>19</v>
      </c>
      <c r="B38" s="90">
        <v>105685</v>
      </c>
      <c r="C38" s="90"/>
      <c r="D38" s="43">
        <v>32360</v>
      </c>
      <c r="E38" s="43">
        <v>4478</v>
      </c>
      <c r="F38" s="43">
        <v>5947</v>
      </c>
      <c r="G38" s="43">
        <v>8475</v>
      </c>
      <c r="H38" s="77">
        <v>156945</v>
      </c>
      <c r="I38" s="43">
        <v>0</v>
      </c>
      <c r="J38" s="38"/>
      <c r="K38" s="42"/>
      <c r="L38" s="39" t="s">
        <v>20</v>
      </c>
      <c r="M38" s="39" t="s">
        <v>21</v>
      </c>
      <c r="N38" s="39" t="s">
        <v>20</v>
      </c>
      <c r="O38" s="39" t="s">
        <v>21</v>
      </c>
      <c r="P38" s="32"/>
    </row>
    <row r="39" spans="1:16" x14ac:dyDescent="0.3">
      <c r="A39" s="40" t="s">
        <v>22</v>
      </c>
      <c r="B39" s="45"/>
      <c r="C39" s="45"/>
      <c r="D39" s="45"/>
      <c r="E39" s="45"/>
      <c r="F39" s="45"/>
      <c r="G39" s="45"/>
      <c r="H39" s="45"/>
      <c r="I39" s="32"/>
      <c r="J39" s="32"/>
      <c r="K39" s="32"/>
      <c r="L39" s="48"/>
      <c r="M39" s="32"/>
      <c r="N39" s="32"/>
      <c r="O39" s="32"/>
      <c r="P39" s="32"/>
    </row>
    <row r="40" spans="1:16" x14ac:dyDescent="0.3">
      <c r="A40" s="54"/>
      <c r="B40" s="55"/>
      <c r="C40" s="55"/>
      <c r="D40" s="55"/>
      <c r="E40" s="55"/>
      <c r="F40" s="55"/>
      <c r="G40" s="55"/>
      <c r="H40" s="55"/>
      <c r="I40" s="55"/>
      <c r="J40" s="48"/>
      <c r="K40" s="57"/>
      <c r="L40" s="56"/>
      <c r="M40" s="32"/>
      <c r="N40" s="32"/>
      <c r="O40" s="32"/>
      <c r="P40" s="32"/>
    </row>
    <row r="41" spans="1:16" x14ac:dyDescent="0.3">
      <c r="A41" s="44"/>
      <c r="B41" s="32"/>
      <c r="C41" s="32"/>
      <c r="D41" s="32"/>
      <c r="E41" s="32"/>
      <c r="F41" s="32"/>
      <c r="G41" s="32"/>
      <c r="H41" s="44"/>
      <c r="I41" s="32"/>
      <c r="J41" s="32"/>
      <c r="K41" s="57"/>
      <c r="L41" s="56"/>
      <c r="M41" s="32"/>
      <c r="N41" s="32"/>
      <c r="O41" s="32"/>
      <c r="P41" s="32"/>
    </row>
    <row r="42" spans="1:16" x14ac:dyDescent="0.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57"/>
      <c r="L42" s="56"/>
      <c r="M42" s="32"/>
      <c r="N42" s="32"/>
      <c r="O42" s="32"/>
      <c r="P42" s="32"/>
    </row>
    <row r="43" spans="1:16" x14ac:dyDescent="0.3">
      <c r="A43" s="32"/>
      <c r="B43" s="32"/>
      <c r="C43" s="32"/>
      <c r="D43" s="32"/>
      <c r="E43" s="32"/>
      <c r="F43" s="32"/>
      <c r="G43" s="32"/>
      <c r="H43" s="32"/>
      <c r="I43" s="44"/>
      <c r="J43" s="44"/>
      <c r="K43" s="32"/>
      <c r="L43" s="32"/>
      <c r="M43" s="32"/>
      <c r="N43" s="32"/>
      <c r="O43" s="32"/>
      <c r="P43" s="32"/>
    </row>
    <row r="45" spans="1:16" x14ac:dyDescent="0.3">
      <c r="A45" s="53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</row>
    <row r="46" spans="1:16" x14ac:dyDescent="0.3">
      <c r="A46" s="53"/>
      <c r="B46" s="44"/>
      <c r="C46" s="44"/>
      <c r="D46" s="44"/>
      <c r="E46" s="44"/>
      <c r="F46" s="44"/>
      <c r="G46" s="44"/>
      <c r="H46" s="44"/>
      <c r="I46" s="44"/>
      <c r="J46" s="44"/>
      <c r="K46" s="49"/>
      <c r="L46" s="44"/>
      <c r="M46" s="44"/>
      <c r="N46" s="44"/>
      <c r="O46" s="44"/>
      <c r="P46" s="32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8481-4DCA-44D0-8F13-D650D796847C}">
  <dimension ref="A1:Z46"/>
  <sheetViews>
    <sheetView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24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4364</v>
      </c>
      <c r="C6" s="35">
        <v>0</v>
      </c>
      <c r="D6" s="35">
        <v>1117</v>
      </c>
      <c r="E6" s="35">
        <v>128</v>
      </c>
      <c r="F6" s="35">
        <v>217</v>
      </c>
      <c r="G6" s="35">
        <v>262</v>
      </c>
      <c r="H6" s="35">
        <v>6088</v>
      </c>
      <c r="I6" s="35">
        <v>0</v>
      </c>
      <c r="J6" s="36"/>
      <c r="K6" s="34">
        <v>1</v>
      </c>
      <c r="L6" s="58">
        <v>6</v>
      </c>
      <c r="M6" s="58">
        <v>10</v>
      </c>
      <c r="N6" s="58">
        <v>2</v>
      </c>
      <c r="O6" s="35">
        <v>18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4507</v>
      </c>
      <c r="C7" s="35">
        <v>0</v>
      </c>
      <c r="D7" s="35">
        <v>1040</v>
      </c>
      <c r="E7" s="35">
        <v>110</v>
      </c>
      <c r="F7" s="35">
        <v>202</v>
      </c>
      <c r="G7" s="35">
        <v>215</v>
      </c>
      <c r="H7" s="35">
        <v>6074</v>
      </c>
      <c r="I7" s="35">
        <v>0</v>
      </c>
      <c r="J7" s="36"/>
      <c r="K7" s="34">
        <v>2</v>
      </c>
      <c r="L7" s="58">
        <v>4</v>
      </c>
      <c r="M7" s="58">
        <v>8</v>
      </c>
      <c r="N7" s="58">
        <v>1</v>
      </c>
      <c r="O7" s="35">
        <v>13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6098</v>
      </c>
      <c r="C8" s="35">
        <v>0</v>
      </c>
      <c r="D8" s="35">
        <v>925</v>
      </c>
      <c r="E8" s="35">
        <v>167</v>
      </c>
      <c r="F8" s="35">
        <v>110</v>
      </c>
      <c r="G8" s="35">
        <v>186</v>
      </c>
      <c r="H8" s="35">
        <v>7486</v>
      </c>
      <c r="I8" s="35">
        <v>0</v>
      </c>
      <c r="J8" s="36"/>
      <c r="K8" s="34">
        <v>3</v>
      </c>
      <c r="L8" s="58">
        <v>2</v>
      </c>
      <c r="M8" s="58">
        <v>12</v>
      </c>
      <c r="N8" s="58">
        <v>1</v>
      </c>
      <c r="O8" s="35">
        <v>15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2658</v>
      </c>
      <c r="C9" s="35">
        <v>0</v>
      </c>
      <c r="D9" s="35">
        <v>1033</v>
      </c>
      <c r="E9" s="35">
        <v>180</v>
      </c>
      <c r="F9" s="35">
        <v>203</v>
      </c>
      <c r="G9" s="35">
        <v>263</v>
      </c>
      <c r="H9" s="35">
        <v>4337</v>
      </c>
      <c r="I9" s="35">
        <v>0</v>
      </c>
      <c r="J9" s="36"/>
      <c r="K9" s="34">
        <v>4</v>
      </c>
      <c r="L9" s="58">
        <v>2</v>
      </c>
      <c r="M9" s="58">
        <v>8</v>
      </c>
      <c r="N9" s="58">
        <v>2</v>
      </c>
      <c r="O9" s="35">
        <v>12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2637</v>
      </c>
      <c r="C10" s="35">
        <v>0</v>
      </c>
      <c r="D10" s="35">
        <v>1224</v>
      </c>
      <c r="E10" s="35">
        <v>184</v>
      </c>
      <c r="F10" s="35">
        <v>187</v>
      </c>
      <c r="G10" s="35">
        <v>314</v>
      </c>
      <c r="H10" s="35">
        <v>4546</v>
      </c>
      <c r="I10" s="35">
        <v>0</v>
      </c>
      <c r="J10" s="36"/>
      <c r="K10" s="34">
        <v>5</v>
      </c>
      <c r="L10" s="58">
        <v>3</v>
      </c>
      <c r="M10" s="58">
        <v>12</v>
      </c>
      <c r="N10" s="58">
        <v>3</v>
      </c>
      <c r="O10" s="35">
        <v>18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2645</v>
      </c>
      <c r="C11" s="35">
        <v>0</v>
      </c>
      <c r="D11" s="35">
        <v>1282</v>
      </c>
      <c r="E11" s="35">
        <v>190</v>
      </c>
      <c r="F11" s="35">
        <v>235</v>
      </c>
      <c r="G11" s="35">
        <v>327</v>
      </c>
      <c r="H11" s="35">
        <v>4679</v>
      </c>
      <c r="I11" s="35">
        <v>0</v>
      </c>
      <c r="J11" s="36"/>
      <c r="K11" s="34">
        <v>6</v>
      </c>
      <c r="L11" s="58">
        <v>5</v>
      </c>
      <c r="M11" s="58">
        <v>16</v>
      </c>
      <c r="N11" s="58">
        <v>1</v>
      </c>
      <c r="O11" s="35">
        <v>22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3063</v>
      </c>
      <c r="C12" s="35">
        <v>0</v>
      </c>
      <c r="D12" s="35">
        <v>1272</v>
      </c>
      <c r="E12" s="35">
        <v>168</v>
      </c>
      <c r="F12" s="35">
        <v>226</v>
      </c>
      <c r="G12" s="35">
        <v>312</v>
      </c>
      <c r="H12" s="35">
        <v>5041</v>
      </c>
      <c r="I12" s="35">
        <v>0</v>
      </c>
      <c r="J12" s="37"/>
      <c r="K12" s="34">
        <v>7</v>
      </c>
      <c r="L12" s="58">
        <v>1</v>
      </c>
      <c r="M12" s="58">
        <v>17</v>
      </c>
      <c r="N12" s="58">
        <v>4</v>
      </c>
      <c r="O12" s="35">
        <v>22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4387</v>
      </c>
      <c r="C13" s="35">
        <v>0</v>
      </c>
      <c r="D13" s="35">
        <v>1273</v>
      </c>
      <c r="E13" s="35">
        <v>152</v>
      </c>
      <c r="F13" s="35">
        <v>214</v>
      </c>
      <c r="G13" s="35">
        <v>287</v>
      </c>
      <c r="H13" s="35">
        <v>6313</v>
      </c>
      <c r="I13" s="35">
        <v>0</v>
      </c>
      <c r="J13" s="37"/>
      <c r="K13" s="34">
        <v>8</v>
      </c>
      <c r="L13" s="58">
        <v>2</v>
      </c>
      <c r="M13" s="58">
        <v>6</v>
      </c>
      <c r="N13" s="58">
        <v>5</v>
      </c>
      <c r="O13" s="35">
        <v>13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4037</v>
      </c>
      <c r="C14" s="35">
        <v>0</v>
      </c>
      <c r="D14" s="35">
        <v>980</v>
      </c>
      <c r="E14" s="35">
        <v>139</v>
      </c>
      <c r="F14" s="35">
        <v>208</v>
      </c>
      <c r="G14" s="35">
        <v>257</v>
      </c>
      <c r="H14" s="35">
        <v>5621</v>
      </c>
      <c r="I14" s="35">
        <v>0</v>
      </c>
      <c r="J14" s="37"/>
      <c r="K14" s="34">
        <v>9</v>
      </c>
      <c r="L14" s="58">
        <v>2</v>
      </c>
      <c r="M14" s="58">
        <v>9</v>
      </c>
      <c r="N14" s="58">
        <v>4</v>
      </c>
      <c r="O14" s="35">
        <v>15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5501</v>
      </c>
      <c r="C15" s="35">
        <v>0</v>
      </c>
      <c r="D15" s="35">
        <v>837</v>
      </c>
      <c r="E15" s="35">
        <v>123</v>
      </c>
      <c r="F15" s="35">
        <v>133</v>
      </c>
      <c r="G15" s="35">
        <v>222</v>
      </c>
      <c r="H15" s="35">
        <v>6816</v>
      </c>
      <c r="I15" s="35">
        <v>0</v>
      </c>
      <c r="J15" s="37"/>
      <c r="K15" s="34">
        <v>10</v>
      </c>
      <c r="L15" s="58">
        <v>3</v>
      </c>
      <c r="M15" s="58">
        <v>2</v>
      </c>
      <c r="N15" s="58">
        <v>3</v>
      </c>
      <c r="O15" s="35">
        <v>8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2749</v>
      </c>
      <c r="C16" s="35">
        <v>0</v>
      </c>
      <c r="D16" s="35">
        <v>1058</v>
      </c>
      <c r="E16" s="35">
        <v>177</v>
      </c>
      <c r="F16" s="35">
        <v>204</v>
      </c>
      <c r="G16" s="35">
        <v>285</v>
      </c>
      <c r="H16" s="35">
        <v>4473</v>
      </c>
      <c r="I16" s="35">
        <v>0</v>
      </c>
      <c r="J16" s="37"/>
      <c r="K16" s="34">
        <v>11</v>
      </c>
      <c r="L16" s="58">
        <v>10</v>
      </c>
      <c r="M16" s="58">
        <v>15</v>
      </c>
      <c r="N16" s="58">
        <v>3</v>
      </c>
      <c r="O16" s="35">
        <v>28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2574</v>
      </c>
      <c r="C17" s="35">
        <v>0</v>
      </c>
      <c r="D17" s="35">
        <v>1185</v>
      </c>
      <c r="E17" s="35">
        <v>165</v>
      </c>
      <c r="F17" s="35">
        <v>210</v>
      </c>
      <c r="G17" s="35">
        <v>313</v>
      </c>
      <c r="H17" s="35">
        <v>4447</v>
      </c>
      <c r="I17" s="35">
        <v>0</v>
      </c>
      <c r="J17" s="37"/>
      <c r="K17" s="34">
        <v>12</v>
      </c>
      <c r="L17" s="58">
        <v>7</v>
      </c>
      <c r="M17" s="58">
        <v>18</v>
      </c>
      <c r="N17" s="58">
        <v>1</v>
      </c>
      <c r="O17" s="35">
        <v>26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2550</v>
      </c>
      <c r="C18" s="35">
        <v>0</v>
      </c>
      <c r="D18" s="35">
        <v>1305</v>
      </c>
      <c r="E18" s="35">
        <v>171</v>
      </c>
      <c r="F18" s="35">
        <v>259</v>
      </c>
      <c r="G18" s="35">
        <v>333</v>
      </c>
      <c r="H18" s="35">
        <v>4618</v>
      </c>
      <c r="I18" s="35">
        <v>0</v>
      </c>
      <c r="J18" s="37"/>
      <c r="K18" s="34">
        <v>13</v>
      </c>
      <c r="L18" s="58">
        <v>0</v>
      </c>
      <c r="M18" s="58">
        <v>18</v>
      </c>
      <c r="N18" s="58">
        <v>5</v>
      </c>
      <c r="O18" s="35">
        <v>23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2849</v>
      </c>
      <c r="C19" s="35">
        <v>0</v>
      </c>
      <c r="D19" s="35">
        <v>1298</v>
      </c>
      <c r="E19" s="35">
        <v>197</v>
      </c>
      <c r="F19" s="35">
        <v>243</v>
      </c>
      <c r="G19" s="35">
        <v>344</v>
      </c>
      <c r="H19" s="35">
        <v>4931</v>
      </c>
      <c r="I19" s="35">
        <v>0</v>
      </c>
      <c r="J19" s="37"/>
      <c r="K19" s="34">
        <v>14</v>
      </c>
      <c r="L19" s="58">
        <v>3</v>
      </c>
      <c r="M19" s="58">
        <v>12</v>
      </c>
      <c r="N19" s="58">
        <v>3</v>
      </c>
      <c r="O19" s="35">
        <v>18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3875</v>
      </c>
      <c r="C20" s="35">
        <v>0</v>
      </c>
      <c r="D20" s="35">
        <v>1174</v>
      </c>
      <c r="E20" s="35">
        <v>178</v>
      </c>
      <c r="F20" s="35">
        <v>234</v>
      </c>
      <c r="G20" s="35">
        <v>290</v>
      </c>
      <c r="H20" s="35">
        <v>5751</v>
      </c>
      <c r="I20" s="35">
        <v>0</v>
      </c>
      <c r="J20" s="37"/>
      <c r="K20" s="34">
        <v>15</v>
      </c>
      <c r="L20" s="58">
        <v>4</v>
      </c>
      <c r="M20" s="58">
        <v>16</v>
      </c>
      <c r="N20" s="58">
        <v>0</v>
      </c>
      <c r="O20" s="35">
        <v>20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3930</v>
      </c>
      <c r="C21" s="35">
        <v>0</v>
      </c>
      <c r="D21" s="35">
        <v>1014</v>
      </c>
      <c r="E21" s="35">
        <v>125</v>
      </c>
      <c r="F21" s="35">
        <v>190</v>
      </c>
      <c r="G21" s="35">
        <v>216</v>
      </c>
      <c r="H21" s="35">
        <v>5475</v>
      </c>
      <c r="I21" s="35">
        <v>0</v>
      </c>
      <c r="J21" s="37"/>
      <c r="K21" s="34">
        <v>16</v>
      </c>
      <c r="L21" s="58">
        <v>2</v>
      </c>
      <c r="M21" s="58">
        <v>14</v>
      </c>
      <c r="N21" s="58">
        <v>1</v>
      </c>
      <c r="O21" s="35">
        <v>17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5267</v>
      </c>
      <c r="C22" s="35">
        <v>0</v>
      </c>
      <c r="D22" s="35">
        <v>873</v>
      </c>
      <c r="E22" s="35">
        <v>114</v>
      </c>
      <c r="F22" s="35">
        <v>128</v>
      </c>
      <c r="G22" s="35">
        <v>240</v>
      </c>
      <c r="H22" s="35">
        <v>6622</v>
      </c>
      <c r="I22" s="35">
        <v>0</v>
      </c>
      <c r="J22" s="37"/>
      <c r="K22" s="34">
        <v>17</v>
      </c>
      <c r="L22" s="58">
        <v>2</v>
      </c>
      <c r="M22" s="58">
        <v>2</v>
      </c>
      <c r="N22" s="58">
        <v>2</v>
      </c>
      <c r="O22" s="35">
        <v>6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2646</v>
      </c>
      <c r="C23" s="35">
        <v>0</v>
      </c>
      <c r="D23" s="35">
        <v>1061</v>
      </c>
      <c r="E23" s="35">
        <v>214</v>
      </c>
      <c r="F23" s="35">
        <v>226</v>
      </c>
      <c r="G23" s="35">
        <v>290</v>
      </c>
      <c r="H23" s="35">
        <v>4437</v>
      </c>
      <c r="I23" s="35">
        <v>0</v>
      </c>
      <c r="J23" s="37"/>
      <c r="K23" s="34">
        <v>18</v>
      </c>
      <c r="L23" s="58">
        <v>5</v>
      </c>
      <c r="M23" s="58">
        <v>14</v>
      </c>
      <c r="N23" s="58">
        <v>3</v>
      </c>
      <c r="O23" s="35">
        <v>22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2660</v>
      </c>
      <c r="C24" s="35">
        <v>0</v>
      </c>
      <c r="D24" s="35">
        <v>1158</v>
      </c>
      <c r="E24" s="35">
        <v>173</v>
      </c>
      <c r="F24" s="35">
        <v>198</v>
      </c>
      <c r="G24" s="35">
        <v>286</v>
      </c>
      <c r="H24" s="35">
        <v>4475</v>
      </c>
      <c r="I24" s="35">
        <v>0</v>
      </c>
      <c r="J24" s="37"/>
      <c r="K24" s="34">
        <v>19</v>
      </c>
      <c r="L24" s="58">
        <v>2</v>
      </c>
      <c r="M24" s="58">
        <v>12</v>
      </c>
      <c r="N24" s="58">
        <v>5</v>
      </c>
      <c r="O24" s="35">
        <v>19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2893</v>
      </c>
      <c r="C25" s="35">
        <v>0</v>
      </c>
      <c r="D25" s="35">
        <v>1446</v>
      </c>
      <c r="E25" s="35">
        <v>224</v>
      </c>
      <c r="F25" s="35">
        <v>254</v>
      </c>
      <c r="G25" s="35">
        <v>364</v>
      </c>
      <c r="H25" s="35">
        <v>5181</v>
      </c>
      <c r="I25" s="35">
        <v>0</v>
      </c>
      <c r="J25" s="37"/>
      <c r="K25" s="34">
        <v>20</v>
      </c>
      <c r="L25" s="58">
        <v>1</v>
      </c>
      <c r="M25" s="58">
        <v>12</v>
      </c>
      <c r="N25" s="58">
        <v>0</v>
      </c>
      <c r="O25" s="35">
        <v>13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3406</v>
      </c>
      <c r="C26" s="35">
        <v>0</v>
      </c>
      <c r="D26" s="35">
        <v>1288</v>
      </c>
      <c r="E26" s="35">
        <v>201</v>
      </c>
      <c r="F26" s="35">
        <v>224</v>
      </c>
      <c r="G26" s="35">
        <v>357</v>
      </c>
      <c r="H26" s="35">
        <v>5476</v>
      </c>
      <c r="I26" s="35">
        <v>0</v>
      </c>
      <c r="J26" s="37"/>
      <c r="K26" s="34">
        <v>21</v>
      </c>
      <c r="L26" s="58">
        <v>11</v>
      </c>
      <c r="M26" s="58">
        <v>26</v>
      </c>
      <c r="N26" s="58">
        <v>3</v>
      </c>
      <c r="O26" s="35">
        <v>40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7135</v>
      </c>
      <c r="C27" s="35">
        <v>0</v>
      </c>
      <c r="D27" s="35">
        <v>1315</v>
      </c>
      <c r="E27" s="35">
        <v>167</v>
      </c>
      <c r="F27" s="35">
        <v>235</v>
      </c>
      <c r="G27" s="35">
        <v>304</v>
      </c>
      <c r="H27" s="35">
        <v>9156</v>
      </c>
      <c r="I27" s="35">
        <v>0</v>
      </c>
      <c r="J27" s="37"/>
      <c r="K27" s="34">
        <v>22</v>
      </c>
      <c r="L27" s="58">
        <v>5</v>
      </c>
      <c r="M27" s="58">
        <v>17</v>
      </c>
      <c r="N27" s="58">
        <v>3</v>
      </c>
      <c r="O27" s="35">
        <v>25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8135</v>
      </c>
      <c r="C28" s="35">
        <v>0</v>
      </c>
      <c r="D28" s="35">
        <v>968</v>
      </c>
      <c r="E28" s="35">
        <v>74</v>
      </c>
      <c r="F28" s="35">
        <v>170</v>
      </c>
      <c r="G28" s="35">
        <v>163</v>
      </c>
      <c r="H28" s="35">
        <v>9510</v>
      </c>
      <c r="I28" s="35">
        <v>0</v>
      </c>
      <c r="J28" s="37"/>
      <c r="K28" s="34">
        <v>23</v>
      </c>
      <c r="L28" s="58">
        <v>1</v>
      </c>
      <c r="M28" s="58">
        <v>22</v>
      </c>
      <c r="N28" s="58">
        <v>1</v>
      </c>
      <c r="O28" s="35">
        <v>24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6759</v>
      </c>
      <c r="C29" s="35">
        <v>0</v>
      </c>
      <c r="D29" s="35">
        <v>970</v>
      </c>
      <c r="E29" s="35">
        <v>125</v>
      </c>
      <c r="F29" s="35">
        <v>151</v>
      </c>
      <c r="G29" s="35">
        <v>256</v>
      </c>
      <c r="H29" s="35">
        <v>8261</v>
      </c>
      <c r="I29" s="35">
        <v>0</v>
      </c>
      <c r="J29" s="37"/>
      <c r="K29" s="34">
        <v>24</v>
      </c>
      <c r="L29" s="58">
        <v>1</v>
      </c>
      <c r="M29" s="58">
        <v>7</v>
      </c>
      <c r="N29" s="58">
        <v>1</v>
      </c>
      <c r="O29" s="35">
        <v>9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12437</v>
      </c>
      <c r="C30" s="35">
        <v>0</v>
      </c>
      <c r="D30" s="35">
        <v>740</v>
      </c>
      <c r="E30" s="35">
        <v>74</v>
      </c>
      <c r="F30" s="35">
        <v>65</v>
      </c>
      <c r="G30" s="35">
        <v>122</v>
      </c>
      <c r="H30" s="35">
        <v>13438</v>
      </c>
      <c r="I30" s="35">
        <v>0</v>
      </c>
      <c r="J30" s="37"/>
      <c r="K30" s="34">
        <v>25</v>
      </c>
      <c r="L30" s="58">
        <v>3</v>
      </c>
      <c r="M30" s="58">
        <v>0</v>
      </c>
      <c r="N30" s="58">
        <v>0</v>
      </c>
      <c r="O30" s="35">
        <v>3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3167</v>
      </c>
      <c r="C31" s="35">
        <v>0</v>
      </c>
      <c r="D31" s="35">
        <v>1228</v>
      </c>
      <c r="E31" s="35">
        <v>153</v>
      </c>
      <c r="F31" s="35">
        <v>227</v>
      </c>
      <c r="G31" s="35">
        <v>289</v>
      </c>
      <c r="H31" s="35">
        <v>5064</v>
      </c>
      <c r="I31" s="35">
        <v>0</v>
      </c>
      <c r="J31" s="37"/>
      <c r="K31" s="34">
        <v>26</v>
      </c>
      <c r="L31" s="58">
        <v>5</v>
      </c>
      <c r="M31" s="58">
        <v>15</v>
      </c>
      <c r="N31" s="58">
        <v>1</v>
      </c>
      <c r="O31" s="35">
        <v>21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2644</v>
      </c>
      <c r="C32" s="35">
        <v>0</v>
      </c>
      <c r="D32" s="35">
        <v>1322</v>
      </c>
      <c r="E32" s="35">
        <v>177</v>
      </c>
      <c r="F32" s="35">
        <v>261</v>
      </c>
      <c r="G32" s="35">
        <v>313</v>
      </c>
      <c r="H32" s="35">
        <v>4717</v>
      </c>
      <c r="I32" s="35">
        <v>0</v>
      </c>
      <c r="J32" s="37"/>
      <c r="K32" s="34">
        <v>27</v>
      </c>
      <c r="L32" s="58">
        <v>0</v>
      </c>
      <c r="M32" s="58">
        <v>9</v>
      </c>
      <c r="N32" s="58">
        <v>7</v>
      </c>
      <c r="O32" s="35">
        <v>16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2831</v>
      </c>
      <c r="C33" s="35">
        <v>0</v>
      </c>
      <c r="D33" s="35">
        <v>1338</v>
      </c>
      <c r="E33" s="35">
        <v>185</v>
      </c>
      <c r="F33" s="35">
        <v>222</v>
      </c>
      <c r="G33" s="35">
        <v>350</v>
      </c>
      <c r="H33" s="35">
        <v>4926</v>
      </c>
      <c r="I33" s="35">
        <v>0</v>
      </c>
      <c r="J33" s="37"/>
      <c r="K33" s="34">
        <v>28</v>
      </c>
      <c r="L33" s="58">
        <v>1</v>
      </c>
      <c r="M33" s="58">
        <v>13</v>
      </c>
      <c r="N33" s="58">
        <v>6</v>
      </c>
      <c r="O33" s="35">
        <v>20</v>
      </c>
      <c r="P33" s="50">
        <v>6135</v>
      </c>
    </row>
    <row r="34" spans="1:16" ht="15.6" thickTop="1" thickBot="1" x14ac:dyDescent="0.35">
      <c r="A34" s="34">
        <v>29</v>
      </c>
      <c r="B34" s="35">
        <v>3780</v>
      </c>
      <c r="C34" s="35">
        <v>0</v>
      </c>
      <c r="D34" s="35">
        <v>1307</v>
      </c>
      <c r="E34" s="35">
        <v>178</v>
      </c>
      <c r="F34" s="35">
        <v>210</v>
      </c>
      <c r="G34" s="35">
        <v>316</v>
      </c>
      <c r="H34" s="35">
        <v>5791</v>
      </c>
      <c r="I34" s="35">
        <v>0</v>
      </c>
      <c r="J34" s="37"/>
      <c r="K34" s="34">
        <v>29</v>
      </c>
      <c r="L34" s="35">
        <v>8</v>
      </c>
      <c r="M34" s="35">
        <v>9</v>
      </c>
      <c r="N34" s="35">
        <v>2</v>
      </c>
      <c r="O34" s="35">
        <v>19</v>
      </c>
      <c r="P34" s="50">
        <v>6135</v>
      </c>
    </row>
    <row r="35" spans="1:16" ht="15.6" thickTop="1" thickBot="1" x14ac:dyDescent="0.35">
      <c r="A35" s="34">
        <v>30</v>
      </c>
      <c r="B35" s="35">
        <v>3868</v>
      </c>
      <c r="C35" s="35">
        <v>0</v>
      </c>
      <c r="D35" s="35">
        <v>1040</v>
      </c>
      <c r="E35" s="35">
        <v>116</v>
      </c>
      <c r="F35" s="35">
        <v>201</v>
      </c>
      <c r="G35" s="35">
        <v>235</v>
      </c>
      <c r="H35" s="35">
        <v>5460</v>
      </c>
      <c r="I35" s="35">
        <v>0</v>
      </c>
      <c r="J35" s="37"/>
      <c r="K35" s="34">
        <v>30</v>
      </c>
      <c r="L35" s="35">
        <v>2</v>
      </c>
      <c r="M35" s="35">
        <v>5</v>
      </c>
      <c r="N35" s="35">
        <v>1</v>
      </c>
      <c r="O35" s="35">
        <v>8</v>
      </c>
      <c r="P35" s="50">
        <v>6135</v>
      </c>
    </row>
    <row r="36" spans="1:16" ht="15.6" thickTop="1" thickBot="1" x14ac:dyDescent="0.35">
      <c r="A36" s="34">
        <v>31</v>
      </c>
      <c r="B36" s="35">
        <v>4941</v>
      </c>
      <c r="C36" s="35">
        <v>0</v>
      </c>
      <c r="D36" s="35">
        <v>955</v>
      </c>
      <c r="E36" s="35">
        <v>135</v>
      </c>
      <c r="F36" s="35">
        <v>133</v>
      </c>
      <c r="G36" s="35">
        <v>236</v>
      </c>
      <c r="H36" s="35">
        <v>6400</v>
      </c>
      <c r="I36" s="35">
        <v>0</v>
      </c>
      <c r="J36" s="37"/>
      <c r="K36" s="34">
        <v>31</v>
      </c>
      <c r="L36" s="35">
        <v>2</v>
      </c>
      <c r="M36" s="35">
        <v>5</v>
      </c>
      <c r="N36" s="35">
        <v>1</v>
      </c>
      <c r="O36" s="35">
        <v>8</v>
      </c>
      <c r="P36" s="50">
        <v>6135</v>
      </c>
    </row>
    <row r="37" spans="1:16" ht="15" thickTop="1" x14ac:dyDescent="0.3">
      <c r="A37" s="60" t="s">
        <v>19</v>
      </c>
      <c r="B37" s="61">
        <v>130993</v>
      </c>
      <c r="C37" s="61">
        <v>0</v>
      </c>
      <c r="D37" s="61">
        <v>35026</v>
      </c>
      <c r="E37" s="61">
        <v>4864</v>
      </c>
      <c r="F37" s="61">
        <v>6180</v>
      </c>
      <c r="G37" s="61">
        <v>8547</v>
      </c>
      <c r="H37" s="61">
        <v>185610</v>
      </c>
      <c r="I37" s="61">
        <v>0</v>
      </c>
      <c r="J37" s="61"/>
      <c r="K37" s="61"/>
      <c r="L37" s="61">
        <v>105</v>
      </c>
      <c r="M37" s="61">
        <v>361</v>
      </c>
      <c r="N37" s="61">
        <v>75</v>
      </c>
      <c r="O37" s="78">
        <v>541</v>
      </c>
      <c r="P37" s="62"/>
    </row>
    <row r="38" spans="1:16" x14ac:dyDescent="0.3">
      <c r="A38" s="60" t="s">
        <v>19</v>
      </c>
      <c r="B38" s="92">
        <v>130993</v>
      </c>
      <c r="C38" s="92"/>
      <c r="D38" s="61">
        <v>35026</v>
      </c>
      <c r="E38" s="61">
        <v>4864</v>
      </c>
      <c r="F38" s="61">
        <v>6180</v>
      </c>
      <c r="G38" s="61">
        <v>8547</v>
      </c>
      <c r="H38" s="78">
        <v>185610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FD9A-E1BA-41DB-A156-E6F0B6E9F670}">
  <dimension ref="A1:Z46"/>
  <sheetViews>
    <sheetView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25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2512</v>
      </c>
      <c r="C6" s="35">
        <v>0</v>
      </c>
      <c r="D6" s="35">
        <v>1145</v>
      </c>
      <c r="E6" s="35">
        <v>195</v>
      </c>
      <c r="F6" s="35">
        <v>217</v>
      </c>
      <c r="G6" s="35">
        <v>297</v>
      </c>
      <c r="H6" s="35">
        <v>4366</v>
      </c>
      <c r="I6" s="35">
        <v>0</v>
      </c>
      <c r="J6" s="36"/>
      <c r="K6" s="34">
        <v>1</v>
      </c>
      <c r="L6" s="58">
        <v>7</v>
      </c>
      <c r="M6" s="58">
        <v>6</v>
      </c>
      <c r="N6" s="58">
        <v>0</v>
      </c>
      <c r="O6" s="35">
        <v>13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2437</v>
      </c>
      <c r="C7" s="35">
        <v>0</v>
      </c>
      <c r="D7" s="35">
        <v>1282</v>
      </c>
      <c r="E7" s="35">
        <v>155</v>
      </c>
      <c r="F7" s="35">
        <v>194</v>
      </c>
      <c r="G7" s="35">
        <v>270</v>
      </c>
      <c r="H7" s="35">
        <v>4338</v>
      </c>
      <c r="I7" s="35">
        <v>0</v>
      </c>
      <c r="J7" s="36"/>
      <c r="K7" s="34">
        <v>2</v>
      </c>
      <c r="L7" s="58">
        <v>2</v>
      </c>
      <c r="M7" s="58">
        <v>10</v>
      </c>
      <c r="N7" s="58">
        <v>2</v>
      </c>
      <c r="O7" s="35">
        <v>14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2712</v>
      </c>
      <c r="C8" s="35">
        <v>0</v>
      </c>
      <c r="D8" s="35">
        <v>1319</v>
      </c>
      <c r="E8" s="35">
        <v>176</v>
      </c>
      <c r="F8" s="35">
        <v>256</v>
      </c>
      <c r="G8" s="35">
        <v>343</v>
      </c>
      <c r="H8" s="35">
        <v>4806</v>
      </c>
      <c r="I8" s="35">
        <v>0</v>
      </c>
      <c r="J8" s="36"/>
      <c r="K8" s="34">
        <v>3</v>
      </c>
      <c r="L8" s="58">
        <v>6</v>
      </c>
      <c r="M8" s="58">
        <v>14</v>
      </c>
      <c r="N8" s="58">
        <v>3</v>
      </c>
      <c r="O8" s="35">
        <v>23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3055</v>
      </c>
      <c r="C9" s="35">
        <v>0</v>
      </c>
      <c r="D9" s="35">
        <v>1421</v>
      </c>
      <c r="E9" s="35">
        <v>210</v>
      </c>
      <c r="F9" s="35">
        <v>229</v>
      </c>
      <c r="G9" s="35">
        <v>329</v>
      </c>
      <c r="H9" s="35">
        <v>5244</v>
      </c>
      <c r="I9" s="35">
        <v>0</v>
      </c>
      <c r="J9" s="36"/>
      <c r="K9" s="34">
        <v>4</v>
      </c>
      <c r="L9" s="58">
        <v>3</v>
      </c>
      <c r="M9" s="58">
        <v>17</v>
      </c>
      <c r="N9" s="58">
        <v>10</v>
      </c>
      <c r="O9" s="35">
        <v>30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3848</v>
      </c>
      <c r="C10" s="35">
        <v>0</v>
      </c>
      <c r="D10" s="35">
        <v>1286</v>
      </c>
      <c r="E10" s="35">
        <v>171</v>
      </c>
      <c r="F10" s="35">
        <v>227</v>
      </c>
      <c r="G10" s="35">
        <v>285</v>
      </c>
      <c r="H10" s="35">
        <v>5817</v>
      </c>
      <c r="I10" s="35">
        <v>0</v>
      </c>
      <c r="J10" s="36"/>
      <c r="K10" s="34">
        <v>5</v>
      </c>
      <c r="L10" s="58">
        <v>2</v>
      </c>
      <c r="M10" s="58">
        <v>16</v>
      </c>
      <c r="N10" s="58">
        <v>5</v>
      </c>
      <c r="O10" s="35">
        <v>23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3920</v>
      </c>
      <c r="C11" s="35">
        <v>0</v>
      </c>
      <c r="D11" s="35">
        <v>1010</v>
      </c>
      <c r="E11" s="35">
        <v>108</v>
      </c>
      <c r="F11" s="35">
        <v>180</v>
      </c>
      <c r="G11" s="35">
        <v>240</v>
      </c>
      <c r="H11" s="35">
        <v>5458</v>
      </c>
      <c r="I11" s="35">
        <v>0</v>
      </c>
      <c r="J11" s="36"/>
      <c r="K11" s="34">
        <v>6</v>
      </c>
      <c r="L11" s="58">
        <v>4</v>
      </c>
      <c r="M11" s="58">
        <v>7</v>
      </c>
      <c r="N11" s="58">
        <v>2</v>
      </c>
      <c r="O11" s="35">
        <v>13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5063</v>
      </c>
      <c r="C12" s="35">
        <v>0</v>
      </c>
      <c r="D12" s="35">
        <v>964</v>
      </c>
      <c r="E12" s="35">
        <v>131</v>
      </c>
      <c r="F12" s="35">
        <v>90</v>
      </c>
      <c r="G12" s="35">
        <v>222</v>
      </c>
      <c r="H12" s="35">
        <v>6470</v>
      </c>
      <c r="I12" s="35">
        <v>0</v>
      </c>
      <c r="J12" s="37"/>
      <c r="K12" s="34">
        <v>7</v>
      </c>
      <c r="L12" s="58">
        <v>2</v>
      </c>
      <c r="M12" s="58">
        <v>6</v>
      </c>
      <c r="N12" s="58">
        <v>3</v>
      </c>
      <c r="O12" s="35">
        <v>11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2756</v>
      </c>
      <c r="C13" s="35">
        <v>0</v>
      </c>
      <c r="D13" s="35">
        <v>1114</v>
      </c>
      <c r="E13" s="35">
        <v>173</v>
      </c>
      <c r="F13" s="35">
        <v>186</v>
      </c>
      <c r="G13" s="35">
        <v>284</v>
      </c>
      <c r="H13" s="35">
        <v>4513</v>
      </c>
      <c r="I13" s="35">
        <v>0</v>
      </c>
      <c r="J13" s="37"/>
      <c r="K13" s="34">
        <v>8</v>
      </c>
      <c r="L13" s="58">
        <v>0</v>
      </c>
      <c r="M13" s="58">
        <v>5</v>
      </c>
      <c r="N13" s="58">
        <v>1</v>
      </c>
      <c r="O13" s="35">
        <v>6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2614</v>
      </c>
      <c r="C14" s="35">
        <v>0</v>
      </c>
      <c r="D14" s="35">
        <v>1263</v>
      </c>
      <c r="E14" s="35">
        <v>180</v>
      </c>
      <c r="F14" s="35">
        <v>204</v>
      </c>
      <c r="G14" s="35">
        <v>329</v>
      </c>
      <c r="H14" s="35">
        <v>4590</v>
      </c>
      <c r="I14" s="35">
        <v>0</v>
      </c>
      <c r="J14" s="37"/>
      <c r="K14" s="34">
        <v>9</v>
      </c>
      <c r="L14" s="58">
        <v>0</v>
      </c>
      <c r="M14" s="58">
        <v>11</v>
      </c>
      <c r="N14" s="58">
        <v>4</v>
      </c>
      <c r="O14" s="35">
        <v>15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2927</v>
      </c>
      <c r="C15" s="35">
        <v>0</v>
      </c>
      <c r="D15" s="35">
        <v>1339</v>
      </c>
      <c r="E15" s="35">
        <v>214</v>
      </c>
      <c r="F15" s="35">
        <v>231</v>
      </c>
      <c r="G15" s="35">
        <v>347</v>
      </c>
      <c r="H15" s="35">
        <v>5058</v>
      </c>
      <c r="I15" s="35">
        <v>0</v>
      </c>
      <c r="J15" s="37"/>
      <c r="K15" s="34">
        <v>10</v>
      </c>
      <c r="L15" s="58">
        <v>3</v>
      </c>
      <c r="M15" s="58">
        <v>10</v>
      </c>
      <c r="N15" s="58">
        <v>6</v>
      </c>
      <c r="O15" s="35">
        <v>19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3434</v>
      </c>
      <c r="C16" s="35">
        <v>0</v>
      </c>
      <c r="D16" s="35">
        <v>1432</v>
      </c>
      <c r="E16" s="35">
        <v>195</v>
      </c>
      <c r="F16" s="35">
        <v>230</v>
      </c>
      <c r="G16" s="35">
        <v>371</v>
      </c>
      <c r="H16" s="35">
        <v>5662</v>
      </c>
      <c r="I16" s="35">
        <v>0</v>
      </c>
      <c r="J16" s="37"/>
      <c r="K16" s="34">
        <v>11</v>
      </c>
      <c r="L16" s="58">
        <v>4</v>
      </c>
      <c r="M16" s="58">
        <v>11</v>
      </c>
      <c r="N16" s="58">
        <v>3</v>
      </c>
      <c r="O16" s="35">
        <v>18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7091</v>
      </c>
      <c r="C17" s="35">
        <v>0</v>
      </c>
      <c r="D17" s="35">
        <v>1471</v>
      </c>
      <c r="E17" s="35">
        <v>198</v>
      </c>
      <c r="F17" s="35">
        <v>233</v>
      </c>
      <c r="G17" s="35">
        <v>361</v>
      </c>
      <c r="H17" s="35">
        <v>9354</v>
      </c>
      <c r="I17" s="35">
        <v>0</v>
      </c>
      <c r="J17" s="37"/>
      <c r="K17" s="34">
        <v>12</v>
      </c>
      <c r="L17" s="58">
        <v>1</v>
      </c>
      <c r="M17" s="58">
        <v>15</v>
      </c>
      <c r="N17" s="58">
        <v>7</v>
      </c>
      <c r="O17" s="35">
        <v>23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8437</v>
      </c>
      <c r="C18" s="35">
        <v>0</v>
      </c>
      <c r="D18" s="35">
        <v>1157</v>
      </c>
      <c r="E18" s="35">
        <v>96</v>
      </c>
      <c r="F18" s="35">
        <v>178</v>
      </c>
      <c r="G18" s="35">
        <v>209</v>
      </c>
      <c r="H18" s="35">
        <v>10077</v>
      </c>
      <c r="I18" s="35">
        <v>0</v>
      </c>
      <c r="J18" s="37"/>
      <c r="K18" s="34">
        <v>13</v>
      </c>
      <c r="L18" s="58">
        <v>1</v>
      </c>
      <c r="M18" s="58">
        <v>14</v>
      </c>
      <c r="N18" s="58">
        <v>0</v>
      </c>
      <c r="O18" s="35">
        <v>15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7248</v>
      </c>
      <c r="C19" s="35">
        <v>0</v>
      </c>
      <c r="D19" s="35">
        <v>966</v>
      </c>
      <c r="E19" s="35">
        <v>114</v>
      </c>
      <c r="F19" s="35">
        <v>105</v>
      </c>
      <c r="G19" s="35">
        <v>219</v>
      </c>
      <c r="H19" s="35">
        <v>8652</v>
      </c>
      <c r="I19" s="35">
        <v>0</v>
      </c>
      <c r="J19" s="37"/>
      <c r="K19" s="34">
        <v>14</v>
      </c>
      <c r="L19" s="58">
        <v>8</v>
      </c>
      <c r="M19" s="58">
        <v>0</v>
      </c>
      <c r="N19" s="58">
        <v>2</v>
      </c>
      <c r="O19" s="35">
        <v>10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5458</v>
      </c>
      <c r="C20" s="35">
        <v>0</v>
      </c>
      <c r="D20" s="35">
        <v>1296</v>
      </c>
      <c r="E20" s="35">
        <v>226</v>
      </c>
      <c r="F20" s="35">
        <v>243</v>
      </c>
      <c r="G20" s="35">
        <v>325</v>
      </c>
      <c r="H20" s="35">
        <v>7548</v>
      </c>
      <c r="I20" s="35">
        <v>0</v>
      </c>
      <c r="J20" s="37"/>
      <c r="K20" s="34">
        <v>15</v>
      </c>
      <c r="L20" s="58">
        <v>2</v>
      </c>
      <c r="M20" s="58">
        <v>9</v>
      </c>
      <c r="N20" s="58">
        <v>4</v>
      </c>
      <c r="O20" s="35">
        <v>15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7152</v>
      </c>
      <c r="C21" s="35">
        <v>0</v>
      </c>
      <c r="D21" s="35">
        <v>1390</v>
      </c>
      <c r="E21" s="35">
        <v>135</v>
      </c>
      <c r="F21" s="35">
        <v>228</v>
      </c>
      <c r="G21" s="35">
        <v>312</v>
      </c>
      <c r="H21" s="35">
        <v>9217</v>
      </c>
      <c r="I21" s="35">
        <v>0</v>
      </c>
      <c r="J21" s="37"/>
      <c r="K21" s="34">
        <v>16</v>
      </c>
      <c r="L21" s="58">
        <v>3</v>
      </c>
      <c r="M21" s="58">
        <v>13</v>
      </c>
      <c r="N21" s="58">
        <v>9</v>
      </c>
      <c r="O21" s="35">
        <v>25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13732</v>
      </c>
      <c r="C22" s="35">
        <v>0</v>
      </c>
      <c r="D22" s="35">
        <v>1081</v>
      </c>
      <c r="E22" s="35">
        <v>75</v>
      </c>
      <c r="F22" s="35">
        <v>156</v>
      </c>
      <c r="G22" s="35">
        <v>127</v>
      </c>
      <c r="H22" s="35">
        <v>15171</v>
      </c>
      <c r="I22" s="35">
        <v>0</v>
      </c>
      <c r="J22" s="37"/>
      <c r="K22" s="34">
        <v>17</v>
      </c>
      <c r="L22" s="58">
        <v>0</v>
      </c>
      <c r="M22" s="58">
        <v>0</v>
      </c>
      <c r="N22" s="58">
        <v>1</v>
      </c>
      <c r="O22" s="35">
        <v>1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9180</v>
      </c>
      <c r="C23" s="35">
        <v>0</v>
      </c>
      <c r="D23" s="35">
        <v>750</v>
      </c>
      <c r="E23" s="35">
        <v>58</v>
      </c>
      <c r="F23" s="35">
        <v>118</v>
      </c>
      <c r="G23" s="35">
        <v>95</v>
      </c>
      <c r="H23" s="35">
        <v>10201</v>
      </c>
      <c r="I23" s="35">
        <v>0</v>
      </c>
      <c r="J23" s="37"/>
      <c r="K23" s="34">
        <v>18</v>
      </c>
      <c r="L23" s="58">
        <v>0</v>
      </c>
      <c r="M23" s="58">
        <v>8</v>
      </c>
      <c r="N23" s="58">
        <v>2</v>
      </c>
      <c r="O23" s="35">
        <v>10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5680</v>
      </c>
      <c r="C24" s="35">
        <v>0</v>
      </c>
      <c r="D24" s="35">
        <v>566</v>
      </c>
      <c r="E24" s="35">
        <v>63</v>
      </c>
      <c r="F24" s="35">
        <v>107</v>
      </c>
      <c r="G24" s="35">
        <v>99</v>
      </c>
      <c r="H24" s="35">
        <v>6515</v>
      </c>
      <c r="I24" s="35">
        <v>0</v>
      </c>
      <c r="J24" s="37"/>
      <c r="K24" s="34">
        <v>19</v>
      </c>
      <c r="L24" s="58">
        <v>1</v>
      </c>
      <c r="M24" s="58">
        <v>12</v>
      </c>
      <c r="N24" s="58">
        <v>0</v>
      </c>
      <c r="O24" s="35">
        <v>13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13472</v>
      </c>
      <c r="C25" s="35">
        <v>0</v>
      </c>
      <c r="D25" s="35">
        <v>805</v>
      </c>
      <c r="E25" s="35">
        <v>70</v>
      </c>
      <c r="F25" s="35">
        <v>95</v>
      </c>
      <c r="G25" s="35">
        <v>124</v>
      </c>
      <c r="H25" s="35">
        <v>14566</v>
      </c>
      <c r="I25" s="35">
        <v>0</v>
      </c>
      <c r="J25" s="37"/>
      <c r="K25" s="34">
        <v>20</v>
      </c>
      <c r="L25" s="58">
        <v>1</v>
      </c>
      <c r="M25" s="58">
        <v>8</v>
      </c>
      <c r="N25" s="58">
        <v>0</v>
      </c>
      <c r="O25" s="35">
        <v>9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18422</v>
      </c>
      <c r="C26" s="35">
        <v>0</v>
      </c>
      <c r="D26" s="35">
        <v>888</v>
      </c>
      <c r="E26" s="35">
        <v>45</v>
      </c>
      <c r="F26" s="35">
        <v>59</v>
      </c>
      <c r="G26" s="35">
        <v>78</v>
      </c>
      <c r="H26" s="35">
        <v>19492</v>
      </c>
      <c r="I26" s="35">
        <v>0</v>
      </c>
      <c r="J26" s="37"/>
      <c r="K26" s="34">
        <v>21</v>
      </c>
      <c r="L26" s="58">
        <v>1</v>
      </c>
      <c r="M26" s="58">
        <v>5</v>
      </c>
      <c r="N26" s="58">
        <v>0</v>
      </c>
      <c r="O26" s="35">
        <v>6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5034</v>
      </c>
      <c r="C27" s="35">
        <v>0</v>
      </c>
      <c r="D27" s="35">
        <v>1250</v>
      </c>
      <c r="E27" s="35">
        <v>163</v>
      </c>
      <c r="F27" s="35">
        <v>214</v>
      </c>
      <c r="G27" s="35">
        <v>331</v>
      </c>
      <c r="H27" s="35">
        <v>6992</v>
      </c>
      <c r="I27" s="35">
        <v>0</v>
      </c>
      <c r="J27" s="37"/>
      <c r="K27" s="34">
        <v>22</v>
      </c>
      <c r="L27" s="58">
        <v>6</v>
      </c>
      <c r="M27" s="58">
        <v>13</v>
      </c>
      <c r="N27" s="58">
        <v>0</v>
      </c>
      <c r="O27" s="35">
        <v>19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3129</v>
      </c>
      <c r="C28" s="35">
        <v>0</v>
      </c>
      <c r="D28" s="35">
        <v>1306</v>
      </c>
      <c r="E28" s="35">
        <v>169</v>
      </c>
      <c r="F28" s="35">
        <v>196</v>
      </c>
      <c r="G28" s="35">
        <v>321</v>
      </c>
      <c r="H28" s="35">
        <v>5121</v>
      </c>
      <c r="I28" s="35">
        <v>0</v>
      </c>
      <c r="J28" s="37"/>
      <c r="K28" s="34">
        <v>23</v>
      </c>
      <c r="L28" s="58">
        <v>2</v>
      </c>
      <c r="M28" s="58">
        <v>11</v>
      </c>
      <c r="N28" s="58">
        <v>8</v>
      </c>
      <c r="O28" s="35">
        <v>21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2950</v>
      </c>
      <c r="C29" s="35">
        <v>0</v>
      </c>
      <c r="D29" s="35">
        <v>1374</v>
      </c>
      <c r="E29" s="35">
        <v>232</v>
      </c>
      <c r="F29" s="35">
        <v>222</v>
      </c>
      <c r="G29" s="35">
        <v>334</v>
      </c>
      <c r="H29" s="35">
        <v>5112</v>
      </c>
      <c r="I29" s="35">
        <v>0</v>
      </c>
      <c r="J29" s="37"/>
      <c r="K29" s="34">
        <v>24</v>
      </c>
      <c r="L29" s="58">
        <v>1</v>
      </c>
      <c r="M29" s="58">
        <v>10</v>
      </c>
      <c r="N29" s="58">
        <v>5</v>
      </c>
      <c r="O29" s="35">
        <v>16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2967</v>
      </c>
      <c r="C30" s="35">
        <v>0</v>
      </c>
      <c r="D30" s="35">
        <v>1325</v>
      </c>
      <c r="E30" s="35">
        <v>178</v>
      </c>
      <c r="F30" s="35">
        <v>225</v>
      </c>
      <c r="G30" s="35">
        <v>405</v>
      </c>
      <c r="H30" s="35">
        <v>5100</v>
      </c>
      <c r="I30" s="35">
        <v>0</v>
      </c>
      <c r="J30" s="37"/>
      <c r="K30" s="34">
        <v>25</v>
      </c>
      <c r="L30" s="58">
        <v>3</v>
      </c>
      <c r="M30" s="58">
        <v>8</v>
      </c>
      <c r="N30" s="58">
        <v>3</v>
      </c>
      <c r="O30" s="35">
        <v>14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3744</v>
      </c>
      <c r="C31" s="35">
        <v>0</v>
      </c>
      <c r="D31" s="35">
        <v>1348</v>
      </c>
      <c r="E31" s="35">
        <v>143</v>
      </c>
      <c r="F31" s="35">
        <v>218</v>
      </c>
      <c r="G31" s="35">
        <v>344</v>
      </c>
      <c r="H31" s="35">
        <v>5797</v>
      </c>
      <c r="I31" s="35">
        <v>0</v>
      </c>
      <c r="J31" s="37"/>
      <c r="K31" s="34">
        <v>26</v>
      </c>
      <c r="L31" s="58">
        <v>2</v>
      </c>
      <c r="M31" s="58">
        <v>18</v>
      </c>
      <c r="N31" s="58">
        <v>5</v>
      </c>
      <c r="O31" s="35">
        <v>25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3629</v>
      </c>
      <c r="C32" s="35">
        <v>0</v>
      </c>
      <c r="D32" s="35">
        <v>1058</v>
      </c>
      <c r="E32" s="35">
        <v>136</v>
      </c>
      <c r="F32" s="35">
        <v>207</v>
      </c>
      <c r="G32" s="35">
        <v>253</v>
      </c>
      <c r="H32" s="35">
        <v>5283</v>
      </c>
      <c r="I32" s="35">
        <v>0</v>
      </c>
      <c r="J32" s="37"/>
      <c r="K32" s="34">
        <v>27</v>
      </c>
      <c r="L32" s="58">
        <v>1</v>
      </c>
      <c r="M32" s="58">
        <v>12</v>
      </c>
      <c r="N32" s="58">
        <v>3</v>
      </c>
      <c r="O32" s="35">
        <v>16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4528</v>
      </c>
      <c r="C33" s="35">
        <v>0</v>
      </c>
      <c r="D33" s="35">
        <v>994</v>
      </c>
      <c r="E33" s="35">
        <v>136</v>
      </c>
      <c r="F33" s="35">
        <v>132</v>
      </c>
      <c r="G33" s="35">
        <v>285</v>
      </c>
      <c r="H33" s="35">
        <v>6075</v>
      </c>
      <c r="I33" s="35">
        <v>0</v>
      </c>
      <c r="J33" s="37"/>
      <c r="K33" s="34">
        <v>28</v>
      </c>
      <c r="L33" s="58">
        <v>2</v>
      </c>
      <c r="M33" s="58">
        <v>5</v>
      </c>
      <c r="N33" s="58">
        <v>1</v>
      </c>
      <c r="O33" s="35">
        <v>8</v>
      </c>
      <c r="P33" s="50">
        <v>6135</v>
      </c>
    </row>
    <row r="34" spans="1:16" ht="15.6" thickTop="1" thickBot="1" x14ac:dyDescent="0.35">
      <c r="A34" s="34">
        <v>29</v>
      </c>
      <c r="B34" s="35">
        <v>2729</v>
      </c>
      <c r="C34" s="35">
        <v>0</v>
      </c>
      <c r="D34" s="35">
        <v>1234</v>
      </c>
      <c r="E34" s="35">
        <v>202</v>
      </c>
      <c r="F34" s="35">
        <v>185</v>
      </c>
      <c r="G34" s="35">
        <v>276</v>
      </c>
      <c r="H34" s="35">
        <v>4626</v>
      </c>
      <c r="I34" s="35">
        <v>0</v>
      </c>
      <c r="J34" s="37"/>
      <c r="K34" s="34">
        <v>29</v>
      </c>
      <c r="L34" s="35">
        <v>0</v>
      </c>
      <c r="M34" s="35">
        <v>17</v>
      </c>
      <c r="N34" s="35">
        <v>5</v>
      </c>
      <c r="O34" s="35">
        <v>22</v>
      </c>
      <c r="P34" s="50">
        <v>6135</v>
      </c>
    </row>
    <row r="35" spans="1:16" ht="15.6" thickTop="1" thickBot="1" x14ac:dyDescent="0.35">
      <c r="A35" s="34">
        <v>30</v>
      </c>
      <c r="B35" s="35">
        <v>2984</v>
      </c>
      <c r="C35" s="35">
        <v>0</v>
      </c>
      <c r="D35" s="35">
        <v>1126</v>
      </c>
      <c r="E35" s="35">
        <v>141</v>
      </c>
      <c r="F35" s="35">
        <v>186</v>
      </c>
      <c r="G35" s="35">
        <v>300</v>
      </c>
      <c r="H35" s="35">
        <v>4737</v>
      </c>
      <c r="I35" s="35">
        <v>0</v>
      </c>
      <c r="J35" s="37"/>
      <c r="K35" s="34">
        <v>30</v>
      </c>
      <c r="L35" s="35">
        <v>2</v>
      </c>
      <c r="M35" s="35">
        <v>8</v>
      </c>
      <c r="N35" s="35">
        <v>4</v>
      </c>
      <c r="O35" s="35">
        <v>14</v>
      </c>
      <c r="P35" s="50">
        <v>6135</v>
      </c>
    </row>
    <row r="36" spans="1:16" ht="15.6" thickTop="1" thickBot="1" x14ac:dyDescent="0.35">
      <c r="A36" s="34">
        <v>31</v>
      </c>
      <c r="B36" s="35"/>
      <c r="C36" s="35"/>
      <c r="D36" s="35"/>
      <c r="E36" s="35"/>
      <c r="F36" s="35"/>
      <c r="G36" s="35"/>
      <c r="H36" s="35">
        <v>0</v>
      </c>
      <c r="I36" s="35">
        <v>0</v>
      </c>
      <c r="J36" s="37"/>
      <c r="K36" s="34">
        <v>31</v>
      </c>
      <c r="L36" s="35"/>
      <c r="M36" s="35"/>
      <c r="N36" s="35"/>
      <c r="O36" s="35">
        <v>0</v>
      </c>
      <c r="P36" s="50">
        <v>6135</v>
      </c>
    </row>
    <row r="37" spans="1:16" ht="15" thickTop="1" x14ac:dyDescent="0.3">
      <c r="A37" s="60" t="s">
        <v>19</v>
      </c>
      <c r="B37" s="61">
        <v>162844</v>
      </c>
      <c r="C37" s="61">
        <v>0</v>
      </c>
      <c r="D37" s="61">
        <v>34960</v>
      </c>
      <c r="E37" s="61">
        <v>4488</v>
      </c>
      <c r="F37" s="61">
        <v>5551</v>
      </c>
      <c r="G37" s="61">
        <v>8115</v>
      </c>
      <c r="H37" s="61">
        <v>215958</v>
      </c>
      <c r="I37" s="61">
        <v>0</v>
      </c>
      <c r="J37" s="61"/>
      <c r="K37" s="61"/>
      <c r="L37" s="61">
        <v>70</v>
      </c>
      <c r="M37" s="61">
        <v>299</v>
      </c>
      <c r="N37" s="61">
        <v>98</v>
      </c>
      <c r="O37" s="78">
        <v>467</v>
      </c>
      <c r="P37" s="62"/>
    </row>
    <row r="38" spans="1:16" x14ac:dyDescent="0.3">
      <c r="A38" s="60" t="s">
        <v>19</v>
      </c>
      <c r="B38" s="92">
        <v>162844</v>
      </c>
      <c r="C38" s="92"/>
      <c r="D38" s="61">
        <v>34960</v>
      </c>
      <c r="E38" s="61">
        <v>4488</v>
      </c>
      <c r="F38" s="61">
        <v>5551</v>
      </c>
      <c r="G38" s="61">
        <v>8115</v>
      </c>
      <c r="H38" s="78">
        <v>215958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0C4-7D5C-4C91-9F5A-35B36BFA4A9C}">
  <dimension ref="A1:Z46"/>
  <sheetViews>
    <sheetView topLeftCell="A23" workbookViewId="0">
      <selection activeCell="A3" sqref="A3:I3"/>
    </sheetView>
  </sheetViews>
  <sheetFormatPr baseColWidth="10" defaultColWidth="11.44140625" defaultRowHeight="13.8" x14ac:dyDescent="0.3"/>
  <cols>
    <col min="1" max="9" width="12.6640625" style="7" customWidth="1"/>
    <col min="10" max="10" width="4.6640625" style="7" customWidth="1"/>
    <col min="11" max="11" width="12.5546875" style="24" customWidth="1"/>
    <col min="12" max="15" width="12.5546875" style="7" customWidth="1"/>
    <col min="16" max="16" width="0" style="7" hidden="1" customWidth="1"/>
    <col min="17" max="16384" width="11.44140625" style="7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s="1" customFormat="1" ht="15.6" x14ac:dyDescent="0.3">
      <c r="A3" s="98" t="s">
        <v>26</v>
      </c>
      <c r="B3" s="98"/>
      <c r="C3" s="98"/>
      <c r="D3" s="98"/>
      <c r="E3" s="98"/>
      <c r="F3" s="98"/>
      <c r="G3" s="98"/>
      <c r="H3" s="98"/>
      <c r="I3" s="98"/>
      <c r="J3" s="2"/>
      <c r="K3" s="2"/>
      <c r="L3" s="2"/>
      <c r="M3" s="2"/>
      <c r="N3" s="2"/>
      <c r="O3" s="2"/>
    </row>
    <row r="4" spans="1:19" ht="78" customHeight="1" x14ac:dyDescent="0.3">
      <c r="A4" s="3" t="s">
        <v>1</v>
      </c>
      <c r="B4" s="4" t="s">
        <v>2</v>
      </c>
      <c r="C4" s="4"/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/>
      <c r="K4" s="6" t="s">
        <v>1</v>
      </c>
      <c r="L4" s="4" t="s">
        <v>9</v>
      </c>
      <c r="M4" s="4" t="s">
        <v>10</v>
      </c>
      <c r="N4" s="4" t="s">
        <v>11</v>
      </c>
      <c r="O4" s="4" t="s">
        <v>12</v>
      </c>
    </row>
    <row r="5" spans="1:19" ht="18" customHeight="1" x14ac:dyDescent="0.3">
      <c r="A5" s="8"/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4"/>
      <c r="I5" s="4"/>
      <c r="J5" s="5"/>
      <c r="K5" s="6"/>
      <c r="L5" s="4"/>
      <c r="M5" s="4"/>
      <c r="N5" s="4"/>
      <c r="O5" s="4"/>
    </row>
    <row r="6" spans="1:19" ht="18" customHeight="1" thickBot="1" x14ac:dyDescent="0.35">
      <c r="A6" s="9">
        <v>1</v>
      </c>
      <c r="B6" s="10">
        <v>3832</v>
      </c>
      <c r="C6" s="10">
        <v>0</v>
      </c>
      <c r="D6" s="10">
        <v>971</v>
      </c>
      <c r="E6" s="10">
        <v>143</v>
      </c>
      <c r="F6" s="10">
        <v>149</v>
      </c>
      <c r="G6" s="10">
        <v>315</v>
      </c>
      <c r="H6" s="10">
        <f>SUM(B6:G6)</f>
        <v>5410</v>
      </c>
      <c r="I6" s="10">
        <v>0</v>
      </c>
      <c r="J6" s="11"/>
      <c r="K6" s="9">
        <v>1</v>
      </c>
      <c r="L6" s="12">
        <v>3</v>
      </c>
      <c r="M6" s="12">
        <v>6</v>
      </c>
      <c r="N6" s="12">
        <v>2</v>
      </c>
      <c r="O6" s="10">
        <f>SUM(L6:N6)</f>
        <v>11</v>
      </c>
      <c r="P6" s="13">
        <v>6135</v>
      </c>
    </row>
    <row r="7" spans="1:19" ht="18" customHeight="1" thickTop="1" thickBot="1" x14ac:dyDescent="0.35">
      <c r="A7" s="9">
        <v>2</v>
      </c>
      <c r="B7" s="10">
        <v>2678</v>
      </c>
      <c r="C7" s="10">
        <v>0</v>
      </c>
      <c r="D7" s="10">
        <v>1255</v>
      </c>
      <c r="E7" s="10">
        <v>181</v>
      </c>
      <c r="F7" s="10">
        <v>178</v>
      </c>
      <c r="G7" s="10">
        <v>293</v>
      </c>
      <c r="H7" s="10">
        <f>SUM(B7:G7)</f>
        <v>4585</v>
      </c>
      <c r="I7" s="10">
        <v>0</v>
      </c>
      <c r="J7" s="11"/>
      <c r="K7" s="9">
        <v>2</v>
      </c>
      <c r="L7" s="12">
        <v>3</v>
      </c>
      <c r="M7" s="12">
        <v>14</v>
      </c>
      <c r="N7" s="12">
        <v>3</v>
      </c>
      <c r="O7" s="10">
        <f t="shared" ref="O7:O36" si="0">SUM(L7:N7)</f>
        <v>20</v>
      </c>
      <c r="P7" s="13">
        <f>+P6</f>
        <v>6135</v>
      </c>
    </row>
    <row r="8" spans="1:19" ht="18" customHeight="1" thickTop="1" thickBot="1" x14ac:dyDescent="0.35">
      <c r="A8" s="9">
        <v>3</v>
      </c>
      <c r="B8" s="10">
        <v>3978</v>
      </c>
      <c r="C8" s="10">
        <v>0</v>
      </c>
      <c r="D8" s="10">
        <v>1221</v>
      </c>
      <c r="E8" s="10">
        <v>132</v>
      </c>
      <c r="F8" s="10">
        <v>193</v>
      </c>
      <c r="G8" s="10">
        <v>297</v>
      </c>
      <c r="H8" s="10">
        <f t="shared" ref="H8:H36" si="1">SUM(B8:G8)</f>
        <v>5821</v>
      </c>
      <c r="I8" s="10">
        <v>0</v>
      </c>
      <c r="J8" s="11"/>
      <c r="K8" s="9">
        <v>3</v>
      </c>
      <c r="L8" s="12">
        <v>2</v>
      </c>
      <c r="M8" s="12">
        <v>14</v>
      </c>
      <c r="N8" s="12">
        <v>8</v>
      </c>
      <c r="O8" s="10">
        <f t="shared" si="0"/>
        <v>24</v>
      </c>
      <c r="P8" s="13">
        <f t="shared" ref="P8:P36" si="2">+P7</f>
        <v>6135</v>
      </c>
      <c r="S8" s="14"/>
    </row>
    <row r="9" spans="1:19" ht="18" customHeight="1" thickTop="1" thickBot="1" x14ac:dyDescent="0.35">
      <c r="A9" s="9">
        <v>4</v>
      </c>
      <c r="B9" s="10">
        <v>4130</v>
      </c>
      <c r="C9" s="10">
        <v>0</v>
      </c>
      <c r="D9" s="10">
        <v>1457</v>
      </c>
      <c r="E9" s="10">
        <v>158</v>
      </c>
      <c r="F9" s="10">
        <v>219</v>
      </c>
      <c r="G9" s="10">
        <v>302</v>
      </c>
      <c r="H9" s="10">
        <f t="shared" si="1"/>
        <v>6266</v>
      </c>
      <c r="I9" s="10">
        <v>0</v>
      </c>
      <c r="J9" s="11"/>
      <c r="K9" s="9">
        <v>4</v>
      </c>
      <c r="L9" s="12">
        <v>23</v>
      </c>
      <c r="M9" s="12">
        <v>17</v>
      </c>
      <c r="N9" s="12">
        <v>1</v>
      </c>
      <c r="O9" s="10">
        <f t="shared" si="0"/>
        <v>41</v>
      </c>
      <c r="P9" s="13">
        <f t="shared" si="2"/>
        <v>6135</v>
      </c>
    </row>
    <row r="10" spans="1:19" ht="18" customHeight="1" thickTop="1" thickBot="1" x14ac:dyDescent="0.35">
      <c r="A10" s="9">
        <v>5</v>
      </c>
      <c r="B10" s="10">
        <v>5631</v>
      </c>
      <c r="C10" s="10">
        <v>0</v>
      </c>
      <c r="D10" s="10">
        <v>946</v>
      </c>
      <c r="E10" s="10">
        <v>140</v>
      </c>
      <c r="F10" s="10">
        <v>110</v>
      </c>
      <c r="G10" s="10">
        <v>253</v>
      </c>
      <c r="H10" s="10">
        <f t="shared" si="1"/>
        <v>7080</v>
      </c>
      <c r="I10" s="10">
        <v>0</v>
      </c>
      <c r="J10" s="11"/>
      <c r="K10" s="9">
        <v>5</v>
      </c>
      <c r="L10" s="12">
        <v>0</v>
      </c>
      <c r="M10" s="12">
        <v>2</v>
      </c>
      <c r="N10" s="12">
        <v>2</v>
      </c>
      <c r="O10" s="10">
        <f t="shared" si="0"/>
        <v>4</v>
      </c>
      <c r="P10" s="13">
        <f t="shared" si="2"/>
        <v>6135</v>
      </c>
    </row>
    <row r="11" spans="1:19" ht="18" customHeight="1" thickTop="1" thickBot="1" x14ac:dyDescent="0.35">
      <c r="A11" s="9">
        <v>6</v>
      </c>
      <c r="B11" s="10">
        <v>2764</v>
      </c>
      <c r="C11" s="10">
        <v>0</v>
      </c>
      <c r="D11" s="10">
        <v>1101</v>
      </c>
      <c r="E11" s="10">
        <v>185</v>
      </c>
      <c r="F11" s="10">
        <v>199</v>
      </c>
      <c r="G11" s="10">
        <v>291</v>
      </c>
      <c r="H11" s="10">
        <f t="shared" si="1"/>
        <v>4540</v>
      </c>
      <c r="I11" s="10">
        <v>0</v>
      </c>
      <c r="J11" s="11"/>
      <c r="K11" s="9">
        <v>6</v>
      </c>
      <c r="L11" s="12">
        <v>1</v>
      </c>
      <c r="M11" s="12">
        <v>12</v>
      </c>
      <c r="N11" s="12">
        <v>2</v>
      </c>
      <c r="O11" s="10">
        <f t="shared" si="0"/>
        <v>15</v>
      </c>
      <c r="P11" s="13">
        <f t="shared" si="2"/>
        <v>6135</v>
      </c>
    </row>
    <row r="12" spans="1:19" ht="18" customHeight="1" thickTop="1" thickBot="1" x14ac:dyDescent="0.35">
      <c r="A12" s="9">
        <v>7</v>
      </c>
      <c r="B12" s="10">
        <v>2455</v>
      </c>
      <c r="C12" s="10">
        <v>0</v>
      </c>
      <c r="D12" s="10">
        <v>1248</v>
      </c>
      <c r="E12" s="10">
        <v>165</v>
      </c>
      <c r="F12" s="10">
        <v>194</v>
      </c>
      <c r="G12" s="10">
        <v>322</v>
      </c>
      <c r="H12" s="10">
        <f t="shared" si="1"/>
        <v>4384</v>
      </c>
      <c r="I12" s="10">
        <v>0</v>
      </c>
      <c r="J12" s="15"/>
      <c r="K12" s="9">
        <v>7</v>
      </c>
      <c r="L12" s="12">
        <v>4</v>
      </c>
      <c r="M12" s="12">
        <v>12</v>
      </c>
      <c r="N12" s="12">
        <v>5</v>
      </c>
      <c r="O12" s="10">
        <f t="shared" si="0"/>
        <v>21</v>
      </c>
      <c r="P12" s="13">
        <f t="shared" si="2"/>
        <v>6135</v>
      </c>
    </row>
    <row r="13" spans="1:19" ht="18" customHeight="1" thickTop="1" thickBot="1" x14ac:dyDescent="0.35">
      <c r="A13" s="9">
        <v>8</v>
      </c>
      <c r="B13" s="10">
        <v>2713</v>
      </c>
      <c r="C13" s="10">
        <v>0</v>
      </c>
      <c r="D13" s="10">
        <v>1323</v>
      </c>
      <c r="E13" s="10">
        <v>208</v>
      </c>
      <c r="F13" s="10">
        <v>240</v>
      </c>
      <c r="G13" s="10">
        <v>353</v>
      </c>
      <c r="H13" s="10">
        <f t="shared" si="1"/>
        <v>4837</v>
      </c>
      <c r="I13" s="10">
        <v>0</v>
      </c>
      <c r="J13" s="15"/>
      <c r="K13" s="9">
        <v>8</v>
      </c>
      <c r="L13" s="12">
        <v>3</v>
      </c>
      <c r="M13" s="12">
        <v>15</v>
      </c>
      <c r="N13" s="12">
        <v>3</v>
      </c>
      <c r="O13" s="10">
        <f t="shared" si="0"/>
        <v>21</v>
      </c>
      <c r="P13" s="13">
        <f t="shared" si="2"/>
        <v>6135</v>
      </c>
    </row>
    <row r="14" spans="1:19" s="17" customFormat="1" ht="18" customHeight="1" thickTop="1" thickBot="1" x14ac:dyDescent="0.35">
      <c r="A14" s="9">
        <v>9</v>
      </c>
      <c r="B14" s="10">
        <v>2852</v>
      </c>
      <c r="C14" s="10">
        <v>0</v>
      </c>
      <c r="D14" s="10">
        <v>1308</v>
      </c>
      <c r="E14" s="10">
        <v>197</v>
      </c>
      <c r="F14" s="10">
        <v>231</v>
      </c>
      <c r="G14" s="10">
        <v>335</v>
      </c>
      <c r="H14" s="10">
        <f t="shared" si="1"/>
        <v>4923</v>
      </c>
      <c r="I14" s="10">
        <v>0</v>
      </c>
      <c r="J14" s="15"/>
      <c r="K14" s="9">
        <v>9</v>
      </c>
      <c r="L14" s="12">
        <v>3</v>
      </c>
      <c r="M14" s="12">
        <v>18</v>
      </c>
      <c r="N14" s="12">
        <v>7</v>
      </c>
      <c r="O14" s="10">
        <f t="shared" si="0"/>
        <v>28</v>
      </c>
      <c r="P14" s="16">
        <f t="shared" si="2"/>
        <v>6135</v>
      </c>
    </row>
    <row r="15" spans="1:19" ht="18" customHeight="1" thickTop="1" thickBot="1" x14ac:dyDescent="0.35">
      <c r="A15" s="9">
        <v>10</v>
      </c>
      <c r="B15" s="10">
        <v>4394</v>
      </c>
      <c r="C15" s="10">
        <v>0</v>
      </c>
      <c r="D15" s="10">
        <v>1273</v>
      </c>
      <c r="E15" s="10">
        <v>145</v>
      </c>
      <c r="F15" s="10">
        <v>199</v>
      </c>
      <c r="G15" s="10">
        <v>309</v>
      </c>
      <c r="H15" s="10">
        <f t="shared" si="1"/>
        <v>6320</v>
      </c>
      <c r="I15" s="10">
        <v>0</v>
      </c>
      <c r="J15" s="15"/>
      <c r="K15" s="9">
        <v>10</v>
      </c>
      <c r="L15" s="12">
        <v>8</v>
      </c>
      <c r="M15" s="12">
        <v>6</v>
      </c>
      <c r="N15" s="12">
        <v>6</v>
      </c>
      <c r="O15" s="10">
        <f t="shared" si="0"/>
        <v>20</v>
      </c>
      <c r="P15" s="13">
        <f t="shared" si="2"/>
        <v>6135</v>
      </c>
    </row>
    <row r="16" spans="1:19" ht="18" customHeight="1" thickTop="1" thickBot="1" x14ac:dyDescent="0.35">
      <c r="A16" s="9">
        <v>11</v>
      </c>
      <c r="B16" s="10">
        <v>4233</v>
      </c>
      <c r="C16" s="10">
        <v>0</v>
      </c>
      <c r="D16" s="10">
        <v>1009</v>
      </c>
      <c r="E16" s="10">
        <v>127</v>
      </c>
      <c r="F16" s="10">
        <v>185</v>
      </c>
      <c r="G16" s="10">
        <v>297</v>
      </c>
      <c r="H16" s="10">
        <f t="shared" si="1"/>
        <v>5851</v>
      </c>
      <c r="I16" s="10">
        <v>0</v>
      </c>
      <c r="J16" s="15"/>
      <c r="K16" s="9">
        <v>11</v>
      </c>
      <c r="L16" s="12">
        <v>4</v>
      </c>
      <c r="M16" s="12">
        <v>8</v>
      </c>
      <c r="N16" s="12">
        <v>3</v>
      </c>
      <c r="O16" s="10">
        <f t="shared" si="0"/>
        <v>15</v>
      </c>
      <c r="P16" s="13">
        <f t="shared" si="2"/>
        <v>6135</v>
      </c>
    </row>
    <row r="17" spans="1:26" ht="18" customHeight="1" thickTop="1" thickBot="1" x14ac:dyDescent="0.35">
      <c r="A17" s="9">
        <v>12</v>
      </c>
      <c r="B17" s="10">
        <v>6118</v>
      </c>
      <c r="C17" s="10">
        <v>0</v>
      </c>
      <c r="D17" s="10">
        <v>850</v>
      </c>
      <c r="E17" s="10">
        <v>122</v>
      </c>
      <c r="F17" s="10">
        <v>114</v>
      </c>
      <c r="G17" s="10">
        <v>217</v>
      </c>
      <c r="H17" s="10">
        <f t="shared" si="1"/>
        <v>7421</v>
      </c>
      <c r="I17" s="10">
        <v>0</v>
      </c>
      <c r="J17" s="15"/>
      <c r="K17" s="9">
        <v>12</v>
      </c>
      <c r="L17" s="12">
        <v>0</v>
      </c>
      <c r="M17" s="12">
        <v>4</v>
      </c>
      <c r="N17" s="12">
        <v>0</v>
      </c>
      <c r="O17" s="10">
        <f t="shared" si="0"/>
        <v>4</v>
      </c>
      <c r="P17" s="13">
        <f t="shared" si="2"/>
        <v>6135</v>
      </c>
    </row>
    <row r="18" spans="1:26" ht="18" customHeight="1" thickTop="1" thickBot="1" x14ac:dyDescent="0.35">
      <c r="A18" s="9">
        <v>13</v>
      </c>
      <c r="B18" s="10">
        <v>3016</v>
      </c>
      <c r="C18" s="10">
        <v>0</v>
      </c>
      <c r="D18" s="10">
        <v>1113</v>
      </c>
      <c r="E18" s="10">
        <v>160</v>
      </c>
      <c r="F18" s="10">
        <v>205</v>
      </c>
      <c r="G18" s="10">
        <v>345</v>
      </c>
      <c r="H18" s="10">
        <f t="shared" si="1"/>
        <v>4839</v>
      </c>
      <c r="I18" s="10">
        <v>0</v>
      </c>
      <c r="J18" s="15"/>
      <c r="K18" s="9">
        <v>13</v>
      </c>
      <c r="L18" s="12">
        <v>7</v>
      </c>
      <c r="M18" s="12">
        <v>9</v>
      </c>
      <c r="N18" s="12">
        <v>6</v>
      </c>
      <c r="O18" s="10">
        <f t="shared" si="0"/>
        <v>22</v>
      </c>
      <c r="P18" s="13">
        <f t="shared" si="2"/>
        <v>6135</v>
      </c>
    </row>
    <row r="19" spans="1:26" ht="18" customHeight="1" thickTop="1" thickBot="1" x14ac:dyDescent="0.35">
      <c r="A19" s="9">
        <v>14</v>
      </c>
      <c r="B19" s="10">
        <v>2527</v>
      </c>
      <c r="C19" s="10">
        <v>0</v>
      </c>
      <c r="D19" s="10">
        <v>1232</v>
      </c>
      <c r="E19" s="10">
        <v>182</v>
      </c>
      <c r="F19" s="10">
        <v>209</v>
      </c>
      <c r="G19" s="10">
        <v>317</v>
      </c>
      <c r="H19" s="10">
        <f t="shared" si="1"/>
        <v>4467</v>
      </c>
      <c r="I19" s="10">
        <v>0</v>
      </c>
      <c r="J19" s="15"/>
      <c r="K19" s="9">
        <v>14</v>
      </c>
      <c r="L19" s="12">
        <v>3</v>
      </c>
      <c r="M19" s="12">
        <v>9</v>
      </c>
      <c r="N19" s="12">
        <v>8</v>
      </c>
      <c r="O19" s="10">
        <f t="shared" si="0"/>
        <v>20</v>
      </c>
      <c r="P19" s="13">
        <f t="shared" si="2"/>
        <v>6135</v>
      </c>
    </row>
    <row r="20" spans="1:26" ht="18" customHeight="1" thickTop="1" thickBot="1" x14ac:dyDescent="0.35">
      <c r="A20" s="9">
        <v>15</v>
      </c>
      <c r="B20" s="10">
        <v>2613</v>
      </c>
      <c r="C20" s="10">
        <v>0</v>
      </c>
      <c r="D20" s="10">
        <v>1346</v>
      </c>
      <c r="E20" s="10">
        <v>169</v>
      </c>
      <c r="F20" s="10">
        <v>210</v>
      </c>
      <c r="G20" s="10">
        <v>384</v>
      </c>
      <c r="H20" s="10">
        <f t="shared" si="1"/>
        <v>4722</v>
      </c>
      <c r="I20" s="10">
        <v>0</v>
      </c>
      <c r="J20" s="15"/>
      <c r="K20" s="9">
        <v>15</v>
      </c>
      <c r="L20" s="12">
        <v>1</v>
      </c>
      <c r="M20" s="12">
        <v>8</v>
      </c>
      <c r="N20" s="12">
        <v>3</v>
      </c>
      <c r="O20" s="10">
        <f t="shared" si="0"/>
        <v>12</v>
      </c>
      <c r="P20" s="13">
        <f t="shared" si="2"/>
        <v>6135</v>
      </c>
    </row>
    <row r="21" spans="1:26" ht="18" customHeight="1" thickTop="1" thickBot="1" x14ac:dyDescent="0.35">
      <c r="A21" s="9">
        <v>16</v>
      </c>
      <c r="B21" s="10">
        <v>2849</v>
      </c>
      <c r="C21" s="10">
        <v>0</v>
      </c>
      <c r="D21" s="10">
        <v>1322</v>
      </c>
      <c r="E21" s="10">
        <v>195</v>
      </c>
      <c r="F21" s="10">
        <v>205</v>
      </c>
      <c r="G21" s="10">
        <v>388</v>
      </c>
      <c r="H21" s="10">
        <f t="shared" si="1"/>
        <v>4959</v>
      </c>
      <c r="I21" s="10">
        <v>0</v>
      </c>
      <c r="J21" s="15"/>
      <c r="K21" s="9">
        <v>16</v>
      </c>
      <c r="L21" s="12">
        <v>3</v>
      </c>
      <c r="M21" s="12">
        <v>11</v>
      </c>
      <c r="N21" s="12">
        <v>4</v>
      </c>
      <c r="O21" s="10">
        <f t="shared" si="0"/>
        <v>18</v>
      </c>
      <c r="P21" s="13">
        <f>+P20</f>
        <v>6135</v>
      </c>
    </row>
    <row r="22" spans="1:26" ht="18" customHeight="1" thickTop="1" thickBot="1" x14ac:dyDescent="0.35">
      <c r="A22" s="9">
        <v>17</v>
      </c>
      <c r="B22" s="10">
        <v>4278</v>
      </c>
      <c r="C22" s="10">
        <v>0</v>
      </c>
      <c r="D22" s="10">
        <v>1237</v>
      </c>
      <c r="E22" s="10">
        <v>165</v>
      </c>
      <c r="F22" s="10">
        <v>225</v>
      </c>
      <c r="G22" s="10">
        <v>339</v>
      </c>
      <c r="H22" s="10">
        <f t="shared" si="1"/>
        <v>6244</v>
      </c>
      <c r="I22" s="10">
        <v>0</v>
      </c>
      <c r="J22" s="15"/>
      <c r="K22" s="9">
        <v>17</v>
      </c>
      <c r="L22" s="12">
        <v>1</v>
      </c>
      <c r="M22" s="12">
        <v>18</v>
      </c>
      <c r="N22" s="12">
        <v>4</v>
      </c>
      <c r="O22" s="10">
        <f t="shared" si="0"/>
        <v>23</v>
      </c>
      <c r="P22" s="13">
        <f t="shared" si="2"/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8" customHeight="1" thickTop="1" thickBot="1" x14ac:dyDescent="0.35">
      <c r="A23" s="9">
        <v>18</v>
      </c>
      <c r="B23" s="10">
        <v>3992</v>
      </c>
      <c r="C23" s="10">
        <v>0</v>
      </c>
      <c r="D23" s="10">
        <v>1091</v>
      </c>
      <c r="E23" s="10">
        <v>136</v>
      </c>
      <c r="F23" s="10">
        <v>198</v>
      </c>
      <c r="G23" s="10">
        <v>277</v>
      </c>
      <c r="H23" s="10">
        <f t="shared" si="1"/>
        <v>5694</v>
      </c>
      <c r="I23" s="10">
        <v>0</v>
      </c>
      <c r="J23" s="15"/>
      <c r="K23" s="9">
        <v>18</v>
      </c>
      <c r="L23" s="12">
        <v>4</v>
      </c>
      <c r="M23" s="12">
        <v>10</v>
      </c>
      <c r="N23" s="12">
        <v>2</v>
      </c>
      <c r="O23" s="10">
        <f t="shared" si="0"/>
        <v>16</v>
      </c>
      <c r="P23" s="13">
        <f t="shared" si="2"/>
        <v>6135</v>
      </c>
    </row>
    <row r="24" spans="1:26" ht="18" customHeight="1" thickTop="1" thickBot="1" x14ac:dyDescent="0.35">
      <c r="A24" s="9">
        <v>19</v>
      </c>
      <c r="B24" s="10">
        <v>5708</v>
      </c>
      <c r="C24" s="10">
        <v>0</v>
      </c>
      <c r="D24" s="10">
        <v>994</v>
      </c>
      <c r="E24" s="10">
        <v>114</v>
      </c>
      <c r="F24" s="10">
        <v>145</v>
      </c>
      <c r="G24" s="10">
        <v>258</v>
      </c>
      <c r="H24" s="10">
        <f t="shared" si="1"/>
        <v>7219</v>
      </c>
      <c r="I24" s="10">
        <v>0</v>
      </c>
      <c r="J24" s="15"/>
      <c r="K24" s="9">
        <v>19</v>
      </c>
      <c r="L24" s="12">
        <v>1</v>
      </c>
      <c r="M24" s="12">
        <v>0</v>
      </c>
      <c r="N24" s="12">
        <v>1</v>
      </c>
      <c r="O24" s="10">
        <f t="shared" si="0"/>
        <v>2</v>
      </c>
      <c r="P24" s="13">
        <f t="shared" si="2"/>
        <v>6135</v>
      </c>
    </row>
    <row r="25" spans="1:26" ht="18" customHeight="1" thickTop="1" thickBot="1" x14ac:dyDescent="0.35">
      <c r="A25" s="9">
        <v>20</v>
      </c>
      <c r="B25" s="10">
        <v>2761</v>
      </c>
      <c r="C25" s="10">
        <v>0</v>
      </c>
      <c r="D25" s="10">
        <v>1098</v>
      </c>
      <c r="E25" s="10">
        <v>188</v>
      </c>
      <c r="F25" s="10">
        <v>211</v>
      </c>
      <c r="G25" s="10">
        <v>351</v>
      </c>
      <c r="H25" s="10">
        <f t="shared" si="1"/>
        <v>4609</v>
      </c>
      <c r="I25" s="10">
        <v>0</v>
      </c>
      <c r="J25" s="15"/>
      <c r="K25" s="9">
        <v>20</v>
      </c>
      <c r="L25" s="12">
        <v>1</v>
      </c>
      <c r="M25" s="12">
        <v>13</v>
      </c>
      <c r="N25" s="12">
        <v>1</v>
      </c>
      <c r="O25" s="10">
        <f t="shared" si="0"/>
        <v>15</v>
      </c>
      <c r="P25" s="13">
        <f t="shared" si="2"/>
        <v>6135</v>
      </c>
    </row>
    <row r="26" spans="1:26" ht="18" customHeight="1" thickTop="1" thickBot="1" x14ac:dyDescent="0.35">
      <c r="A26" s="9">
        <v>21</v>
      </c>
      <c r="B26" s="10">
        <v>2397</v>
      </c>
      <c r="C26" s="10">
        <v>0</v>
      </c>
      <c r="D26" s="10">
        <v>1272</v>
      </c>
      <c r="E26" s="10">
        <v>167</v>
      </c>
      <c r="F26" s="10">
        <v>216</v>
      </c>
      <c r="G26" s="10">
        <v>351</v>
      </c>
      <c r="H26" s="10">
        <f t="shared" si="1"/>
        <v>4403</v>
      </c>
      <c r="I26" s="10">
        <v>0</v>
      </c>
      <c r="J26" s="15"/>
      <c r="K26" s="9">
        <v>21</v>
      </c>
      <c r="L26" s="12">
        <v>3</v>
      </c>
      <c r="M26" s="12">
        <v>18</v>
      </c>
      <c r="N26" s="12">
        <v>11</v>
      </c>
      <c r="O26" s="10">
        <f t="shared" si="0"/>
        <v>32</v>
      </c>
      <c r="P26" s="13">
        <f t="shared" si="2"/>
        <v>6135</v>
      </c>
    </row>
    <row r="27" spans="1:26" ht="18" customHeight="1" thickTop="1" thickBot="1" x14ac:dyDescent="0.35">
      <c r="A27" s="9">
        <v>22</v>
      </c>
      <c r="B27" s="10">
        <v>2582</v>
      </c>
      <c r="C27" s="10">
        <v>0</v>
      </c>
      <c r="D27" s="10">
        <v>1272</v>
      </c>
      <c r="E27" s="10">
        <v>164</v>
      </c>
      <c r="F27" s="10">
        <v>232</v>
      </c>
      <c r="G27" s="10">
        <v>426</v>
      </c>
      <c r="H27" s="10">
        <f t="shared" si="1"/>
        <v>4676</v>
      </c>
      <c r="I27" s="10">
        <v>0</v>
      </c>
      <c r="J27" s="15"/>
      <c r="K27" s="9">
        <v>22</v>
      </c>
      <c r="L27" s="12">
        <v>4</v>
      </c>
      <c r="M27" s="12">
        <v>13</v>
      </c>
      <c r="N27" s="12">
        <v>6</v>
      </c>
      <c r="O27" s="10">
        <f t="shared" si="0"/>
        <v>23</v>
      </c>
      <c r="P27" s="13">
        <f t="shared" si="2"/>
        <v>6135</v>
      </c>
    </row>
    <row r="28" spans="1:26" ht="18" customHeight="1" thickTop="1" thickBot="1" x14ac:dyDescent="0.35">
      <c r="A28" s="9">
        <v>23</v>
      </c>
      <c r="B28" s="10">
        <v>2818</v>
      </c>
      <c r="C28" s="10">
        <v>0</v>
      </c>
      <c r="D28" s="10">
        <v>1310</v>
      </c>
      <c r="E28" s="10">
        <v>190</v>
      </c>
      <c r="F28" s="10">
        <v>190</v>
      </c>
      <c r="G28" s="10">
        <v>383</v>
      </c>
      <c r="H28" s="10">
        <f t="shared" si="1"/>
        <v>4891</v>
      </c>
      <c r="I28" s="10">
        <v>0</v>
      </c>
      <c r="J28" s="15"/>
      <c r="K28" s="9">
        <v>23</v>
      </c>
      <c r="L28" s="12">
        <v>5</v>
      </c>
      <c r="M28" s="12">
        <v>6</v>
      </c>
      <c r="N28" s="12">
        <v>2</v>
      </c>
      <c r="O28" s="10">
        <f t="shared" si="0"/>
        <v>13</v>
      </c>
      <c r="P28" s="13">
        <f t="shared" si="2"/>
        <v>6135</v>
      </c>
    </row>
    <row r="29" spans="1:26" ht="18" customHeight="1" thickTop="1" thickBot="1" x14ac:dyDescent="0.35">
      <c r="A29" s="9">
        <v>24</v>
      </c>
      <c r="B29" s="10">
        <v>4053</v>
      </c>
      <c r="C29" s="10">
        <v>0</v>
      </c>
      <c r="D29" s="10">
        <v>1233</v>
      </c>
      <c r="E29" s="10">
        <v>150</v>
      </c>
      <c r="F29" s="10">
        <v>212</v>
      </c>
      <c r="G29" s="10">
        <v>331</v>
      </c>
      <c r="H29" s="10">
        <f t="shared" si="1"/>
        <v>5979</v>
      </c>
      <c r="I29" s="10">
        <v>0</v>
      </c>
      <c r="J29" s="15"/>
      <c r="K29" s="9">
        <v>24</v>
      </c>
      <c r="L29" s="12">
        <v>4</v>
      </c>
      <c r="M29" s="12">
        <v>16</v>
      </c>
      <c r="N29" s="12">
        <v>3</v>
      </c>
      <c r="O29" s="10">
        <f t="shared" si="0"/>
        <v>23</v>
      </c>
      <c r="P29" s="13">
        <f t="shared" si="2"/>
        <v>6135</v>
      </c>
    </row>
    <row r="30" spans="1:26" ht="18" customHeight="1" thickTop="1" thickBot="1" x14ac:dyDescent="0.35">
      <c r="A30" s="9">
        <v>25</v>
      </c>
      <c r="B30" s="10">
        <v>3611</v>
      </c>
      <c r="C30" s="10">
        <v>0</v>
      </c>
      <c r="D30" s="10">
        <v>1060</v>
      </c>
      <c r="E30" s="10">
        <v>128</v>
      </c>
      <c r="F30" s="10">
        <v>185</v>
      </c>
      <c r="G30" s="10">
        <v>303</v>
      </c>
      <c r="H30" s="10">
        <f t="shared" si="1"/>
        <v>5287</v>
      </c>
      <c r="I30" s="10">
        <v>0</v>
      </c>
      <c r="J30" s="15"/>
      <c r="K30" s="9">
        <v>25</v>
      </c>
      <c r="L30" s="12">
        <v>1</v>
      </c>
      <c r="M30" s="12">
        <v>24</v>
      </c>
      <c r="N30" s="12">
        <v>3</v>
      </c>
      <c r="O30" s="10">
        <f t="shared" si="0"/>
        <v>28</v>
      </c>
      <c r="P30" s="13">
        <f t="shared" si="2"/>
        <v>6135</v>
      </c>
    </row>
    <row r="31" spans="1:26" ht="18" customHeight="1" thickTop="1" thickBot="1" x14ac:dyDescent="0.35">
      <c r="A31" s="9">
        <v>26</v>
      </c>
      <c r="B31" s="10">
        <v>5164</v>
      </c>
      <c r="C31" s="10">
        <v>0</v>
      </c>
      <c r="D31" s="10">
        <v>946</v>
      </c>
      <c r="E31" s="10">
        <v>133</v>
      </c>
      <c r="F31" s="10">
        <v>127</v>
      </c>
      <c r="G31" s="10">
        <v>254</v>
      </c>
      <c r="H31" s="10">
        <f t="shared" si="1"/>
        <v>6624</v>
      </c>
      <c r="I31" s="10">
        <v>0</v>
      </c>
      <c r="J31" s="15"/>
      <c r="K31" s="9">
        <v>26</v>
      </c>
      <c r="L31" s="12">
        <v>6</v>
      </c>
      <c r="M31" s="12">
        <v>7</v>
      </c>
      <c r="N31" s="12">
        <v>0</v>
      </c>
      <c r="O31" s="10">
        <f t="shared" si="0"/>
        <v>13</v>
      </c>
      <c r="P31" s="13">
        <f t="shared" si="2"/>
        <v>6135</v>
      </c>
    </row>
    <row r="32" spans="1:26" ht="18" customHeight="1" thickTop="1" thickBot="1" x14ac:dyDescent="0.35">
      <c r="A32" s="9">
        <v>27</v>
      </c>
      <c r="B32" s="10">
        <v>2787</v>
      </c>
      <c r="C32" s="10">
        <v>0</v>
      </c>
      <c r="D32" s="10">
        <v>1093</v>
      </c>
      <c r="E32" s="10">
        <v>198</v>
      </c>
      <c r="F32" s="10">
        <v>214</v>
      </c>
      <c r="G32" s="10">
        <v>312</v>
      </c>
      <c r="H32" s="10">
        <f t="shared" si="1"/>
        <v>4604</v>
      </c>
      <c r="I32" s="10">
        <v>0</v>
      </c>
      <c r="J32" s="15"/>
      <c r="K32" s="9">
        <v>27</v>
      </c>
      <c r="L32" s="12">
        <v>2</v>
      </c>
      <c r="M32" s="12">
        <v>14</v>
      </c>
      <c r="N32" s="12">
        <v>0</v>
      </c>
      <c r="O32" s="10">
        <f t="shared" si="0"/>
        <v>16</v>
      </c>
      <c r="P32" s="13">
        <f t="shared" si="2"/>
        <v>6135</v>
      </c>
    </row>
    <row r="33" spans="1:16" ht="18" customHeight="1" thickTop="1" thickBot="1" x14ac:dyDescent="0.35">
      <c r="A33" s="9">
        <v>28</v>
      </c>
      <c r="B33" s="10">
        <v>2673</v>
      </c>
      <c r="C33" s="10">
        <v>0</v>
      </c>
      <c r="D33" s="10">
        <v>1282</v>
      </c>
      <c r="E33" s="10">
        <v>213</v>
      </c>
      <c r="F33" s="10">
        <v>223</v>
      </c>
      <c r="G33" s="10">
        <v>342</v>
      </c>
      <c r="H33" s="10">
        <f t="shared" si="1"/>
        <v>4733</v>
      </c>
      <c r="I33" s="10">
        <v>0</v>
      </c>
      <c r="J33" s="15"/>
      <c r="K33" s="9">
        <v>28</v>
      </c>
      <c r="L33" s="12">
        <v>7</v>
      </c>
      <c r="M33" s="12">
        <v>16</v>
      </c>
      <c r="N33" s="12">
        <v>3</v>
      </c>
      <c r="O33" s="10">
        <f>SUM(L33:N33)</f>
        <v>26</v>
      </c>
      <c r="P33" s="13">
        <f t="shared" si="2"/>
        <v>6135</v>
      </c>
    </row>
    <row r="34" spans="1:16" ht="18" customHeight="1" thickTop="1" thickBot="1" x14ac:dyDescent="0.35">
      <c r="A34" s="9">
        <v>29</v>
      </c>
      <c r="B34" s="10">
        <v>2621</v>
      </c>
      <c r="C34" s="10">
        <v>0</v>
      </c>
      <c r="D34" s="10">
        <v>1364</v>
      </c>
      <c r="E34" s="10">
        <v>184</v>
      </c>
      <c r="F34" s="10">
        <v>240</v>
      </c>
      <c r="G34" s="10">
        <v>381</v>
      </c>
      <c r="H34" s="10">
        <f t="shared" si="1"/>
        <v>4790</v>
      </c>
      <c r="I34" s="10">
        <v>0</v>
      </c>
      <c r="J34" s="15"/>
      <c r="K34" s="9">
        <v>29</v>
      </c>
      <c r="L34" s="10">
        <v>1</v>
      </c>
      <c r="M34" s="10">
        <v>14</v>
      </c>
      <c r="N34" s="10">
        <v>6</v>
      </c>
      <c r="O34" s="10">
        <f t="shared" si="0"/>
        <v>21</v>
      </c>
      <c r="P34" s="13">
        <f t="shared" si="2"/>
        <v>6135</v>
      </c>
    </row>
    <row r="35" spans="1:16" ht="18" customHeight="1" thickTop="1" thickBot="1" x14ac:dyDescent="0.35">
      <c r="A35" s="9">
        <v>30</v>
      </c>
      <c r="B35" s="10">
        <v>3324</v>
      </c>
      <c r="C35" s="10">
        <v>0</v>
      </c>
      <c r="D35" s="10">
        <v>1404</v>
      </c>
      <c r="E35" s="10">
        <v>229</v>
      </c>
      <c r="F35" s="10">
        <v>218</v>
      </c>
      <c r="G35" s="10">
        <v>410</v>
      </c>
      <c r="H35" s="10">
        <f t="shared" si="1"/>
        <v>5585</v>
      </c>
      <c r="I35" s="10">
        <v>0</v>
      </c>
      <c r="J35" s="15"/>
      <c r="K35" s="9">
        <v>30</v>
      </c>
      <c r="L35" s="10">
        <v>6</v>
      </c>
      <c r="M35" s="10">
        <v>12</v>
      </c>
      <c r="N35" s="10">
        <v>5</v>
      </c>
      <c r="O35" s="10">
        <f t="shared" si="0"/>
        <v>23</v>
      </c>
      <c r="P35" s="13">
        <f t="shared" si="2"/>
        <v>6135</v>
      </c>
    </row>
    <row r="36" spans="1:16" ht="18" customHeight="1" thickTop="1" thickBot="1" x14ac:dyDescent="0.35">
      <c r="A36" s="9">
        <v>31</v>
      </c>
      <c r="B36" s="10">
        <v>6517</v>
      </c>
      <c r="C36" s="10">
        <v>0</v>
      </c>
      <c r="D36" s="10">
        <v>1233</v>
      </c>
      <c r="E36" s="10">
        <v>159</v>
      </c>
      <c r="F36" s="10">
        <v>219</v>
      </c>
      <c r="G36" s="10">
        <v>352</v>
      </c>
      <c r="H36" s="10">
        <f t="shared" si="1"/>
        <v>8480</v>
      </c>
      <c r="I36" s="10">
        <v>0</v>
      </c>
      <c r="J36" s="15"/>
      <c r="K36" s="9">
        <v>31</v>
      </c>
      <c r="L36" s="10">
        <v>4</v>
      </c>
      <c r="M36" s="10">
        <v>14</v>
      </c>
      <c r="N36" s="10">
        <v>3</v>
      </c>
      <c r="O36" s="10">
        <f t="shared" si="0"/>
        <v>21</v>
      </c>
      <c r="P36" s="13">
        <f t="shared" si="2"/>
        <v>6135</v>
      </c>
    </row>
    <row r="37" spans="1:16" ht="18" customHeight="1" thickTop="1" x14ac:dyDescent="0.3">
      <c r="A37" s="6" t="s">
        <v>19</v>
      </c>
      <c r="B37" s="19">
        <f>SUM(B6:B36)</f>
        <v>112069</v>
      </c>
      <c r="C37" s="19">
        <f t="shared" ref="C37:H37" si="3">SUM(C6:C36)</f>
        <v>0</v>
      </c>
      <c r="D37" s="19">
        <f t="shared" si="3"/>
        <v>36864</v>
      </c>
      <c r="E37" s="19">
        <f t="shared" si="3"/>
        <v>5127</v>
      </c>
      <c r="F37" s="19">
        <f t="shared" si="3"/>
        <v>6095</v>
      </c>
      <c r="G37" s="19">
        <f t="shared" si="3"/>
        <v>10088</v>
      </c>
      <c r="H37" s="19">
        <f t="shared" si="3"/>
        <v>170243</v>
      </c>
      <c r="I37" s="19">
        <f>SUM(I6:I33)</f>
        <v>0</v>
      </c>
      <c r="J37" s="19"/>
      <c r="K37" s="19"/>
      <c r="L37" s="19">
        <f>SUM(L6:L36)</f>
        <v>118</v>
      </c>
      <c r="M37" s="19">
        <f>SUM(M6:M36)</f>
        <v>360</v>
      </c>
      <c r="N37" s="19">
        <f>SUM(N6:N36)</f>
        <v>113</v>
      </c>
      <c r="O37" s="76">
        <f>SUM(O6:O36)</f>
        <v>591</v>
      </c>
    </row>
    <row r="38" spans="1:16" ht="18" customHeight="1" x14ac:dyDescent="0.3">
      <c r="A38" s="6" t="s">
        <v>19</v>
      </c>
      <c r="B38" s="19">
        <f>+B37+C37</f>
        <v>112069</v>
      </c>
      <c r="C38" s="19"/>
      <c r="D38" s="19">
        <f>+D37</f>
        <v>36864</v>
      </c>
      <c r="E38" s="19">
        <f>+E37</f>
        <v>5127</v>
      </c>
      <c r="F38" s="19">
        <f>+F37</f>
        <v>6095</v>
      </c>
      <c r="G38" s="19">
        <f>+G37</f>
        <v>10088</v>
      </c>
      <c r="H38" s="76">
        <f>+H37</f>
        <v>170243</v>
      </c>
      <c r="I38" s="19">
        <v>0</v>
      </c>
      <c r="J38" s="20"/>
      <c r="K38" s="6"/>
      <c r="L38" s="21" t="s">
        <v>20</v>
      </c>
      <c r="M38" s="21" t="s">
        <v>21</v>
      </c>
      <c r="N38" s="21" t="s">
        <v>20</v>
      </c>
      <c r="O38" s="21" t="s">
        <v>21</v>
      </c>
    </row>
    <row r="39" spans="1:16" ht="18" customHeight="1" x14ac:dyDescent="0.3">
      <c r="A39" s="22" t="s">
        <v>22</v>
      </c>
      <c r="B39" s="23"/>
      <c r="C39" s="23"/>
      <c r="D39" s="23"/>
      <c r="E39" s="23"/>
      <c r="F39" s="23"/>
      <c r="G39" s="23"/>
      <c r="H39" s="23"/>
      <c r="L39" s="25"/>
    </row>
    <row r="40" spans="1:16" x14ac:dyDescent="0.3">
      <c r="A40" s="26"/>
      <c r="B40" s="27"/>
      <c r="C40" s="27"/>
      <c r="D40" s="27"/>
      <c r="E40" s="27"/>
      <c r="F40" s="27"/>
      <c r="G40" s="27"/>
      <c r="H40" s="27"/>
      <c r="I40" s="27"/>
      <c r="J40" s="25"/>
      <c r="K40" s="57"/>
      <c r="L40" s="56"/>
    </row>
    <row r="41" spans="1:16" x14ac:dyDescent="0.3">
      <c r="A41" s="14"/>
      <c r="H41" s="14"/>
      <c r="K41" s="57"/>
      <c r="L41" s="56"/>
    </row>
    <row r="42" spans="1:16" x14ac:dyDescent="0.3">
      <c r="K42" s="57"/>
      <c r="L42" s="56"/>
    </row>
    <row r="43" spans="1:16" x14ac:dyDescent="0.3">
      <c r="I43" s="14"/>
      <c r="J43" s="14"/>
    </row>
    <row r="45" spans="1:16" x14ac:dyDescent="0.3">
      <c r="A45" s="30"/>
    </row>
    <row r="46" spans="1:16" x14ac:dyDescent="0.3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31"/>
      <c r="L46" s="14"/>
      <c r="M46" s="14"/>
      <c r="N46" s="14"/>
      <c r="O46" s="14"/>
    </row>
  </sheetData>
  <mergeCells count="3">
    <mergeCell ref="A3:I3"/>
    <mergeCell ref="A1:O1"/>
    <mergeCell ref="A2:O2"/>
  </mergeCells>
  <pageMargins left="0.7" right="0.7" top="0.75" bottom="0.75" header="0.3" footer="0.3"/>
  <ignoredErrors>
    <ignoredError sqref="H6:H34 H35:H36 O6:O3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A9F1-B05B-4DB5-970F-527975D14F34}">
  <dimension ref="A1:Z46"/>
  <sheetViews>
    <sheetView topLeftCell="A18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27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7119</v>
      </c>
      <c r="C6" s="35">
        <v>0</v>
      </c>
      <c r="D6" s="35">
        <v>974</v>
      </c>
      <c r="E6" s="35">
        <v>89</v>
      </c>
      <c r="F6" s="35">
        <v>151</v>
      </c>
      <c r="G6" s="35">
        <v>210</v>
      </c>
      <c r="H6" s="35">
        <v>8543</v>
      </c>
      <c r="I6" s="35">
        <v>0</v>
      </c>
      <c r="J6" s="36"/>
      <c r="K6" s="34">
        <v>1</v>
      </c>
      <c r="L6" s="58">
        <v>0</v>
      </c>
      <c r="M6" s="58">
        <v>18</v>
      </c>
      <c r="N6" s="58">
        <v>0</v>
      </c>
      <c r="O6" s="35">
        <v>18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5793</v>
      </c>
      <c r="C7" s="35">
        <v>0</v>
      </c>
      <c r="D7" s="35">
        <v>963</v>
      </c>
      <c r="E7" s="35">
        <v>113</v>
      </c>
      <c r="F7" s="35">
        <v>109</v>
      </c>
      <c r="G7" s="35">
        <v>244</v>
      </c>
      <c r="H7" s="35">
        <v>7222</v>
      </c>
      <c r="I7" s="35">
        <v>0</v>
      </c>
      <c r="J7" s="36"/>
      <c r="K7" s="34">
        <v>2</v>
      </c>
      <c r="L7" s="58">
        <v>1</v>
      </c>
      <c r="M7" s="58">
        <v>0</v>
      </c>
      <c r="N7" s="58">
        <v>2</v>
      </c>
      <c r="O7" s="35">
        <v>3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10778</v>
      </c>
      <c r="C8" s="35">
        <v>0</v>
      </c>
      <c r="D8" s="35">
        <v>760</v>
      </c>
      <c r="E8" s="35">
        <v>68</v>
      </c>
      <c r="F8" s="35">
        <v>75</v>
      </c>
      <c r="G8" s="35">
        <v>125</v>
      </c>
      <c r="H8" s="35">
        <v>11806</v>
      </c>
      <c r="I8" s="35">
        <v>0</v>
      </c>
      <c r="J8" s="36"/>
      <c r="K8" s="34">
        <v>3</v>
      </c>
      <c r="L8" s="58">
        <v>0</v>
      </c>
      <c r="M8" s="58">
        <v>6</v>
      </c>
      <c r="N8" s="58">
        <v>2</v>
      </c>
      <c r="O8" s="35">
        <v>8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3267</v>
      </c>
      <c r="C9" s="35">
        <v>0</v>
      </c>
      <c r="D9" s="35">
        <v>1182</v>
      </c>
      <c r="E9" s="35">
        <v>160</v>
      </c>
      <c r="F9" s="35">
        <v>202</v>
      </c>
      <c r="G9" s="35">
        <v>303</v>
      </c>
      <c r="H9" s="35">
        <v>5114</v>
      </c>
      <c r="I9" s="35">
        <v>0</v>
      </c>
      <c r="J9" s="36"/>
      <c r="K9" s="34">
        <v>4</v>
      </c>
      <c r="L9" s="58">
        <v>8</v>
      </c>
      <c r="M9" s="58">
        <v>11</v>
      </c>
      <c r="N9" s="58">
        <v>2</v>
      </c>
      <c r="O9" s="35">
        <v>21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2660</v>
      </c>
      <c r="C10" s="35">
        <v>0</v>
      </c>
      <c r="D10" s="35">
        <v>1278</v>
      </c>
      <c r="E10" s="35">
        <v>183</v>
      </c>
      <c r="F10" s="35">
        <v>220</v>
      </c>
      <c r="G10" s="35">
        <v>333</v>
      </c>
      <c r="H10" s="35">
        <v>4674</v>
      </c>
      <c r="I10" s="35">
        <v>0</v>
      </c>
      <c r="J10" s="36"/>
      <c r="K10" s="34">
        <v>5</v>
      </c>
      <c r="L10" s="58">
        <v>5</v>
      </c>
      <c r="M10" s="58">
        <v>16</v>
      </c>
      <c r="N10" s="58">
        <v>6</v>
      </c>
      <c r="O10" s="35">
        <v>27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2845</v>
      </c>
      <c r="C11" s="35">
        <v>0</v>
      </c>
      <c r="D11" s="35">
        <v>1297</v>
      </c>
      <c r="E11" s="35">
        <v>183</v>
      </c>
      <c r="F11" s="35">
        <v>235</v>
      </c>
      <c r="G11" s="35">
        <v>375</v>
      </c>
      <c r="H11" s="35">
        <v>4935</v>
      </c>
      <c r="I11" s="35">
        <v>0</v>
      </c>
      <c r="J11" s="36"/>
      <c r="K11" s="34">
        <v>6</v>
      </c>
      <c r="L11" s="58">
        <v>2</v>
      </c>
      <c r="M11" s="58">
        <v>14</v>
      </c>
      <c r="N11" s="58">
        <v>5</v>
      </c>
      <c r="O11" s="35">
        <v>21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3813</v>
      </c>
      <c r="C12" s="35">
        <v>0</v>
      </c>
      <c r="D12" s="35">
        <v>1243</v>
      </c>
      <c r="E12" s="35">
        <v>145</v>
      </c>
      <c r="F12" s="35">
        <v>193</v>
      </c>
      <c r="G12" s="35">
        <v>279</v>
      </c>
      <c r="H12" s="35">
        <v>5673</v>
      </c>
      <c r="I12" s="35">
        <v>0</v>
      </c>
      <c r="J12" s="37"/>
      <c r="K12" s="34">
        <v>7</v>
      </c>
      <c r="L12" s="58">
        <v>5</v>
      </c>
      <c r="M12" s="58">
        <v>12</v>
      </c>
      <c r="N12" s="58">
        <v>4</v>
      </c>
      <c r="O12" s="35">
        <v>21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3864</v>
      </c>
      <c r="C13" s="35">
        <v>0</v>
      </c>
      <c r="D13" s="35">
        <v>1095</v>
      </c>
      <c r="E13" s="35">
        <v>110</v>
      </c>
      <c r="F13" s="35">
        <v>187</v>
      </c>
      <c r="G13" s="35">
        <v>253</v>
      </c>
      <c r="H13" s="35">
        <v>5509</v>
      </c>
      <c r="I13" s="35">
        <v>0</v>
      </c>
      <c r="J13" s="37"/>
      <c r="K13" s="34">
        <v>8</v>
      </c>
      <c r="L13" s="58">
        <v>3</v>
      </c>
      <c r="M13" s="58">
        <v>15</v>
      </c>
      <c r="N13" s="58">
        <v>0</v>
      </c>
      <c r="O13" s="35">
        <v>18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4815</v>
      </c>
      <c r="C14" s="35">
        <v>0</v>
      </c>
      <c r="D14" s="35">
        <v>922</v>
      </c>
      <c r="E14" s="35">
        <v>103</v>
      </c>
      <c r="F14" s="35">
        <v>103</v>
      </c>
      <c r="G14" s="35">
        <v>241</v>
      </c>
      <c r="H14" s="35">
        <v>6184</v>
      </c>
      <c r="I14" s="35">
        <v>0</v>
      </c>
      <c r="J14" s="37"/>
      <c r="K14" s="34">
        <v>9</v>
      </c>
      <c r="L14" s="58">
        <v>3</v>
      </c>
      <c r="M14" s="58">
        <v>6</v>
      </c>
      <c r="N14" s="58">
        <v>2</v>
      </c>
      <c r="O14" s="35">
        <v>11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2795</v>
      </c>
      <c r="C15" s="35">
        <v>0</v>
      </c>
      <c r="D15" s="35">
        <v>1108</v>
      </c>
      <c r="E15" s="35">
        <v>153</v>
      </c>
      <c r="F15" s="35">
        <v>205</v>
      </c>
      <c r="G15" s="35">
        <v>292</v>
      </c>
      <c r="H15" s="35">
        <v>4553</v>
      </c>
      <c r="I15" s="35">
        <v>0</v>
      </c>
      <c r="J15" s="37"/>
      <c r="K15" s="34">
        <v>10</v>
      </c>
      <c r="L15" s="58">
        <v>1</v>
      </c>
      <c r="M15" s="58">
        <v>7</v>
      </c>
      <c r="N15" s="58">
        <v>0</v>
      </c>
      <c r="O15" s="35">
        <v>8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2513</v>
      </c>
      <c r="C16" s="35">
        <v>0</v>
      </c>
      <c r="D16" s="35">
        <v>1229</v>
      </c>
      <c r="E16" s="35">
        <v>159</v>
      </c>
      <c r="F16" s="35">
        <v>210</v>
      </c>
      <c r="G16" s="35">
        <v>313</v>
      </c>
      <c r="H16" s="35">
        <v>4424</v>
      </c>
      <c r="I16" s="35">
        <v>0</v>
      </c>
      <c r="J16" s="37"/>
      <c r="K16" s="34">
        <v>11</v>
      </c>
      <c r="L16" s="58">
        <v>3</v>
      </c>
      <c r="M16" s="58">
        <v>10</v>
      </c>
      <c r="N16" s="58">
        <v>5</v>
      </c>
      <c r="O16" s="35">
        <v>18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2717</v>
      </c>
      <c r="C17" s="35">
        <v>0</v>
      </c>
      <c r="D17" s="35">
        <v>1399</v>
      </c>
      <c r="E17" s="35">
        <v>187</v>
      </c>
      <c r="F17" s="35">
        <v>198</v>
      </c>
      <c r="G17" s="35">
        <v>385</v>
      </c>
      <c r="H17" s="35">
        <v>4886</v>
      </c>
      <c r="I17" s="35">
        <v>0</v>
      </c>
      <c r="J17" s="37"/>
      <c r="K17" s="34">
        <v>12</v>
      </c>
      <c r="L17" s="58">
        <v>3</v>
      </c>
      <c r="M17" s="58">
        <v>18</v>
      </c>
      <c r="N17" s="58">
        <v>6</v>
      </c>
      <c r="O17" s="35">
        <v>27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3137</v>
      </c>
      <c r="C18" s="35">
        <v>0</v>
      </c>
      <c r="D18" s="35">
        <v>1295</v>
      </c>
      <c r="E18" s="35">
        <v>198</v>
      </c>
      <c r="F18" s="35">
        <v>234</v>
      </c>
      <c r="G18" s="35">
        <v>405</v>
      </c>
      <c r="H18" s="35">
        <v>5269</v>
      </c>
      <c r="I18" s="35">
        <v>0</v>
      </c>
      <c r="J18" s="37"/>
      <c r="K18" s="34">
        <v>13</v>
      </c>
      <c r="L18" s="58">
        <v>2</v>
      </c>
      <c r="M18" s="58">
        <v>17</v>
      </c>
      <c r="N18" s="58">
        <v>2</v>
      </c>
      <c r="O18" s="35">
        <v>21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4505</v>
      </c>
      <c r="C19" s="35">
        <v>0</v>
      </c>
      <c r="D19" s="35">
        <v>1279</v>
      </c>
      <c r="E19" s="35">
        <v>175</v>
      </c>
      <c r="F19" s="35">
        <v>234</v>
      </c>
      <c r="G19" s="35">
        <v>352</v>
      </c>
      <c r="H19" s="35">
        <v>6545</v>
      </c>
      <c r="I19" s="35">
        <v>0</v>
      </c>
      <c r="J19" s="37"/>
      <c r="K19" s="34">
        <v>14</v>
      </c>
      <c r="L19" s="58">
        <v>4</v>
      </c>
      <c r="M19" s="58">
        <v>14</v>
      </c>
      <c r="N19" s="58">
        <v>7</v>
      </c>
      <c r="O19" s="35">
        <v>25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4397</v>
      </c>
      <c r="C20" s="35">
        <v>0</v>
      </c>
      <c r="D20" s="35">
        <v>1065</v>
      </c>
      <c r="E20" s="35">
        <v>129</v>
      </c>
      <c r="F20" s="35">
        <v>201</v>
      </c>
      <c r="G20" s="35">
        <v>283</v>
      </c>
      <c r="H20" s="35">
        <v>6075</v>
      </c>
      <c r="I20" s="35">
        <v>0</v>
      </c>
      <c r="J20" s="37"/>
      <c r="K20" s="34">
        <v>15</v>
      </c>
      <c r="L20" s="58">
        <v>7</v>
      </c>
      <c r="M20" s="58">
        <v>8</v>
      </c>
      <c r="N20" s="58">
        <v>1</v>
      </c>
      <c r="O20" s="35">
        <v>16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5951</v>
      </c>
      <c r="C21" s="35">
        <v>0</v>
      </c>
      <c r="D21" s="35">
        <v>949</v>
      </c>
      <c r="E21" s="35">
        <v>122</v>
      </c>
      <c r="F21" s="35">
        <v>132</v>
      </c>
      <c r="G21" s="35">
        <v>240</v>
      </c>
      <c r="H21" s="35">
        <v>7394</v>
      </c>
      <c r="I21" s="35">
        <v>0</v>
      </c>
      <c r="J21" s="37"/>
      <c r="K21" s="34">
        <v>16</v>
      </c>
      <c r="L21" s="58">
        <v>2</v>
      </c>
      <c r="M21" s="58">
        <v>2</v>
      </c>
      <c r="N21" s="58">
        <v>2</v>
      </c>
      <c r="O21" s="35">
        <v>6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3658</v>
      </c>
      <c r="C22" s="35">
        <v>0</v>
      </c>
      <c r="D22" s="35">
        <v>1132</v>
      </c>
      <c r="E22" s="35">
        <v>225</v>
      </c>
      <c r="F22" s="35">
        <v>226</v>
      </c>
      <c r="G22" s="35">
        <v>326</v>
      </c>
      <c r="H22" s="35">
        <v>5567</v>
      </c>
      <c r="I22" s="35">
        <v>0</v>
      </c>
      <c r="J22" s="37"/>
      <c r="K22" s="34">
        <v>17</v>
      </c>
      <c r="L22" s="58">
        <v>1</v>
      </c>
      <c r="M22" s="58">
        <v>14</v>
      </c>
      <c r="N22" s="58">
        <v>0</v>
      </c>
      <c r="O22" s="35">
        <v>15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3407</v>
      </c>
      <c r="C23" s="35">
        <v>0</v>
      </c>
      <c r="D23" s="35">
        <v>1313</v>
      </c>
      <c r="E23" s="35">
        <v>212</v>
      </c>
      <c r="F23" s="35">
        <v>222</v>
      </c>
      <c r="G23" s="35">
        <v>358</v>
      </c>
      <c r="H23" s="35">
        <v>5512</v>
      </c>
      <c r="I23" s="35">
        <v>0</v>
      </c>
      <c r="J23" s="37"/>
      <c r="K23" s="34">
        <v>18</v>
      </c>
      <c r="L23" s="58">
        <v>2</v>
      </c>
      <c r="M23" s="58">
        <v>21</v>
      </c>
      <c r="N23" s="58">
        <v>4</v>
      </c>
      <c r="O23" s="35">
        <v>27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3541</v>
      </c>
      <c r="C24" s="35">
        <v>0</v>
      </c>
      <c r="D24" s="35">
        <v>1326</v>
      </c>
      <c r="E24" s="35">
        <v>182</v>
      </c>
      <c r="F24" s="35">
        <v>224</v>
      </c>
      <c r="G24" s="35">
        <v>398</v>
      </c>
      <c r="H24" s="35">
        <v>5671</v>
      </c>
      <c r="I24" s="35">
        <v>0</v>
      </c>
      <c r="J24" s="37"/>
      <c r="K24" s="34">
        <v>19</v>
      </c>
      <c r="L24" s="58">
        <v>9</v>
      </c>
      <c r="M24" s="58">
        <v>16</v>
      </c>
      <c r="N24" s="58">
        <v>2</v>
      </c>
      <c r="O24" s="35">
        <v>27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4382</v>
      </c>
      <c r="C25" s="35">
        <v>0</v>
      </c>
      <c r="D25" s="35">
        <v>1394</v>
      </c>
      <c r="E25" s="35">
        <v>198</v>
      </c>
      <c r="F25" s="35">
        <v>226</v>
      </c>
      <c r="G25" s="35">
        <v>397</v>
      </c>
      <c r="H25" s="35">
        <v>6597</v>
      </c>
      <c r="I25" s="35">
        <v>0</v>
      </c>
      <c r="J25" s="37"/>
      <c r="K25" s="34">
        <v>20</v>
      </c>
      <c r="L25" s="58">
        <v>2</v>
      </c>
      <c r="M25" s="58">
        <v>23</v>
      </c>
      <c r="N25" s="58">
        <v>3</v>
      </c>
      <c r="O25" s="35">
        <v>28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7992</v>
      </c>
      <c r="C26" s="35">
        <v>0</v>
      </c>
      <c r="D26" s="35">
        <v>1319</v>
      </c>
      <c r="E26" s="35">
        <v>166</v>
      </c>
      <c r="F26" s="35">
        <v>206</v>
      </c>
      <c r="G26" s="35">
        <v>332</v>
      </c>
      <c r="H26" s="35">
        <v>10015</v>
      </c>
      <c r="I26" s="35">
        <v>0</v>
      </c>
      <c r="J26" s="37"/>
      <c r="K26" s="34">
        <v>21</v>
      </c>
      <c r="L26" s="58">
        <v>5</v>
      </c>
      <c r="M26" s="58">
        <v>16</v>
      </c>
      <c r="N26" s="58">
        <v>2</v>
      </c>
      <c r="O26" s="35">
        <v>23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8949</v>
      </c>
      <c r="C27" s="35">
        <v>0</v>
      </c>
      <c r="D27" s="35">
        <v>998</v>
      </c>
      <c r="E27" s="35">
        <v>82</v>
      </c>
      <c r="F27" s="35">
        <v>159</v>
      </c>
      <c r="G27" s="35">
        <v>208</v>
      </c>
      <c r="H27" s="35">
        <v>10396</v>
      </c>
      <c r="I27" s="35">
        <v>0</v>
      </c>
      <c r="J27" s="37"/>
      <c r="K27" s="34">
        <v>22</v>
      </c>
      <c r="L27" s="58">
        <v>1</v>
      </c>
      <c r="M27" s="58">
        <v>8</v>
      </c>
      <c r="N27" s="58">
        <v>0</v>
      </c>
      <c r="O27" s="35">
        <v>9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6777</v>
      </c>
      <c r="C28" s="35">
        <v>0</v>
      </c>
      <c r="D28" s="35">
        <v>1016</v>
      </c>
      <c r="E28" s="35">
        <v>89</v>
      </c>
      <c r="F28" s="35">
        <v>138</v>
      </c>
      <c r="G28" s="35">
        <v>285</v>
      </c>
      <c r="H28" s="35">
        <v>8305</v>
      </c>
      <c r="I28" s="35">
        <v>0</v>
      </c>
      <c r="J28" s="37"/>
      <c r="K28" s="34">
        <v>23</v>
      </c>
      <c r="L28" s="58">
        <v>1</v>
      </c>
      <c r="M28" s="58">
        <v>4</v>
      </c>
      <c r="N28" s="58">
        <v>2</v>
      </c>
      <c r="O28" s="35">
        <v>7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12108</v>
      </c>
      <c r="C29" s="35">
        <v>0</v>
      </c>
      <c r="D29" s="35">
        <v>788</v>
      </c>
      <c r="E29" s="35">
        <v>73</v>
      </c>
      <c r="F29" s="35">
        <v>61</v>
      </c>
      <c r="G29" s="35">
        <v>110</v>
      </c>
      <c r="H29" s="35">
        <v>13140</v>
      </c>
      <c r="I29" s="35">
        <v>0</v>
      </c>
      <c r="J29" s="37"/>
      <c r="K29" s="34">
        <v>24</v>
      </c>
      <c r="L29" s="58">
        <v>1</v>
      </c>
      <c r="M29" s="58">
        <v>2</v>
      </c>
      <c r="N29" s="58">
        <v>0</v>
      </c>
      <c r="O29" s="35">
        <v>3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4693</v>
      </c>
      <c r="C30" s="35">
        <v>0</v>
      </c>
      <c r="D30" s="35">
        <v>1279</v>
      </c>
      <c r="E30" s="35">
        <v>187</v>
      </c>
      <c r="F30" s="35">
        <v>206</v>
      </c>
      <c r="G30" s="35">
        <v>301</v>
      </c>
      <c r="H30" s="35">
        <v>6666</v>
      </c>
      <c r="I30" s="35">
        <v>0</v>
      </c>
      <c r="J30" s="37"/>
      <c r="K30" s="34">
        <v>25</v>
      </c>
      <c r="L30" s="58">
        <v>1</v>
      </c>
      <c r="M30" s="58">
        <v>11</v>
      </c>
      <c r="N30" s="58">
        <v>4</v>
      </c>
      <c r="O30" s="35">
        <v>16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4381</v>
      </c>
      <c r="C31" s="35">
        <v>0</v>
      </c>
      <c r="D31" s="35">
        <v>1525</v>
      </c>
      <c r="E31" s="35">
        <v>240</v>
      </c>
      <c r="F31" s="35">
        <v>230</v>
      </c>
      <c r="G31" s="35">
        <v>360</v>
      </c>
      <c r="H31" s="35">
        <v>6736</v>
      </c>
      <c r="I31" s="35">
        <v>0</v>
      </c>
      <c r="J31" s="37"/>
      <c r="K31" s="34">
        <v>26</v>
      </c>
      <c r="L31" s="58">
        <v>4</v>
      </c>
      <c r="M31" s="58">
        <v>12</v>
      </c>
      <c r="N31" s="58">
        <v>4</v>
      </c>
      <c r="O31" s="35">
        <v>20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5029</v>
      </c>
      <c r="C32" s="35">
        <v>0</v>
      </c>
      <c r="D32" s="35">
        <v>1501</v>
      </c>
      <c r="E32" s="35">
        <v>208</v>
      </c>
      <c r="F32" s="35">
        <v>252</v>
      </c>
      <c r="G32" s="35">
        <v>379</v>
      </c>
      <c r="H32" s="35">
        <v>7369</v>
      </c>
      <c r="I32" s="35">
        <v>0</v>
      </c>
      <c r="J32" s="37"/>
      <c r="K32" s="34">
        <v>27</v>
      </c>
      <c r="L32" s="58">
        <v>4</v>
      </c>
      <c r="M32" s="58">
        <v>15</v>
      </c>
      <c r="N32" s="58">
        <v>9</v>
      </c>
      <c r="O32" s="35">
        <v>28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8380</v>
      </c>
      <c r="C33" s="35">
        <v>0</v>
      </c>
      <c r="D33" s="35">
        <v>1383</v>
      </c>
      <c r="E33" s="35">
        <v>140</v>
      </c>
      <c r="F33" s="35">
        <v>190</v>
      </c>
      <c r="G33" s="35">
        <v>266</v>
      </c>
      <c r="H33" s="35">
        <v>10359</v>
      </c>
      <c r="I33" s="35">
        <v>0</v>
      </c>
      <c r="J33" s="37"/>
      <c r="K33" s="34">
        <v>28</v>
      </c>
      <c r="L33" s="58">
        <v>1</v>
      </c>
      <c r="M33" s="58">
        <v>8</v>
      </c>
      <c r="N33" s="58">
        <v>3</v>
      </c>
      <c r="O33" s="35">
        <v>12</v>
      </c>
      <c r="P33" s="50">
        <v>6135</v>
      </c>
    </row>
    <row r="34" spans="1:16" ht="15.6" thickTop="1" thickBot="1" x14ac:dyDescent="0.35">
      <c r="A34" s="34">
        <v>29</v>
      </c>
      <c r="B34" s="35">
        <v>11248</v>
      </c>
      <c r="C34" s="35">
        <v>0</v>
      </c>
      <c r="D34" s="35">
        <v>1124</v>
      </c>
      <c r="E34" s="35">
        <v>78</v>
      </c>
      <c r="F34" s="35">
        <v>174</v>
      </c>
      <c r="G34" s="35">
        <v>184</v>
      </c>
      <c r="H34" s="35">
        <v>12808</v>
      </c>
      <c r="I34" s="35">
        <v>0</v>
      </c>
      <c r="J34" s="37"/>
      <c r="K34" s="34">
        <v>29</v>
      </c>
      <c r="L34" s="35">
        <v>1</v>
      </c>
      <c r="M34" s="35">
        <v>18</v>
      </c>
      <c r="N34" s="35">
        <v>2</v>
      </c>
      <c r="O34" s="35">
        <v>21</v>
      </c>
      <c r="P34" s="50">
        <v>6135</v>
      </c>
    </row>
    <row r="35" spans="1:16" ht="15.6" thickTop="1" thickBot="1" x14ac:dyDescent="0.35">
      <c r="A35" s="34">
        <v>30</v>
      </c>
      <c r="B35" s="35">
        <v>10731</v>
      </c>
      <c r="C35" s="35">
        <v>0</v>
      </c>
      <c r="D35" s="35">
        <v>1163</v>
      </c>
      <c r="E35" s="35">
        <v>121</v>
      </c>
      <c r="F35" s="35">
        <v>122</v>
      </c>
      <c r="G35" s="35">
        <v>226</v>
      </c>
      <c r="H35" s="35">
        <v>12363</v>
      </c>
      <c r="I35" s="35">
        <v>0</v>
      </c>
      <c r="J35" s="37"/>
      <c r="K35" s="34">
        <v>30</v>
      </c>
      <c r="L35" s="35">
        <v>0</v>
      </c>
      <c r="M35" s="35">
        <v>4</v>
      </c>
      <c r="N35" s="35">
        <v>0</v>
      </c>
      <c r="O35" s="35">
        <v>4</v>
      </c>
      <c r="P35" s="50">
        <v>6135</v>
      </c>
    </row>
    <row r="36" spans="1:16" ht="15.6" thickTop="1" thickBot="1" x14ac:dyDescent="0.35">
      <c r="A36" s="34">
        <v>31</v>
      </c>
      <c r="B36" s="35"/>
      <c r="C36" s="35"/>
      <c r="D36" s="35"/>
      <c r="E36" s="35"/>
      <c r="F36" s="35"/>
      <c r="G36" s="35"/>
      <c r="H36" s="35">
        <v>0</v>
      </c>
      <c r="I36" s="35">
        <v>0</v>
      </c>
      <c r="J36" s="37"/>
      <c r="K36" s="34">
        <v>31</v>
      </c>
      <c r="L36" s="35"/>
      <c r="M36" s="35"/>
      <c r="N36" s="35"/>
      <c r="O36" s="35">
        <v>0</v>
      </c>
      <c r="P36" s="50">
        <v>6135</v>
      </c>
    </row>
    <row r="37" spans="1:16" ht="15" thickTop="1" x14ac:dyDescent="0.3">
      <c r="A37" s="60" t="s">
        <v>19</v>
      </c>
      <c r="B37" s="61">
        <v>166245</v>
      </c>
      <c r="C37" s="61">
        <v>0</v>
      </c>
      <c r="D37" s="61">
        <v>35299</v>
      </c>
      <c r="E37" s="61">
        <v>4478</v>
      </c>
      <c r="F37" s="61">
        <v>5525</v>
      </c>
      <c r="G37" s="61">
        <v>8763</v>
      </c>
      <c r="H37" s="61">
        <v>220310</v>
      </c>
      <c r="I37" s="61">
        <v>0</v>
      </c>
      <c r="J37" s="61"/>
      <c r="K37" s="61"/>
      <c r="L37" s="61">
        <v>82</v>
      </c>
      <c r="M37" s="61">
        <v>346</v>
      </c>
      <c r="N37" s="61">
        <v>81</v>
      </c>
      <c r="O37" s="78">
        <v>509</v>
      </c>
      <c r="P37" s="62"/>
    </row>
    <row r="38" spans="1:16" x14ac:dyDescent="0.3">
      <c r="A38" s="60" t="s">
        <v>19</v>
      </c>
      <c r="B38" s="92">
        <v>166245</v>
      </c>
      <c r="C38" s="92"/>
      <c r="D38" s="61">
        <v>35299</v>
      </c>
      <c r="E38" s="61">
        <v>4478</v>
      </c>
      <c r="F38" s="61">
        <v>5525</v>
      </c>
      <c r="G38" s="61">
        <v>8763</v>
      </c>
      <c r="H38" s="78">
        <v>220310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BE3B-2F00-4A1A-9484-DFE81EE811CC}">
  <dimension ref="A1:Z46"/>
  <sheetViews>
    <sheetView topLeftCell="A16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28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14772</v>
      </c>
      <c r="C6" s="35">
        <v>0</v>
      </c>
      <c r="D6" s="35">
        <v>801</v>
      </c>
      <c r="E6" s="35">
        <v>39</v>
      </c>
      <c r="F6" s="35">
        <v>40</v>
      </c>
      <c r="G6" s="35">
        <v>67</v>
      </c>
      <c r="H6" s="35">
        <v>15719</v>
      </c>
      <c r="I6" s="35">
        <v>0</v>
      </c>
      <c r="J6" s="36"/>
      <c r="K6" s="34">
        <v>1</v>
      </c>
      <c r="L6" s="58">
        <v>0</v>
      </c>
      <c r="M6" s="58">
        <v>2</v>
      </c>
      <c r="N6" s="58">
        <v>0</v>
      </c>
      <c r="O6" s="35">
        <v>2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5316</v>
      </c>
      <c r="C7" s="35">
        <v>0</v>
      </c>
      <c r="D7" s="35">
        <v>1341</v>
      </c>
      <c r="E7" s="35">
        <v>199</v>
      </c>
      <c r="F7" s="35">
        <v>207</v>
      </c>
      <c r="G7" s="35">
        <v>373</v>
      </c>
      <c r="H7" s="35">
        <v>7436</v>
      </c>
      <c r="I7" s="35">
        <v>0</v>
      </c>
      <c r="J7" s="36"/>
      <c r="K7" s="34">
        <v>2</v>
      </c>
      <c r="L7" s="58">
        <v>2</v>
      </c>
      <c r="M7" s="58">
        <v>20</v>
      </c>
      <c r="N7" s="58">
        <v>6</v>
      </c>
      <c r="O7" s="35">
        <v>28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3965</v>
      </c>
      <c r="C8" s="35">
        <v>0</v>
      </c>
      <c r="D8" s="35">
        <v>1399</v>
      </c>
      <c r="E8" s="35">
        <v>210</v>
      </c>
      <c r="F8" s="35">
        <v>267</v>
      </c>
      <c r="G8" s="35">
        <v>322</v>
      </c>
      <c r="H8" s="35">
        <v>6163</v>
      </c>
      <c r="I8" s="35">
        <v>0</v>
      </c>
      <c r="J8" s="36"/>
      <c r="K8" s="34">
        <v>3</v>
      </c>
      <c r="L8" s="58">
        <v>0</v>
      </c>
      <c r="M8" s="58">
        <v>8</v>
      </c>
      <c r="N8" s="58">
        <v>5</v>
      </c>
      <c r="O8" s="35">
        <v>13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4062</v>
      </c>
      <c r="C9" s="35">
        <v>0</v>
      </c>
      <c r="D9" s="35">
        <v>1401</v>
      </c>
      <c r="E9" s="35">
        <v>222</v>
      </c>
      <c r="F9" s="35">
        <v>208</v>
      </c>
      <c r="G9" s="35">
        <v>346</v>
      </c>
      <c r="H9" s="35">
        <v>6239</v>
      </c>
      <c r="I9" s="35">
        <v>0</v>
      </c>
      <c r="J9" s="36"/>
      <c r="K9" s="34">
        <v>4</v>
      </c>
      <c r="L9" s="58">
        <v>2</v>
      </c>
      <c r="M9" s="58">
        <v>14</v>
      </c>
      <c r="N9" s="58">
        <v>4</v>
      </c>
      <c r="O9" s="35">
        <v>20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5489</v>
      </c>
      <c r="C10" s="35">
        <v>0</v>
      </c>
      <c r="D10" s="35">
        <v>1387</v>
      </c>
      <c r="E10" s="35">
        <v>208</v>
      </c>
      <c r="F10" s="35">
        <v>205</v>
      </c>
      <c r="G10" s="35">
        <v>316</v>
      </c>
      <c r="H10" s="35">
        <v>7605</v>
      </c>
      <c r="I10" s="35">
        <v>0</v>
      </c>
      <c r="J10" s="36"/>
      <c r="K10" s="34">
        <v>5</v>
      </c>
      <c r="L10" s="58">
        <v>4</v>
      </c>
      <c r="M10" s="58">
        <v>16</v>
      </c>
      <c r="N10" s="58">
        <v>3</v>
      </c>
      <c r="O10" s="35">
        <v>23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5620</v>
      </c>
      <c r="C11" s="35">
        <v>0</v>
      </c>
      <c r="D11" s="35">
        <v>1095</v>
      </c>
      <c r="E11" s="35">
        <v>147</v>
      </c>
      <c r="F11" s="35">
        <v>181</v>
      </c>
      <c r="G11" s="35">
        <v>253</v>
      </c>
      <c r="H11" s="35">
        <v>7296</v>
      </c>
      <c r="I11" s="35">
        <v>0</v>
      </c>
      <c r="J11" s="36"/>
      <c r="K11" s="34">
        <v>6</v>
      </c>
      <c r="L11" s="58">
        <v>2</v>
      </c>
      <c r="M11" s="58">
        <v>20</v>
      </c>
      <c r="N11" s="58">
        <v>4</v>
      </c>
      <c r="O11" s="35">
        <v>26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7489</v>
      </c>
      <c r="C12" s="35">
        <v>0</v>
      </c>
      <c r="D12" s="35">
        <v>925</v>
      </c>
      <c r="E12" s="35">
        <v>142</v>
      </c>
      <c r="F12" s="35">
        <v>112</v>
      </c>
      <c r="G12" s="35">
        <v>280</v>
      </c>
      <c r="H12" s="35">
        <v>8948</v>
      </c>
      <c r="I12" s="35">
        <v>0</v>
      </c>
      <c r="J12" s="37"/>
      <c r="K12" s="34">
        <v>7</v>
      </c>
      <c r="L12" s="58">
        <v>1</v>
      </c>
      <c r="M12" s="58">
        <v>1</v>
      </c>
      <c r="N12" s="58">
        <v>1</v>
      </c>
      <c r="O12" s="35">
        <v>3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3851</v>
      </c>
      <c r="C13" s="35">
        <v>0</v>
      </c>
      <c r="D13" s="35">
        <v>1105</v>
      </c>
      <c r="E13" s="35">
        <v>192</v>
      </c>
      <c r="F13" s="35">
        <v>200</v>
      </c>
      <c r="G13" s="35">
        <v>279</v>
      </c>
      <c r="H13" s="35">
        <v>5627</v>
      </c>
      <c r="I13" s="35">
        <v>0</v>
      </c>
      <c r="J13" s="37"/>
      <c r="K13" s="34">
        <v>8</v>
      </c>
      <c r="L13" s="58">
        <v>3</v>
      </c>
      <c r="M13" s="58">
        <v>11</v>
      </c>
      <c r="N13" s="58">
        <v>3</v>
      </c>
      <c r="O13" s="35">
        <v>17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3388</v>
      </c>
      <c r="C14" s="35">
        <v>0</v>
      </c>
      <c r="D14" s="35">
        <v>1303</v>
      </c>
      <c r="E14" s="35">
        <v>198</v>
      </c>
      <c r="F14" s="35">
        <v>214</v>
      </c>
      <c r="G14" s="35">
        <v>347</v>
      </c>
      <c r="H14" s="35">
        <v>5450</v>
      </c>
      <c r="I14" s="35">
        <v>0</v>
      </c>
      <c r="J14" s="37"/>
      <c r="K14" s="34">
        <v>9</v>
      </c>
      <c r="L14" s="58">
        <v>1</v>
      </c>
      <c r="M14" s="58">
        <v>14</v>
      </c>
      <c r="N14" s="58">
        <v>3</v>
      </c>
      <c r="O14" s="35">
        <v>18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3185</v>
      </c>
      <c r="C15" s="35">
        <v>0</v>
      </c>
      <c r="D15" s="35">
        <v>1327</v>
      </c>
      <c r="E15" s="35">
        <v>229</v>
      </c>
      <c r="F15" s="35">
        <v>217</v>
      </c>
      <c r="G15" s="35">
        <v>373</v>
      </c>
      <c r="H15" s="35">
        <v>5331</v>
      </c>
      <c r="I15" s="35">
        <v>0</v>
      </c>
      <c r="J15" s="37"/>
      <c r="K15" s="34">
        <v>10</v>
      </c>
      <c r="L15" s="58">
        <v>0</v>
      </c>
      <c r="M15" s="58">
        <v>10</v>
      </c>
      <c r="N15" s="58">
        <v>7</v>
      </c>
      <c r="O15" s="35">
        <v>17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3577</v>
      </c>
      <c r="C16" s="35">
        <v>0</v>
      </c>
      <c r="D16" s="35">
        <v>1440</v>
      </c>
      <c r="E16" s="35">
        <v>224</v>
      </c>
      <c r="F16" s="35">
        <v>217</v>
      </c>
      <c r="G16" s="35">
        <v>394</v>
      </c>
      <c r="H16" s="35">
        <v>5852</v>
      </c>
      <c r="I16" s="35">
        <v>0</v>
      </c>
      <c r="J16" s="37"/>
      <c r="K16" s="34">
        <v>11</v>
      </c>
      <c r="L16" s="58">
        <v>2</v>
      </c>
      <c r="M16" s="58">
        <v>12</v>
      </c>
      <c r="N16" s="58">
        <v>8</v>
      </c>
      <c r="O16" s="35">
        <v>22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4891</v>
      </c>
      <c r="C17" s="35">
        <v>0</v>
      </c>
      <c r="D17" s="35">
        <v>1315</v>
      </c>
      <c r="E17" s="35">
        <v>197</v>
      </c>
      <c r="F17" s="35">
        <v>220</v>
      </c>
      <c r="G17" s="35">
        <v>342</v>
      </c>
      <c r="H17" s="35">
        <v>6965</v>
      </c>
      <c r="I17" s="35">
        <v>0</v>
      </c>
      <c r="J17" s="37"/>
      <c r="K17" s="34">
        <v>12</v>
      </c>
      <c r="L17" s="58">
        <v>2</v>
      </c>
      <c r="M17" s="58">
        <v>18</v>
      </c>
      <c r="N17" s="58">
        <v>6</v>
      </c>
      <c r="O17" s="35">
        <v>26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4772</v>
      </c>
      <c r="C18" s="35">
        <v>0</v>
      </c>
      <c r="D18" s="35">
        <v>1055</v>
      </c>
      <c r="E18" s="35">
        <v>159</v>
      </c>
      <c r="F18" s="35">
        <v>192</v>
      </c>
      <c r="G18" s="35">
        <v>303</v>
      </c>
      <c r="H18" s="35">
        <v>6481</v>
      </c>
      <c r="I18" s="35">
        <v>0</v>
      </c>
      <c r="J18" s="37"/>
      <c r="K18" s="34">
        <v>13</v>
      </c>
      <c r="L18" s="58">
        <v>0</v>
      </c>
      <c r="M18" s="58">
        <v>10</v>
      </c>
      <c r="N18" s="58">
        <v>3</v>
      </c>
      <c r="O18" s="35">
        <v>13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6907</v>
      </c>
      <c r="C19" s="35">
        <v>0</v>
      </c>
      <c r="D19" s="35">
        <v>969</v>
      </c>
      <c r="E19" s="35">
        <v>146</v>
      </c>
      <c r="F19" s="35">
        <v>124</v>
      </c>
      <c r="G19" s="35">
        <v>277</v>
      </c>
      <c r="H19" s="35">
        <v>8423</v>
      </c>
      <c r="I19" s="35">
        <v>0</v>
      </c>
      <c r="J19" s="37"/>
      <c r="K19" s="34">
        <v>14</v>
      </c>
      <c r="L19" s="58">
        <v>4</v>
      </c>
      <c r="M19" s="58">
        <v>6</v>
      </c>
      <c r="N19" s="58">
        <v>0</v>
      </c>
      <c r="O19" s="35">
        <v>10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3376</v>
      </c>
      <c r="C20" s="35">
        <v>0</v>
      </c>
      <c r="D20" s="35">
        <v>1189</v>
      </c>
      <c r="E20" s="35">
        <v>215</v>
      </c>
      <c r="F20" s="35">
        <v>195</v>
      </c>
      <c r="G20" s="35">
        <v>341</v>
      </c>
      <c r="H20" s="35">
        <v>5316</v>
      </c>
      <c r="I20" s="35">
        <v>0</v>
      </c>
      <c r="J20" s="37"/>
      <c r="K20" s="34">
        <v>15</v>
      </c>
      <c r="L20" s="58">
        <v>2</v>
      </c>
      <c r="M20" s="58">
        <v>19</v>
      </c>
      <c r="N20" s="58">
        <v>1</v>
      </c>
      <c r="O20" s="35">
        <v>22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2842</v>
      </c>
      <c r="C21" s="35">
        <v>0</v>
      </c>
      <c r="D21" s="35">
        <v>1313</v>
      </c>
      <c r="E21" s="35">
        <v>195</v>
      </c>
      <c r="F21" s="35">
        <v>210</v>
      </c>
      <c r="G21" s="35">
        <v>327</v>
      </c>
      <c r="H21" s="35">
        <v>4887</v>
      </c>
      <c r="I21" s="35">
        <v>0</v>
      </c>
      <c r="J21" s="37"/>
      <c r="K21" s="34">
        <v>16</v>
      </c>
      <c r="L21" s="58">
        <v>1</v>
      </c>
      <c r="M21" s="58">
        <v>14</v>
      </c>
      <c r="N21" s="58">
        <v>6</v>
      </c>
      <c r="O21" s="35">
        <v>21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3057</v>
      </c>
      <c r="C22" s="35">
        <v>0</v>
      </c>
      <c r="D22" s="35">
        <v>1345</v>
      </c>
      <c r="E22" s="35">
        <v>210</v>
      </c>
      <c r="F22" s="35">
        <v>227</v>
      </c>
      <c r="G22" s="35">
        <v>413</v>
      </c>
      <c r="H22" s="35">
        <v>5252</v>
      </c>
      <c r="I22" s="35">
        <v>0</v>
      </c>
      <c r="J22" s="37"/>
      <c r="K22" s="34">
        <v>17</v>
      </c>
      <c r="L22" s="58">
        <v>3</v>
      </c>
      <c r="M22" s="58">
        <v>13</v>
      </c>
      <c r="N22" s="58">
        <v>0</v>
      </c>
      <c r="O22" s="35">
        <v>16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3464</v>
      </c>
      <c r="C23" s="35">
        <v>0</v>
      </c>
      <c r="D23" s="35">
        <v>1359</v>
      </c>
      <c r="E23" s="35">
        <v>199</v>
      </c>
      <c r="F23" s="35">
        <v>204</v>
      </c>
      <c r="G23" s="35">
        <v>351</v>
      </c>
      <c r="H23" s="35">
        <v>5577</v>
      </c>
      <c r="I23" s="35">
        <v>0</v>
      </c>
      <c r="J23" s="37"/>
      <c r="K23" s="34">
        <v>18</v>
      </c>
      <c r="L23" s="58">
        <v>4</v>
      </c>
      <c r="M23" s="58">
        <v>16</v>
      </c>
      <c r="N23" s="58">
        <v>5</v>
      </c>
      <c r="O23" s="35">
        <v>25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5903</v>
      </c>
      <c r="C24" s="35">
        <v>0</v>
      </c>
      <c r="D24" s="35">
        <v>1180</v>
      </c>
      <c r="E24" s="35">
        <v>173</v>
      </c>
      <c r="F24" s="35">
        <v>184</v>
      </c>
      <c r="G24" s="35">
        <v>310</v>
      </c>
      <c r="H24" s="35">
        <v>7750</v>
      </c>
      <c r="I24" s="35">
        <v>0</v>
      </c>
      <c r="J24" s="37"/>
      <c r="K24" s="34">
        <v>19</v>
      </c>
      <c r="L24" s="58">
        <v>2</v>
      </c>
      <c r="M24" s="58">
        <v>24</v>
      </c>
      <c r="N24" s="58">
        <v>2</v>
      </c>
      <c r="O24" s="35">
        <v>28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5661</v>
      </c>
      <c r="C25" s="35">
        <v>0</v>
      </c>
      <c r="D25" s="35">
        <v>999</v>
      </c>
      <c r="E25" s="35">
        <v>110</v>
      </c>
      <c r="F25" s="35">
        <v>159</v>
      </c>
      <c r="G25" s="35">
        <v>244</v>
      </c>
      <c r="H25" s="35">
        <v>7173</v>
      </c>
      <c r="I25" s="35">
        <v>0</v>
      </c>
      <c r="J25" s="37"/>
      <c r="K25" s="34">
        <v>20</v>
      </c>
      <c r="L25" s="58">
        <v>1</v>
      </c>
      <c r="M25" s="58">
        <v>4</v>
      </c>
      <c r="N25" s="58">
        <v>0</v>
      </c>
      <c r="O25" s="35">
        <v>5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7865</v>
      </c>
      <c r="C26" s="35">
        <v>0</v>
      </c>
      <c r="D26" s="35">
        <v>875</v>
      </c>
      <c r="E26" s="35">
        <v>135</v>
      </c>
      <c r="F26" s="35">
        <v>108</v>
      </c>
      <c r="G26" s="35">
        <v>241</v>
      </c>
      <c r="H26" s="35">
        <v>9224</v>
      </c>
      <c r="I26" s="35">
        <v>0</v>
      </c>
      <c r="J26" s="37"/>
      <c r="K26" s="34">
        <v>21</v>
      </c>
      <c r="L26" s="58">
        <v>5</v>
      </c>
      <c r="M26" s="58">
        <v>2</v>
      </c>
      <c r="N26" s="58">
        <v>1</v>
      </c>
      <c r="O26" s="35">
        <v>8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3308</v>
      </c>
      <c r="C27" s="35">
        <v>0</v>
      </c>
      <c r="D27" s="35">
        <v>1105</v>
      </c>
      <c r="E27" s="35">
        <v>184</v>
      </c>
      <c r="F27" s="35">
        <v>199</v>
      </c>
      <c r="G27" s="35">
        <v>281</v>
      </c>
      <c r="H27" s="35">
        <v>5077</v>
      </c>
      <c r="I27" s="35">
        <v>0</v>
      </c>
      <c r="J27" s="37"/>
      <c r="K27" s="34">
        <v>22</v>
      </c>
      <c r="L27" s="58">
        <v>2</v>
      </c>
      <c r="M27" s="58">
        <v>22</v>
      </c>
      <c r="N27" s="58">
        <v>0</v>
      </c>
      <c r="O27" s="35">
        <v>24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2889</v>
      </c>
      <c r="C28" s="35">
        <v>0</v>
      </c>
      <c r="D28" s="35">
        <v>1330</v>
      </c>
      <c r="E28" s="35">
        <v>214</v>
      </c>
      <c r="F28" s="35">
        <v>219</v>
      </c>
      <c r="G28" s="35">
        <v>348</v>
      </c>
      <c r="H28" s="35">
        <v>5000</v>
      </c>
      <c r="I28" s="35">
        <v>0</v>
      </c>
      <c r="J28" s="37"/>
      <c r="K28" s="34">
        <v>23</v>
      </c>
      <c r="L28" s="58">
        <v>2</v>
      </c>
      <c r="M28" s="58">
        <v>19</v>
      </c>
      <c r="N28" s="58">
        <v>5</v>
      </c>
      <c r="O28" s="35">
        <v>26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3075</v>
      </c>
      <c r="C29" s="35">
        <v>0</v>
      </c>
      <c r="D29" s="35">
        <v>1418</v>
      </c>
      <c r="E29" s="35">
        <v>218</v>
      </c>
      <c r="F29" s="35">
        <v>238</v>
      </c>
      <c r="G29" s="35">
        <v>410</v>
      </c>
      <c r="H29" s="35">
        <v>5359</v>
      </c>
      <c r="I29" s="35">
        <v>0</v>
      </c>
      <c r="J29" s="37"/>
      <c r="K29" s="34">
        <v>24</v>
      </c>
      <c r="L29" s="58">
        <v>2</v>
      </c>
      <c r="M29" s="58">
        <v>24</v>
      </c>
      <c r="N29" s="58">
        <v>2</v>
      </c>
      <c r="O29" s="35">
        <v>28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3146</v>
      </c>
      <c r="C30" s="35">
        <v>0</v>
      </c>
      <c r="D30" s="35">
        <v>1376</v>
      </c>
      <c r="E30" s="35">
        <v>232</v>
      </c>
      <c r="F30" s="35">
        <v>243</v>
      </c>
      <c r="G30" s="35">
        <v>404</v>
      </c>
      <c r="H30" s="35">
        <v>5401</v>
      </c>
      <c r="I30" s="35">
        <v>0</v>
      </c>
      <c r="J30" s="37"/>
      <c r="K30" s="34">
        <v>25</v>
      </c>
      <c r="L30" s="58">
        <v>3</v>
      </c>
      <c r="M30" s="58">
        <v>14</v>
      </c>
      <c r="N30" s="58">
        <v>12</v>
      </c>
      <c r="O30" s="35">
        <v>29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4572</v>
      </c>
      <c r="C31" s="35">
        <v>0</v>
      </c>
      <c r="D31" s="35">
        <v>1300</v>
      </c>
      <c r="E31" s="35">
        <v>161</v>
      </c>
      <c r="F31" s="35">
        <v>190</v>
      </c>
      <c r="G31" s="35">
        <v>323</v>
      </c>
      <c r="H31" s="35">
        <v>6546</v>
      </c>
      <c r="I31" s="35">
        <v>0</v>
      </c>
      <c r="J31" s="37"/>
      <c r="K31" s="34">
        <v>26</v>
      </c>
      <c r="L31" s="58">
        <v>4</v>
      </c>
      <c r="M31" s="58">
        <v>12</v>
      </c>
      <c r="N31" s="58">
        <v>2</v>
      </c>
      <c r="O31" s="35">
        <v>18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4682</v>
      </c>
      <c r="C32" s="35">
        <v>0</v>
      </c>
      <c r="D32" s="35">
        <v>1137</v>
      </c>
      <c r="E32" s="35">
        <v>120</v>
      </c>
      <c r="F32" s="35">
        <v>178</v>
      </c>
      <c r="G32" s="35">
        <v>266</v>
      </c>
      <c r="H32" s="35">
        <v>6383</v>
      </c>
      <c r="I32" s="35">
        <v>0</v>
      </c>
      <c r="J32" s="37"/>
      <c r="K32" s="34">
        <v>27</v>
      </c>
      <c r="L32" s="58">
        <v>1</v>
      </c>
      <c r="M32" s="58">
        <v>8</v>
      </c>
      <c r="N32" s="58">
        <v>3</v>
      </c>
      <c r="O32" s="35">
        <v>12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6484</v>
      </c>
      <c r="C33" s="35">
        <v>0</v>
      </c>
      <c r="D33" s="35">
        <v>930</v>
      </c>
      <c r="E33" s="35">
        <v>110</v>
      </c>
      <c r="F33" s="35">
        <v>145</v>
      </c>
      <c r="G33" s="35">
        <v>288</v>
      </c>
      <c r="H33" s="35">
        <v>7957</v>
      </c>
      <c r="I33" s="35">
        <v>0</v>
      </c>
      <c r="J33" s="37"/>
      <c r="K33" s="34">
        <v>28</v>
      </c>
      <c r="L33" s="58">
        <v>1</v>
      </c>
      <c r="M33" s="58">
        <v>2</v>
      </c>
      <c r="N33" s="58">
        <v>3</v>
      </c>
      <c r="O33" s="35">
        <v>6</v>
      </c>
      <c r="P33" s="50">
        <v>6135</v>
      </c>
    </row>
    <row r="34" spans="1:16" ht="15.6" thickTop="1" thickBot="1" x14ac:dyDescent="0.35">
      <c r="A34" s="34">
        <v>29</v>
      </c>
      <c r="B34" s="35">
        <v>3247</v>
      </c>
      <c r="C34" s="35">
        <v>0</v>
      </c>
      <c r="D34" s="35">
        <v>1202</v>
      </c>
      <c r="E34" s="35">
        <v>204</v>
      </c>
      <c r="F34" s="35">
        <v>208</v>
      </c>
      <c r="G34" s="35">
        <v>302</v>
      </c>
      <c r="H34" s="35">
        <v>5163</v>
      </c>
      <c r="I34" s="35">
        <v>0</v>
      </c>
      <c r="J34" s="37"/>
      <c r="K34" s="34">
        <v>29</v>
      </c>
      <c r="L34" s="58">
        <v>0</v>
      </c>
      <c r="M34" s="58">
        <v>14</v>
      </c>
      <c r="N34" s="58">
        <v>2</v>
      </c>
      <c r="O34" s="35">
        <v>16</v>
      </c>
      <c r="P34" s="50">
        <v>6135</v>
      </c>
    </row>
    <row r="35" spans="1:16" ht="15.6" thickTop="1" thickBot="1" x14ac:dyDescent="0.35">
      <c r="A35" s="34">
        <v>30</v>
      </c>
      <c r="B35" s="35">
        <v>2806</v>
      </c>
      <c r="C35" s="35">
        <v>0</v>
      </c>
      <c r="D35" s="35">
        <v>1235</v>
      </c>
      <c r="E35" s="35">
        <v>209</v>
      </c>
      <c r="F35" s="35">
        <v>192</v>
      </c>
      <c r="G35" s="35">
        <v>328</v>
      </c>
      <c r="H35" s="35">
        <v>4770</v>
      </c>
      <c r="I35" s="35">
        <v>0</v>
      </c>
      <c r="J35" s="37"/>
      <c r="K35" s="34">
        <v>30</v>
      </c>
      <c r="L35" s="58">
        <v>5</v>
      </c>
      <c r="M35" s="58">
        <v>9</v>
      </c>
      <c r="N35" s="58">
        <v>3</v>
      </c>
      <c r="O35" s="35">
        <v>17</v>
      </c>
      <c r="P35" s="50">
        <v>6135</v>
      </c>
    </row>
    <row r="36" spans="1:16" ht="15.6" thickTop="1" thickBot="1" x14ac:dyDescent="0.35">
      <c r="A36" s="34">
        <v>31</v>
      </c>
      <c r="B36" s="35">
        <v>2950</v>
      </c>
      <c r="C36" s="35">
        <v>0</v>
      </c>
      <c r="D36" s="35">
        <v>1401</v>
      </c>
      <c r="E36" s="35">
        <v>213</v>
      </c>
      <c r="F36" s="35">
        <v>212</v>
      </c>
      <c r="G36" s="35">
        <v>413</v>
      </c>
      <c r="H36" s="35">
        <v>5189</v>
      </c>
      <c r="I36" s="35">
        <v>0</v>
      </c>
      <c r="J36" s="37"/>
      <c r="K36" s="34">
        <v>31</v>
      </c>
      <c r="L36" s="58">
        <v>1</v>
      </c>
      <c r="M36" s="58">
        <v>4</v>
      </c>
      <c r="N36" s="58">
        <v>7</v>
      </c>
      <c r="O36" s="35">
        <v>12</v>
      </c>
      <c r="P36" s="50">
        <v>6135</v>
      </c>
    </row>
    <row r="37" spans="1:16" ht="15" thickTop="1" x14ac:dyDescent="0.3">
      <c r="A37" s="60" t="s">
        <v>19</v>
      </c>
      <c r="B37" s="61">
        <v>146611</v>
      </c>
      <c r="C37" s="61">
        <v>0</v>
      </c>
      <c r="D37" s="61">
        <v>37557</v>
      </c>
      <c r="E37" s="61">
        <v>5614</v>
      </c>
      <c r="F37" s="61">
        <v>5915</v>
      </c>
      <c r="G37" s="61">
        <v>9862</v>
      </c>
      <c r="H37" s="61">
        <v>205559</v>
      </c>
      <c r="I37" s="61">
        <v>0</v>
      </c>
      <c r="J37" s="61"/>
      <c r="K37" s="61"/>
      <c r="L37" s="61">
        <v>62</v>
      </c>
      <c r="M37" s="61">
        <v>382</v>
      </c>
      <c r="N37" s="61">
        <v>107</v>
      </c>
      <c r="O37" s="78">
        <v>551</v>
      </c>
      <c r="P37" s="62"/>
    </row>
    <row r="38" spans="1:16" x14ac:dyDescent="0.3">
      <c r="A38" s="60" t="s">
        <v>19</v>
      </c>
      <c r="B38" s="92">
        <v>146611</v>
      </c>
      <c r="C38" s="92"/>
      <c r="D38" s="61">
        <v>37557</v>
      </c>
      <c r="E38" s="61">
        <v>5614</v>
      </c>
      <c r="F38" s="61">
        <v>5915</v>
      </c>
      <c r="G38" s="61">
        <v>9862</v>
      </c>
      <c r="H38" s="78">
        <v>205559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D798-E06C-437D-85BE-5D4EACC17BE9}">
  <dimension ref="A1:Z46"/>
  <sheetViews>
    <sheetView topLeftCell="A16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29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3259</v>
      </c>
      <c r="C6" s="35">
        <v>0</v>
      </c>
      <c r="D6" s="35">
        <v>1363</v>
      </c>
      <c r="E6" s="35">
        <v>197</v>
      </c>
      <c r="F6" s="35">
        <v>238</v>
      </c>
      <c r="G6" s="35">
        <v>412</v>
      </c>
      <c r="H6" s="35">
        <v>5469</v>
      </c>
      <c r="I6" s="35">
        <v>0</v>
      </c>
      <c r="J6" s="36"/>
      <c r="K6" s="34">
        <v>1</v>
      </c>
      <c r="L6" s="58">
        <v>2</v>
      </c>
      <c r="M6" s="58">
        <v>9</v>
      </c>
      <c r="N6" s="58">
        <v>8</v>
      </c>
      <c r="O6" s="35">
        <v>19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4876</v>
      </c>
      <c r="C7" s="35">
        <v>0</v>
      </c>
      <c r="D7" s="35">
        <v>1246</v>
      </c>
      <c r="E7" s="35">
        <v>157</v>
      </c>
      <c r="F7" s="35">
        <v>197</v>
      </c>
      <c r="G7" s="35">
        <v>350</v>
      </c>
      <c r="H7" s="35">
        <v>6826</v>
      </c>
      <c r="I7" s="35">
        <v>0</v>
      </c>
      <c r="J7" s="36"/>
      <c r="K7" s="34">
        <v>2</v>
      </c>
      <c r="L7" s="58">
        <v>4</v>
      </c>
      <c r="M7" s="58">
        <v>10</v>
      </c>
      <c r="N7" s="58">
        <v>7</v>
      </c>
      <c r="O7" s="35">
        <v>21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4661</v>
      </c>
      <c r="C8" s="35">
        <v>0</v>
      </c>
      <c r="D8" s="35">
        <v>1048</v>
      </c>
      <c r="E8" s="35">
        <v>130</v>
      </c>
      <c r="F8" s="35">
        <v>169</v>
      </c>
      <c r="G8" s="35">
        <v>280</v>
      </c>
      <c r="H8" s="35">
        <v>6288</v>
      </c>
      <c r="I8" s="35">
        <v>0</v>
      </c>
      <c r="J8" s="36"/>
      <c r="K8" s="34">
        <v>3</v>
      </c>
      <c r="L8" s="58">
        <v>0</v>
      </c>
      <c r="M8" s="58">
        <v>18</v>
      </c>
      <c r="N8" s="58">
        <v>1</v>
      </c>
      <c r="O8" s="35">
        <v>19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6569</v>
      </c>
      <c r="C9" s="35">
        <v>0</v>
      </c>
      <c r="D9" s="35">
        <v>977</v>
      </c>
      <c r="E9" s="35">
        <v>136</v>
      </c>
      <c r="F9" s="35">
        <v>118</v>
      </c>
      <c r="G9" s="35">
        <v>290</v>
      </c>
      <c r="H9" s="35">
        <v>8090</v>
      </c>
      <c r="I9" s="35">
        <v>0</v>
      </c>
      <c r="J9" s="36"/>
      <c r="K9" s="34">
        <v>4</v>
      </c>
      <c r="L9" s="58">
        <v>5</v>
      </c>
      <c r="M9" s="58">
        <v>2</v>
      </c>
      <c r="N9" s="58">
        <v>2</v>
      </c>
      <c r="O9" s="35">
        <v>9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3312</v>
      </c>
      <c r="C10" s="35">
        <v>0</v>
      </c>
      <c r="D10" s="35">
        <v>1212</v>
      </c>
      <c r="E10" s="35">
        <v>191</v>
      </c>
      <c r="F10" s="35">
        <v>193</v>
      </c>
      <c r="G10" s="35">
        <v>333</v>
      </c>
      <c r="H10" s="35">
        <v>5241</v>
      </c>
      <c r="I10" s="35">
        <v>0</v>
      </c>
      <c r="J10" s="36"/>
      <c r="K10" s="34">
        <v>5</v>
      </c>
      <c r="L10" s="58">
        <v>2</v>
      </c>
      <c r="M10" s="58">
        <v>10</v>
      </c>
      <c r="N10" s="58">
        <v>3</v>
      </c>
      <c r="O10" s="35">
        <v>15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3833</v>
      </c>
      <c r="C11" s="35">
        <v>0</v>
      </c>
      <c r="D11" s="35">
        <v>1185</v>
      </c>
      <c r="E11" s="35">
        <v>154</v>
      </c>
      <c r="F11" s="35">
        <v>207</v>
      </c>
      <c r="G11" s="35">
        <v>335</v>
      </c>
      <c r="H11" s="35">
        <v>5714</v>
      </c>
      <c r="I11" s="35">
        <v>0</v>
      </c>
      <c r="J11" s="36"/>
      <c r="K11" s="34">
        <v>6</v>
      </c>
      <c r="L11" s="58">
        <v>4</v>
      </c>
      <c r="M11" s="58">
        <v>22</v>
      </c>
      <c r="N11" s="58">
        <v>1</v>
      </c>
      <c r="O11" s="35">
        <v>27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5042</v>
      </c>
      <c r="C12" s="35">
        <v>0</v>
      </c>
      <c r="D12" s="35">
        <v>1070</v>
      </c>
      <c r="E12" s="35">
        <v>161</v>
      </c>
      <c r="F12" s="35">
        <v>157</v>
      </c>
      <c r="G12" s="35">
        <v>354</v>
      </c>
      <c r="H12" s="35">
        <v>6784</v>
      </c>
      <c r="I12" s="35">
        <v>0</v>
      </c>
      <c r="J12" s="37"/>
      <c r="K12" s="34">
        <v>7</v>
      </c>
      <c r="L12" s="58">
        <v>1</v>
      </c>
      <c r="M12" s="58">
        <v>0</v>
      </c>
      <c r="N12" s="58">
        <v>1</v>
      </c>
      <c r="O12" s="35">
        <v>2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3220</v>
      </c>
      <c r="C13" s="35">
        <v>0</v>
      </c>
      <c r="D13" s="35">
        <v>1243</v>
      </c>
      <c r="E13" s="35">
        <v>175</v>
      </c>
      <c r="F13" s="35">
        <v>181</v>
      </c>
      <c r="G13" s="35">
        <v>336</v>
      </c>
      <c r="H13" s="35">
        <v>5155</v>
      </c>
      <c r="I13" s="35">
        <v>0</v>
      </c>
      <c r="J13" s="37"/>
      <c r="K13" s="34">
        <v>8</v>
      </c>
      <c r="L13" s="58">
        <v>2</v>
      </c>
      <c r="M13" s="58">
        <v>12</v>
      </c>
      <c r="N13" s="58">
        <v>5</v>
      </c>
      <c r="O13" s="35">
        <v>19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4499</v>
      </c>
      <c r="C14" s="35">
        <v>0</v>
      </c>
      <c r="D14" s="35">
        <v>1288</v>
      </c>
      <c r="E14" s="35">
        <v>154</v>
      </c>
      <c r="F14" s="35">
        <v>211</v>
      </c>
      <c r="G14" s="35">
        <v>361</v>
      </c>
      <c r="H14" s="35">
        <v>6513</v>
      </c>
      <c r="I14" s="35">
        <v>0</v>
      </c>
      <c r="J14" s="37"/>
      <c r="K14" s="34">
        <v>9</v>
      </c>
      <c r="L14" s="58">
        <v>11</v>
      </c>
      <c r="M14" s="58">
        <v>25</v>
      </c>
      <c r="N14" s="58">
        <v>1</v>
      </c>
      <c r="O14" s="35">
        <v>37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4358</v>
      </c>
      <c r="C15" s="35">
        <v>0</v>
      </c>
      <c r="D15" s="35">
        <v>1079</v>
      </c>
      <c r="E15" s="35">
        <v>163</v>
      </c>
      <c r="F15" s="35">
        <v>200</v>
      </c>
      <c r="G15" s="35">
        <v>300</v>
      </c>
      <c r="H15" s="35">
        <v>6100</v>
      </c>
      <c r="I15" s="35">
        <v>0</v>
      </c>
      <c r="J15" s="37"/>
      <c r="K15" s="34">
        <v>10</v>
      </c>
      <c r="L15" s="58">
        <v>3</v>
      </c>
      <c r="M15" s="58">
        <v>15</v>
      </c>
      <c r="N15" s="58">
        <v>2</v>
      </c>
      <c r="O15" s="35">
        <v>20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6321</v>
      </c>
      <c r="C16" s="35">
        <v>0</v>
      </c>
      <c r="D16" s="35">
        <v>969</v>
      </c>
      <c r="E16" s="35">
        <v>131</v>
      </c>
      <c r="F16" s="35">
        <v>106</v>
      </c>
      <c r="G16" s="35">
        <v>253</v>
      </c>
      <c r="H16" s="35">
        <v>7780</v>
      </c>
      <c r="I16" s="35">
        <v>0</v>
      </c>
      <c r="J16" s="37"/>
      <c r="K16" s="34">
        <v>11</v>
      </c>
      <c r="L16" s="58">
        <v>2</v>
      </c>
      <c r="M16" s="58">
        <v>4</v>
      </c>
      <c r="N16" s="58">
        <v>1</v>
      </c>
      <c r="O16" s="35">
        <v>7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3447</v>
      </c>
      <c r="C17" s="35">
        <v>0</v>
      </c>
      <c r="D17" s="35">
        <v>1177</v>
      </c>
      <c r="E17" s="35">
        <v>191</v>
      </c>
      <c r="F17" s="35">
        <v>197</v>
      </c>
      <c r="G17" s="35">
        <v>373</v>
      </c>
      <c r="H17" s="35">
        <v>5385</v>
      </c>
      <c r="I17" s="35">
        <v>0</v>
      </c>
      <c r="J17" s="37"/>
      <c r="K17" s="34">
        <v>12</v>
      </c>
      <c r="L17" s="58">
        <v>3</v>
      </c>
      <c r="M17" s="58">
        <v>10</v>
      </c>
      <c r="N17" s="58">
        <v>1</v>
      </c>
      <c r="O17" s="35">
        <v>14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2816</v>
      </c>
      <c r="C18" s="35">
        <v>0</v>
      </c>
      <c r="D18" s="35">
        <v>1321</v>
      </c>
      <c r="E18" s="35">
        <v>196</v>
      </c>
      <c r="F18" s="35">
        <v>219</v>
      </c>
      <c r="G18" s="35">
        <v>388</v>
      </c>
      <c r="H18" s="35">
        <v>4940</v>
      </c>
      <c r="I18" s="35">
        <v>0</v>
      </c>
      <c r="J18" s="37"/>
      <c r="K18" s="34">
        <v>13</v>
      </c>
      <c r="L18" s="58">
        <v>3</v>
      </c>
      <c r="M18" s="58">
        <v>14</v>
      </c>
      <c r="N18" s="58">
        <v>4</v>
      </c>
      <c r="O18" s="35">
        <v>21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3097</v>
      </c>
      <c r="C19" s="35">
        <v>0</v>
      </c>
      <c r="D19" s="35">
        <v>1419</v>
      </c>
      <c r="E19" s="35">
        <v>212</v>
      </c>
      <c r="F19" s="35">
        <v>232</v>
      </c>
      <c r="G19" s="35">
        <v>413</v>
      </c>
      <c r="H19" s="35">
        <v>5373</v>
      </c>
      <c r="I19" s="35">
        <v>0</v>
      </c>
      <c r="J19" s="37"/>
      <c r="K19" s="34">
        <v>14</v>
      </c>
      <c r="L19" s="58">
        <v>9</v>
      </c>
      <c r="M19" s="58">
        <v>16</v>
      </c>
      <c r="N19" s="58">
        <v>3</v>
      </c>
      <c r="O19" s="35">
        <v>28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3849</v>
      </c>
      <c r="C20" s="35">
        <v>0</v>
      </c>
      <c r="D20" s="35">
        <v>1427</v>
      </c>
      <c r="E20" s="35">
        <v>193</v>
      </c>
      <c r="F20" s="35">
        <v>231</v>
      </c>
      <c r="G20" s="35">
        <v>405</v>
      </c>
      <c r="H20" s="35">
        <v>6105</v>
      </c>
      <c r="I20" s="35">
        <v>0</v>
      </c>
      <c r="J20" s="37"/>
      <c r="K20" s="34">
        <v>15</v>
      </c>
      <c r="L20" s="58">
        <v>8</v>
      </c>
      <c r="M20" s="58">
        <v>11</v>
      </c>
      <c r="N20" s="58">
        <v>10</v>
      </c>
      <c r="O20" s="35">
        <v>29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8357</v>
      </c>
      <c r="C21" s="35">
        <v>0</v>
      </c>
      <c r="D21" s="35">
        <v>1283</v>
      </c>
      <c r="E21" s="35">
        <v>175</v>
      </c>
      <c r="F21" s="35">
        <v>199</v>
      </c>
      <c r="G21" s="35">
        <v>337</v>
      </c>
      <c r="H21" s="35">
        <v>10351</v>
      </c>
      <c r="I21" s="35">
        <v>0</v>
      </c>
      <c r="J21" s="37"/>
      <c r="K21" s="34">
        <v>16</v>
      </c>
      <c r="L21" s="58">
        <v>10</v>
      </c>
      <c r="M21" s="58">
        <v>20</v>
      </c>
      <c r="N21" s="58">
        <v>1</v>
      </c>
      <c r="O21" s="35">
        <v>31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9466</v>
      </c>
      <c r="C22" s="35">
        <v>0</v>
      </c>
      <c r="D22" s="35">
        <v>1071</v>
      </c>
      <c r="E22" s="35">
        <v>73</v>
      </c>
      <c r="F22" s="35">
        <v>147</v>
      </c>
      <c r="G22" s="35">
        <v>190</v>
      </c>
      <c r="H22" s="35">
        <v>10947</v>
      </c>
      <c r="I22" s="35">
        <v>0</v>
      </c>
      <c r="J22" s="37"/>
      <c r="K22" s="34">
        <v>17</v>
      </c>
      <c r="L22" s="58">
        <v>1</v>
      </c>
      <c r="M22" s="58">
        <v>19</v>
      </c>
      <c r="N22" s="58">
        <v>2</v>
      </c>
      <c r="O22" s="35">
        <v>22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7329</v>
      </c>
      <c r="C23" s="35">
        <v>0</v>
      </c>
      <c r="D23" s="35">
        <v>1047</v>
      </c>
      <c r="E23" s="35">
        <v>124</v>
      </c>
      <c r="F23" s="35">
        <v>133</v>
      </c>
      <c r="G23" s="35">
        <v>277</v>
      </c>
      <c r="H23" s="35">
        <v>8910</v>
      </c>
      <c r="I23" s="35">
        <v>0</v>
      </c>
      <c r="J23" s="37"/>
      <c r="K23" s="34">
        <v>18</v>
      </c>
      <c r="L23" s="58">
        <v>6</v>
      </c>
      <c r="M23" s="58">
        <v>2</v>
      </c>
      <c r="N23" s="58">
        <v>1</v>
      </c>
      <c r="O23" s="35">
        <v>9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15088</v>
      </c>
      <c r="C24" s="35">
        <v>0</v>
      </c>
      <c r="D24" s="35">
        <v>860</v>
      </c>
      <c r="E24" s="35">
        <v>75</v>
      </c>
      <c r="F24" s="35">
        <v>59</v>
      </c>
      <c r="G24" s="35">
        <v>137</v>
      </c>
      <c r="H24" s="35">
        <v>16219</v>
      </c>
      <c r="I24" s="35">
        <v>0</v>
      </c>
      <c r="J24" s="37"/>
      <c r="K24" s="34">
        <v>19</v>
      </c>
      <c r="L24" s="58">
        <v>0</v>
      </c>
      <c r="M24" s="58">
        <v>9</v>
      </c>
      <c r="N24" s="58">
        <v>0</v>
      </c>
      <c r="O24" s="35">
        <v>9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3779</v>
      </c>
      <c r="C25" s="35">
        <v>0</v>
      </c>
      <c r="D25" s="35">
        <v>1299</v>
      </c>
      <c r="E25" s="35">
        <v>197</v>
      </c>
      <c r="F25" s="35">
        <v>215</v>
      </c>
      <c r="G25" s="35">
        <v>379</v>
      </c>
      <c r="H25" s="35">
        <v>5869</v>
      </c>
      <c r="I25" s="35">
        <v>0</v>
      </c>
      <c r="J25" s="37"/>
      <c r="K25" s="34">
        <v>20</v>
      </c>
      <c r="L25" s="58">
        <v>8</v>
      </c>
      <c r="M25" s="58">
        <v>14</v>
      </c>
      <c r="N25" s="58">
        <v>2</v>
      </c>
      <c r="O25" s="35">
        <v>24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2984</v>
      </c>
      <c r="C26" s="35">
        <v>0</v>
      </c>
      <c r="D26" s="35">
        <v>1287</v>
      </c>
      <c r="E26" s="35">
        <v>200</v>
      </c>
      <c r="F26" s="35">
        <v>208</v>
      </c>
      <c r="G26" s="35">
        <v>390</v>
      </c>
      <c r="H26" s="35">
        <v>5069</v>
      </c>
      <c r="I26" s="35">
        <v>0</v>
      </c>
      <c r="J26" s="37"/>
      <c r="K26" s="34">
        <v>21</v>
      </c>
      <c r="L26" s="58">
        <v>9</v>
      </c>
      <c r="M26" s="58">
        <v>16</v>
      </c>
      <c r="N26" s="58">
        <v>3</v>
      </c>
      <c r="O26" s="35">
        <v>28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2826</v>
      </c>
      <c r="C27" s="35">
        <v>0</v>
      </c>
      <c r="D27" s="35">
        <v>1385</v>
      </c>
      <c r="E27" s="35">
        <v>210</v>
      </c>
      <c r="F27" s="35">
        <v>216</v>
      </c>
      <c r="G27" s="35">
        <v>398</v>
      </c>
      <c r="H27" s="35">
        <v>5035</v>
      </c>
      <c r="I27" s="35">
        <v>0</v>
      </c>
      <c r="J27" s="37"/>
      <c r="K27" s="34">
        <v>22</v>
      </c>
      <c r="L27" s="58">
        <v>0</v>
      </c>
      <c r="M27" s="58">
        <v>11</v>
      </c>
      <c r="N27" s="58">
        <v>8</v>
      </c>
      <c r="O27" s="35">
        <v>19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4240</v>
      </c>
      <c r="C28" s="35">
        <v>0</v>
      </c>
      <c r="D28" s="35">
        <v>1277</v>
      </c>
      <c r="E28" s="35">
        <v>174</v>
      </c>
      <c r="F28" s="35">
        <v>211</v>
      </c>
      <c r="G28" s="35">
        <v>352</v>
      </c>
      <c r="H28" s="35">
        <v>6254</v>
      </c>
      <c r="I28" s="35">
        <v>0</v>
      </c>
      <c r="J28" s="37"/>
      <c r="K28" s="34">
        <v>23</v>
      </c>
      <c r="L28" s="58">
        <v>6</v>
      </c>
      <c r="M28" s="58">
        <v>12</v>
      </c>
      <c r="N28" s="58">
        <v>4</v>
      </c>
      <c r="O28" s="35">
        <v>22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3911</v>
      </c>
      <c r="C29" s="35">
        <v>0</v>
      </c>
      <c r="D29" s="35">
        <v>1011</v>
      </c>
      <c r="E29" s="35">
        <v>150</v>
      </c>
      <c r="F29" s="35">
        <v>167</v>
      </c>
      <c r="G29" s="35">
        <v>288</v>
      </c>
      <c r="H29" s="35">
        <v>5527</v>
      </c>
      <c r="I29" s="35">
        <v>0</v>
      </c>
      <c r="J29" s="37"/>
      <c r="K29" s="34">
        <v>24</v>
      </c>
      <c r="L29" s="58">
        <v>5</v>
      </c>
      <c r="M29" s="58">
        <v>16</v>
      </c>
      <c r="N29" s="58">
        <v>3</v>
      </c>
      <c r="O29" s="35">
        <v>24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5335</v>
      </c>
      <c r="C30" s="35">
        <v>0</v>
      </c>
      <c r="D30" s="35">
        <v>968</v>
      </c>
      <c r="E30" s="35">
        <v>137</v>
      </c>
      <c r="F30" s="35">
        <v>133</v>
      </c>
      <c r="G30" s="35">
        <v>294</v>
      </c>
      <c r="H30" s="35">
        <v>6867</v>
      </c>
      <c r="I30" s="35">
        <v>0</v>
      </c>
      <c r="J30" s="37"/>
      <c r="K30" s="34">
        <v>25</v>
      </c>
      <c r="L30" s="58">
        <v>2</v>
      </c>
      <c r="M30" s="58">
        <v>2</v>
      </c>
      <c r="N30" s="58">
        <v>3</v>
      </c>
      <c r="O30" s="35">
        <v>7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2811</v>
      </c>
      <c r="C31" s="35">
        <v>0</v>
      </c>
      <c r="D31" s="35">
        <v>1108</v>
      </c>
      <c r="E31" s="35">
        <v>199</v>
      </c>
      <c r="F31" s="35">
        <v>216</v>
      </c>
      <c r="G31" s="35">
        <v>339</v>
      </c>
      <c r="H31" s="35">
        <v>4673</v>
      </c>
      <c r="I31" s="35">
        <v>0</v>
      </c>
      <c r="J31" s="37"/>
      <c r="K31" s="34">
        <v>26</v>
      </c>
      <c r="L31" s="58">
        <v>2</v>
      </c>
      <c r="M31" s="58">
        <v>6</v>
      </c>
      <c r="N31" s="58">
        <v>2</v>
      </c>
      <c r="O31" s="35">
        <v>10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2788</v>
      </c>
      <c r="C32" s="35">
        <v>0</v>
      </c>
      <c r="D32" s="35">
        <v>1309</v>
      </c>
      <c r="E32" s="35">
        <v>192</v>
      </c>
      <c r="F32" s="35">
        <v>226</v>
      </c>
      <c r="G32" s="35">
        <v>339</v>
      </c>
      <c r="H32" s="35">
        <v>4854</v>
      </c>
      <c r="I32" s="35">
        <v>0</v>
      </c>
      <c r="J32" s="37"/>
      <c r="K32" s="34">
        <v>27</v>
      </c>
      <c r="L32" s="58">
        <v>2</v>
      </c>
      <c r="M32" s="58">
        <v>10</v>
      </c>
      <c r="N32" s="58">
        <v>1</v>
      </c>
      <c r="O32" s="35">
        <v>13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2765</v>
      </c>
      <c r="C33" s="35">
        <v>0</v>
      </c>
      <c r="D33" s="35">
        <v>1310</v>
      </c>
      <c r="E33" s="35">
        <v>196</v>
      </c>
      <c r="F33" s="35">
        <v>240</v>
      </c>
      <c r="G33" s="35">
        <v>402</v>
      </c>
      <c r="H33" s="35">
        <v>4913</v>
      </c>
      <c r="I33" s="35">
        <v>0</v>
      </c>
      <c r="J33" s="37"/>
      <c r="K33" s="34">
        <v>28</v>
      </c>
      <c r="L33" s="58">
        <v>3</v>
      </c>
      <c r="M33" s="58">
        <v>10</v>
      </c>
      <c r="N33" s="58">
        <v>2</v>
      </c>
      <c r="O33" s="35">
        <v>15</v>
      </c>
      <c r="P33" s="50">
        <v>6135</v>
      </c>
    </row>
    <row r="34" spans="1:16" ht="15.6" thickTop="1" thickBot="1" x14ac:dyDescent="0.35">
      <c r="A34" s="34">
        <v>29</v>
      </c>
      <c r="B34" s="35">
        <v>3006</v>
      </c>
      <c r="C34" s="35">
        <v>0</v>
      </c>
      <c r="D34" s="35">
        <v>1312</v>
      </c>
      <c r="E34" s="35">
        <v>223</v>
      </c>
      <c r="F34" s="35">
        <v>243</v>
      </c>
      <c r="G34" s="35">
        <v>417</v>
      </c>
      <c r="H34" s="35">
        <v>5201</v>
      </c>
      <c r="I34" s="35">
        <v>0</v>
      </c>
      <c r="J34" s="37"/>
      <c r="K34" s="34">
        <v>29</v>
      </c>
      <c r="L34" s="58">
        <v>3</v>
      </c>
      <c r="M34" s="58">
        <v>19</v>
      </c>
      <c r="N34" s="58">
        <v>5</v>
      </c>
      <c r="O34" s="35">
        <v>27</v>
      </c>
      <c r="P34" s="50">
        <v>6135</v>
      </c>
    </row>
    <row r="35" spans="1:16" ht="15.6" thickTop="1" thickBot="1" x14ac:dyDescent="0.35">
      <c r="A35" s="34">
        <v>30</v>
      </c>
      <c r="B35" s="35">
        <v>4525</v>
      </c>
      <c r="C35" s="35">
        <v>0</v>
      </c>
      <c r="D35" s="35">
        <v>1276</v>
      </c>
      <c r="E35" s="35">
        <v>159</v>
      </c>
      <c r="F35" s="35">
        <v>223</v>
      </c>
      <c r="G35" s="35">
        <v>305</v>
      </c>
      <c r="H35" s="35">
        <v>6488</v>
      </c>
      <c r="I35" s="35">
        <v>0</v>
      </c>
      <c r="J35" s="37"/>
      <c r="K35" s="34">
        <v>30</v>
      </c>
      <c r="L35" s="58">
        <v>4</v>
      </c>
      <c r="M35" s="58">
        <v>14</v>
      </c>
      <c r="N35" s="58">
        <v>4</v>
      </c>
      <c r="O35" s="35">
        <v>22</v>
      </c>
      <c r="P35" s="50">
        <v>6135</v>
      </c>
    </row>
    <row r="36" spans="1:16" ht="15.6" thickTop="1" thickBot="1" x14ac:dyDescent="0.35">
      <c r="A36" s="34">
        <v>31</v>
      </c>
      <c r="B36" s="35">
        <v>4752</v>
      </c>
      <c r="C36" s="35">
        <v>0</v>
      </c>
      <c r="D36" s="35">
        <v>1054</v>
      </c>
      <c r="E36" s="35">
        <v>134</v>
      </c>
      <c r="F36" s="35">
        <v>192</v>
      </c>
      <c r="G36" s="35">
        <v>244</v>
      </c>
      <c r="H36" s="35">
        <v>6376</v>
      </c>
      <c r="I36" s="35">
        <v>0</v>
      </c>
      <c r="J36" s="37"/>
      <c r="K36" s="34">
        <v>31</v>
      </c>
      <c r="L36" s="58">
        <v>3</v>
      </c>
      <c r="M36" s="58">
        <v>9</v>
      </c>
      <c r="N36" s="58">
        <v>2</v>
      </c>
      <c r="O36" s="35">
        <v>14</v>
      </c>
      <c r="P36" s="50">
        <v>6135</v>
      </c>
    </row>
    <row r="37" spans="1:16" ht="15" thickTop="1" x14ac:dyDescent="0.3">
      <c r="A37" s="60" t="s">
        <v>19</v>
      </c>
      <c r="B37" s="61">
        <v>147121</v>
      </c>
      <c r="C37" s="61">
        <v>0</v>
      </c>
      <c r="D37" s="61">
        <v>36881</v>
      </c>
      <c r="E37" s="61">
        <v>5159</v>
      </c>
      <c r="F37" s="61">
        <v>5884</v>
      </c>
      <c r="G37" s="61">
        <v>10271</v>
      </c>
      <c r="H37" s="61">
        <v>205316</v>
      </c>
      <c r="I37" s="61">
        <v>0</v>
      </c>
      <c r="J37" s="61"/>
      <c r="K37" s="61"/>
      <c r="L37" s="61">
        <v>123</v>
      </c>
      <c r="M37" s="61">
        <v>367</v>
      </c>
      <c r="N37" s="61">
        <v>93</v>
      </c>
      <c r="O37" s="78">
        <v>583</v>
      </c>
      <c r="P37" s="62"/>
    </row>
    <row r="38" spans="1:16" x14ac:dyDescent="0.3">
      <c r="A38" s="60" t="s">
        <v>19</v>
      </c>
      <c r="B38" s="92">
        <v>147121</v>
      </c>
      <c r="C38" s="92"/>
      <c r="D38" s="61">
        <v>36881</v>
      </c>
      <c r="E38" s="61">
        <v>5159</v>
      </c>
      <c r="F38" s="61">
        <v>5884</v>
      </c>
      <c r="G38" s="61">
        <v>10271</v>
      </c>
      <c r="H38" s="78">
        <v>205316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FCA2-4529-4356-82B8-A2A5DD77FDC9}">
  <dimension ref="A1:Z46"/>
  <sheetViews>
    <sheetView topLeftCell="A18" workbookViewId="0">
      <selection activeCell="Q33" sqref="Q33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6508</v>
      </c>
      <c r="C6" s="35">
        <v>0</v>
      </c>
      <c r="D6" s="35">
        <v>953</v>
      </c>
      <c r="E6" s="35">
        <v>115</v>
      </c>
      <c r="F6" s="35">
        <v>115</v>
      </c>
      <c r="G6" s="35">
        <v>241</v>
      </c>
      <c r="H6" s="35">
        <v>7932</v>
      </c>
      <c r="I6" s="35">
        <v>0</v>
      </c>
      <c r="J6" s="36"/>
      <c r="K6" s="34">
        <v>1</v>
      </c>
      <c r="L6" s="58">
        <v>1</v>
      </c>
      <c r="M6" s="58">
        <v>2</v>
      </c>
      <c r="N6" s="58">
        <v>0</v>
      </c>
      <c r="O6" s="35">
        <v>3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3121</v>
      </c>
      <c r="C7" s="35">
        <v>0</v>
      </c>
      <c r="D7" s="35">
        <v>1128</v>
      </c>
      <c r="E7" s="35">
        <v>199</v>
      </c>
      <c r="F7" s="35">
        <v>192</v>
      </c>
      <c r="G7" s="35">
        <v>311</v>
      </c>
      <c r="H7" s="35">
        <v>4951</v>
      </c>
      <c r="I7" s="35">
        <v>0</v>
      </c>
      <c r="J7" s="36"/>
      <c r="K7" s="34">
        <v>2</v>
      </c>
      <c r="L7" s="58">
        <v>0</v>
      </c>
      <c r="M7" s="58">
        <v>14</v>
      </c>
      <c r="N7" s="58">
        <v>1</v>
      </c>
      <c r="O7" s="35">
        <v>15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2731</v>
      </c>
      <c r="C8" s="35">
        <v>0</v>
      </c>
      <c r="D8" s="35">
        <v>1232</v>
      </c>
      <c r="E8" s="35">
        <v>181</v>
      </c>
      <c r="F8" s="35">
        <v>217</v>
      </c>
      <c r="G8" s="35">
        <v>344</v>
      </c>
      <c r="H8" s="35">
        <v>4705</v>
      </c>
      <c r="I8" s="35">
        <v>0</v>
      </c>
      <c r="J8" s="36"/>
      <c r="K8" s="34">
        <v>3</v>
      </c>
      <c r="L8" s="58">
        <v>2</v>
      </c>
      <c r="M8" s="58">
        <v>14</v>
      </c>
      <c r="N8" s="58">
        <v>2</v>
      </c>
      <c r="O8" s="35">
        <v>18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2830</v>
      </c>
      <c r="C9" s="35">
        <v>0</v>
      </c>
      <c r="D9" s="35">
        <v>1334</v>
      </c>
      <c r="E9" s="35">
        <v>224</v>
      </c>
      <c r="F9" s="35">
        <v>228</v>
      </c>
      <c r="G9" s="35">
        <v>378</v>
      </c>
      <c r="H9" s="35">
        <v>4994</v>
      </c>
      <c r="I9" s="35">
        <v>0</v>
      </c>
      <c r="J9" s="36"/>
      <c r="K9" s="34">
        <v>4</v>
      </c>
      <c r="L9" s="58">
        <v>4</v>
      </c>
      <c r="M9" s="58">
        <v>28</v>
      </c>
      <c r="N9" s="58">
        <v>1</v>
      </c>
      <c r="O9" s="35">
        <v>33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3134</v>
      </c>
      <c r="C10" s="35">
        <v>0</v>
      </c>
      <c r="D10" s="35">
        <v>1254</v>
      </c>
      <c r="E10" s="35">
        <v>180</v>
      </c>
      <c r="F10" s="35">
        <v>220</v>
      </c>
      <c r="G10" s="35">
        <v>386</v>
      </c>
      <c r="H10" s="35">
        <v>5174</v>
      </c>
      <c r="I10" s="35">
        <v>0</v>
      </c>
      <c r="J10" s="36"/>
      <c r="K10" s="34">
        <v>5</v>
      </c>
      <c r="L10" s="58">
        <v>6</v>
      </c>
      <c r="M10" s="58">
        <v>11</v>
      </c>
      <c r="N10" s="58">
        <v>1</v>
      </c>
      <c r="O10" s="35">
        <v>18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4417</v>
      </c>
      <c r="C11" s="35">
        <v>0</v>
      </c>
      <c r="D11" s="35">
        <v>1224</v>
      </c>
      <c r="E11" s="35">
        <v>176</v>
      </c>
      <c r="F11" s="35">
        <v>213</v>
      </c>
      <c r="G11" s="35">
        <v>327</v>
      </c>
      <c r="H11" s="35">
        <v>6357</v>
      </c>
      <c r="I11" s="35">
        <v>0</v>
      </c>
      <c r="J11" s="36"/>
      <c r="K11" s="34">
        <v>6</v>
      </c>
      <c r="L11" s="58">
        <v>2</v>
      </c>
      <c r="M11" s="58">
        <v>13</v>
      </c>
      <c r="N11" s="58">
        <v>6</v>
      </c>
      <c r="O11" s="35">
        <v>21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4400</v>
      </c>
      <c r="C12" s="35">
        <v>0</v>
      </c>
      <c r="D12" s="35">
        <v>1081</v>
      </c>
      <c r="E12" s="35">
        <v>129</v>
      </c>
      <c r="F12" s="35">
        <v>183</v>
      </c>
      <c r="G12" s="35">
        <v>283</v>
      </c>
      <c r="H12" s="35">
        <v>6076</v>
      </c>
      <c r="I12" s="35">
        <v>0</v>
      </c>
      <c r="J12" s="37"/>
      <c r="K12" s="34">
        <v>7</v>
      </c>
      <c r="L12" s="58">
        <v>1</v>
      </c>
      <c r="M12" s="58">
        <v>6</v>
      </c>
      <c r="N12" s="58">
        <v>4</v>
      </c>
      <c r="O12" s="35">
        <v>11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6294</v>
      </c>
      <c r="C13" s="35">
        <v>0</v>
      </c>
      <c r="D13" s="35">
        <v>1010</v>
      </c>
      <c r="E13" s="35">
        <v>108</v>
      </c>
      <c r="F13" s="35">
        <v>143</v>
      </c>
      <c r="G13" s="35">
        <v>270</v>
      </c>
      <c r="H13" s="35">
        <v>7825</v>
      </c>
      <c r="I13" s="35">
        <v>0</v>
      </c>
      <c r="J13" s="37"/>
      <c r="K13" s="34">
        <v>8</v>
      </c>
      <c r="L13" s="58">
        <v>2</v>
      </c>
      <c r="M13" s="58">
        <v>18</v>
      </c>
      <c r="N13" s="58">
        <v>0</v>
      </c>
      <c r="O13" s="35">
        <v>20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3043</v>
      </c>
      <c r="C14" s="35">
        <v>0</v>
      </c>
      <c r="D14" s="35">
        <v>1100</v>
      </c>
      <c r="E14" s="35">
        <v>197</v>
      </c>
      <c r="F14" s="35">
        <v>183</v>
      </c>
      <c r="G14" s="35">
        <v>377</v>
      </c>
      <c r="H14" s="35">
        <v>4900</v>
      </c>
      <c r="I14" s="35">
        <v>0</v>
      </c>
      <c r="J14" s="37"/>
      <c r="K14" s="34">
        <v>9</v>
      </c>
      <c r="L14" s="58">
        <v>4</v>
      </c>
      <c r="M14" s="58">
        <v>7</v>
      </c>
      <c r="N14" s="58">
        <v>7</v>
      </c>
      <c r="O14" s="35">
        <v>18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2804</v>
      </c>
      <c r="C15" s="35">
        <v>0</v>
      </c>
      <c r="D15" s="35">
        <v>1288</v>
      </c>
      <c r="E15" s="35">
        <v>192</v>
      </c>
      <c r="F15" s="35">
        <v>206</v>
      </c>
      <c r="G15" s="35">
        <v>348</v>
      </c>
      <c r="H15" s="35">
        <v>4838</v>
      </c>
      <c r="I15" s="35">
        <v>0</v>
      </c>
      <c r="J15" s="37"/>
      <c r="K15" s="34">
        <v>10</v>
      </c>
      <c r="L15" s="58">
        <v>1</v>
      </c>
      <c r="M15" s="58">
        <v>17</v>
      </c>
      <c r="N15" s="58">
        <v>8</v>
      </c>
      <c r="O15" s="35">
        <v>26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2728</v>
      </c>
      <c r="C16" s="35">
        <v>0</v>
      </c>
      <c r="D16" s="35">
        <v>1360</v>
      </c>
      <c r="E16" s="35">
        <v>200</v>
      </c>
      <c r="F16" s="35">
        <v>214</v>
      </c>
      <c r="G16" s="35">
        <v>372</v>
      </c>
      <c r="H16" s="35">
        <v>4874</v>
      </c>
      <c r="I16" s="35">
        <v>0</v>
      </c>
      <c r="J16" s="37"/>
      <c r="K16" s="34">
        <v>11</v>
      </c>
      <c r="L16" s="58">
        <v>3</v>
      </c>
      <c r="M16" s="58">
        <v>11</v>
      </c>
      <c r="N16" s="58">
        <v>4</v>
      </c>
      <c r="O16" s="35">
        <v>18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3076</v>
      </c>
      <c r="C17" s="35">
        <v>0</v>
      </c>
      <c r="D17" s="35">
        <v>1380</v>
      </c>
      <c r="E17" s="35">
        <v>212</v>
      </c>
      <c r="F17" s="35">
        <v>232</v>
      </c>
      <c r="G17" s="35">
        <v>404</v>
      </c>
      <c r="H17" s="35">
        <v>5304</v>
      </c>
      <c r="I17" s="35">
        <v>0</v>
      </c>
      <c r="J17" s="37"/>
      <c r="K17" s="34">
        <v>12</v>
      </c>
      <c r="L17" s="58">
        <v>6</v>
      </c>
      <c r="M17" s="58">
        <v>10</v>
      </c>
      <c r="N17" s="58">
        <v>6</v>
      </c>
      <c r="O17" s="35">
        <v>22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4649</v>
      </c>
      <c r="C18" s="35">
        <v>0</v>
      </c>
      <c r="D18" s="35">
        <v>1273</v>
      </c>
      <c r="E18" s="35">
        <v>157</v>
      </c>
      <c r="F18" s="35">
        <v>208</v>
      </c>
      <c r="G18" s="35">
        <v>346</v>
      </c>
      <c r="H18" s="35">
        <v>6633</v>
      </c>
      <c r="I18" s="35">
        <v>0</v>
      </c>
      <c r="J18" s="37"/>
      <c r="K18" s="34">
        <v>13</v>
      </c>
      <c r="L18" s="58">
        <v>2</v>
      </c>
      <c r="M18" s="58">
        <v>21</v>
      </c>
      <c r="N18" s="58">
        <v>5</v>
      </c>
      <c r="O18" s="35">
        <v>28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4358</v>
      </c>
      <c r="C19" s="35">
        <v>0</v>
      </c>
      <c r="D19" s="35">
        <v>1053</v>
      </c>
      <c r="E19" s="35">
        <v>143</v>
      </c>
      <c r="F19" s="35">
        <v>199</v>
      </c>
      <c r="G19" s="35">
        <v>282</v>
      </c>
      <c r="H19" s="35">
        <v>6035</v>
      </c>
      <c r="I19" s="35">
        <v>0</v>
      </c>
      <c r="J19" s="37"/>
      <c r="K19" s="34">
        <v>14</v>
      </c>
      <c r="L19" s="58">
        <v>3</v>
      </c>
      <c r="M19" s="58">
        <v>4</v>
      </c>
      <c r="N19" s="58">
        <v>4</v>
      </c>
      <c r="O19" s="35">
        <v>11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6461</v>
      </c>
      <c r="C20" s="35">
        <v>0</v>
      </c>
      <c r="D20" s="35">
        <v>991</v>
      </c>
      <c r="E20" s="35">
        <v>121</v>
      </c>
      <c r="F20" s="35">
        <v>128</v>
      </c>
      <c r="G20" s="35">
        <v>242</v>
      </c>
      <c r="H20" s="35">
        <v>7943</v>
      </c>
      <c r="I20" s="35">
        <v>0</v>
      </c>
      <c r="J20" s="37"/>
      <c r="K20" s="34">
        <v>15</v>
      </c>
      <c r="L20" s="58">
        <v>0</v>
      </c>
      <c r="M20" s="58">
        <v>2</v>
      </c>
      <c r="N20" s="58">
        <v>1</v>
      </c>
      <c r="O20" s="35">
        <v>3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2940</v>
      </c>
      <c r="C21" s="35">
        <v>0</v>
      </c>
      <c r="D21" s="35">
        <v>1089</v>
      </c>
      <c r="E21" s="35">
        <v>197</v>
      </c>
      <c r="F21" s="35">
        <v>208</v>
      </c>
      <c r="G21" s="35">
        <v>349</v>
      </c>
      <c r="H21" s="35">
        <v>4783</v>
      </c>
      <c r="I21" s="35">
        <v>0</v>
      </c>
      <c r="J21" s="37"/>
      <c r="K21" s="34">
        <v>16</v>
      </c>
      <c r="L21" s="58">
        <v>5</v>
      </c>
      <c r="M21" s="58">
        <v>23</v>
      </c>
      <c r="N21" s="58">
        <v>2</v>
      </c>
      <c r="O21" s="35">
        <v>30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2781</v>
      </c>
      <c r="C22" s="35">
        <v>0</v>
      </c>
      <c r="D22" s="35">
        <v>1394</v>
      </c>
      <c r="E22" s="35">
        <v>242</v>
      </c>
      <c r="F22" s="35">
        <v>218</v>
      </c>
      <c r="G22" s="35">
        <v>349</v>
      </c>
      <c r="H22" s="35">
        <v>4984</v>
      </c>
      <c r="I22" s="35">
        <v>0</v>
      </c>
      <c r="J22" s="37"/>
      <c r="K22" s="34">
        <v>17</v>
      </c>
      <c r="L22" s="58">
        <v>2</v>
      </c>
      <c r="M22" s="58">
        <v>18</v>
      </c>
      <c r="N22" s="58">
        <v>6</v>
      </c>
      <c r="O22" s="35">
        <v>26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2701</v>
      </c>
      <c r="C23" s="35">
        <v>0</v>
      </c>
      <c r="D23" s="35">
        <v>1293</v>
      </c>
      <c r="E23" s="35">
        <v>196</v>
      </c>
      <c r="F23" s="35">
        <v>252</v>
      </c>
      <c r="G23" s="35">
        <v>378</v>
      </c>
      <c r="H23" s="35">
        <v>4820</v>
      </c>
      <c r="I23" s="35">
        <v>0</v>
      </c>
      <c r="J23" s="37"/>
      <c r="K23" s="34">
        <v>18</v>
      </c>
      <c r="L23" s="58">
        <v>2</v>
      </c>
      <c r="M23" s="58">
        <v>10</v>
      </c>
      <c r="N23" s="58">
        <v>1</v>
      </c>
      <c r="O23" s="35">
        <v>13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2961</v>
      </c>
      <c r="C24" s="35">
        <v>0</v>
      </c>
      <c r="D24" s="35">
        <v>1384</v>
      </c>
      <c r="E24" s="35">
        <v>172</v>
      </c>
      <c r="F24" s="35">
        <v>246</v>
      </c>
      <c r="G24" s="35">
        <v>381</v>
      </c>
      <c r="H24" s="35">
        <v>5144</v>
      </c>
      <c r="I24" s="35">
        <v>0</v>
      </c>
      <c r="J24" s="37"/>
      <c r="K24" s="34">
        <v>19</v>
      </c>
      <c r="L24" s="58">
        <v>1</v>
      </c>
      <c r="M24" s="58">
        <v>15</v>
      </c>
      <c r="N24" s="58">
        <v>4</v>
      </c>
      <c r="O24" s="35">
        <v>20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4416</v>
      </c>
      <c r="C25" s="35">
        <v>0</v>
      </c>
      <c r="D25" s="35">
        <v>1374</v>
      </c>
      <c r="E25" s="35">
        <v>174</v>
      </c>
      <c r="F25" s="35">
        <v>242</v>
      </c>
      <c r="G25" s="35">
        <v>339</v>
      </c>
      <c r="H25" s="35">
        <v>6545</v>
      </c>
      <c r="I25" s="35">
        <v>0</v>
      </c>
      <c r="J25" s="37"/>
      <c r="K25" s="34">
        <v>20</v>
      </c>
      <c r="L25" s="58">
        <v>1</v>
      </c>
      <c r="M25" s="58">
        <v>16</v>
      </c>
      <c r="N25" s="58">
        <v>2</v>
      </c>
      <c r="O25" s="35">
        <v>19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4530</v>
      </c>
      <c r="C26" s="35">
        <v>0</v>
      </c>
      <c r="D26" s="35">
        <v>1288</v>
      </c>
      <c r="E26" s="35">
        <v>180</v>
      </c>
      <c r="F26" s="35">
        <v>243</v>
      </c>
      <c r="G26" s="35">
        <v>364</v>
      </c>
      <c r="H26" s="35">
        <v>6605</v>
      </c>
      <c r="I26" s="35">
        <v>0</v>
      </c>
      <c r="J26" s="37"/>
      <c r="K26" s="34">
        <v>21</v>
      </c>
      <c r="L26" s="58">
        <v>16</v>
      </c>
      <c r="M26" s="58">
        <v>9</v>
      </c>
      <c r="N26" s="58">
        <v>2</v>
      </c>
      <c r="O26" s="35">
        <v>27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6692</v>
      </c>
      <c r="C27" s="35">
        <v>0</v>
      </c>
      <c r="D27" s="35">
        <v>1405</v>
      </c>
      <c r="E27" s="35">
        <v>228</v>
      </c>
      <c r="F27" s="35">
        <v>199</v>
      </c>
      <c r="G27" s="35">
        <v>478</v>
      </c>
      <c r="H27" s="35">
        <v>9002</v>
      </c>
      <c r="I27" s="35">
        <v>0</v>
      </c>
      <c r="J27" s="37"/>
      <c r="K27" s="34">
        <v>22</v>
      </c>
      <c r="L27" s="58">
        <v>6</v>
      </c>
      <c r="M27" s="58">
        <v>7</v>
      </c>
      <c r="N27" s="58">
        <v>3</v>
      </c>
      <c r="O27" s="35">
        <v>16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2607</v>
      </c>
      <c r="C28" s="35">
        <v>0</v>
      </c>
      <c r="D28" s="35">
        <v>917</v>
      </c>
      <c r="E28" s="35">
        <v>151</v>
      </c>
      <c r="F28" s="35">
        <v>210</v>
      </c>
      <c r="G28" s="35">
        <v>308</v>
      </c>
      <c r="H28" s="35">
        <v>4193</v>
      </c>
      <c r="I28" s="35">
        <v>0</v>
      </c>
      <c r="J28" s="37"/>
      <c r="K28" s="34">
        <v>23</v>
      </c>
      <c r="L28" s="58">
        <v>4</v>
      </c>
      <c r="M28" s="58">
        <v>10</v>
      </c>
      <c r="N28" s="58">
        <v>1</v>
      </c>
      <c r="O28" s="35">
        <v>15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2680</v>
      </c>
      <c r="C29" s="35">
        <v>0</v>
      </c>
      <c r="D29" s="35">
        <v>1321</v>
      </c>
      <c r="E29" s="35">
        <v>188</v>
      </c>
      <c r="F29" s="35">
        <v>228</v>
      </c>
      <c r="G29" s="35">
        <v>353</v>
      </c>
      <c r="H29" s="35">
        <v>4770</v>
      </c>
      <c r="I29" s="35">
        <v>0</v>
      </c>
      <c r="J29" s="37"/>
      <c r="K29" s="34">
        <v>24</v>
      </c>
      <c r="L29" s="58">
        <v>0</v>
      </c>
      <c r="M29" s="58">
        <v>12</v>
      </c>
      <c r="N29" s="58">
        <v>5</v>
      </c>
      <c r="O29" s="35">
        <v>17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2763</v>
      </c>
      <c r="C30" s="35">
        <v>0</v>
      </c>
      <c r="D30" s="35">
        <v>1424</v>
      </c>
      <c r="E30" s="35">
        <v>201</v>
      </c>
      <c r="F30" s="35">
        <v>235</v>
      </c>
      <c r="G30" s="35">
        <v>416</v>
      </c>
      <c r="H30" s="35">
        <v>5039</v>
      </c>
      <c r="I30" s="35">
        <v>0</v>
      </c>
      <c r="J30" s="37"/>
      <c r="K30" s="34">
        <v>25</v>
      </c>
      <c r="L30" s="58">
        <v>0</v>
      </c>
      <c r="M30" s="58">
        <v>4</v>
      </c>
      <c r="N30" s="58">
        <v>0</v>
      </c>
      <c r="O30" s="35">
        <v>4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3026</v>
      </c>
      <c r="C31" s="35">
        <v>0</v>
      </c>
      <c r="D31" s="35">
        <v>1425</v>
      </c>
      <c r="E31" s="35">
        <v>245</v>
      </c>
      <c r="F31" s="35">
        <v>272</v>
      </c>
      <c r="G31" s="35">
        <v>379</v>
      </c>
      <c r="H31" s="35">
        <v>5347</v>
      </c>
      <c r="I31" s="35">
        <v>0</v>
      </c>
      <c r="J31" s="37"/>
      <c r="K31" s="34">
        <v>26</v>
      </c>
      <c r="L31" s="58">
        <v>0</v>
      </c>
      <c r="M31" s="58">
        <v>14</v>
      </c>
      <c r="N31" s="58">
        <v>3</v>
      </c>
      <c r="O31" s="35">
        <v>17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4617</v>
      </c>
      <c r="C32" s="35">
        <v>0</v>
      </c>
      <c r="D32" s="35">
        <v>1354</v>
      </c>
      <c r="E32" s="35">
        <v>195</v>
      </c>
      <c r="F32" s="35">
        <v>223</v>
      </c>
      <c r="G32" s="35">
        <v>371</v>
      </c>
      <c r="H32" s="35">
        <v>6760</v>
      </c>
      <c r="I32" s="35">
        <v>0</v>
      </c>
      <c r="J32" s="37"/>
      <c r="K32" s="34">
        <v>27</v>
      </c>
      <c r="L32" s="58">
        <v>4</v>
      </c>
      <c r="M32" s="58">
        <v>16</v>
      </c>
      <c r="N32" s="58">
        <v>2</v>
      </c>
      <c r="O32" s="35">
        <v>22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4339</v>
      </c>
      <c r="C33" s="35">
        <v>0</v>
      </c>
      <c r="D33" s="35">
        <v>1176</v>
      </c>
      <c r="E33" s="35">
        <v>151</v>
      </c>
      <c r="F33" s="35">
        <v>208</v>
      </c>
      <c r="G33" s="35">
        <v>296</v>
      </c>
      <c r="H33" s="35">
        <v>6170</v>
      </c>
      <c r="I33" s="35">
        <v>0</v>
      </c>
      <c r="J33" s="37"/>
      <c r="K33" s="34">
        <v>28</v>
      </c>
      <c r="L33" s="58">
        <v>1</v>
      </c>
      <c r="M33" s="58">
        <v>23</v>
      </c>
      <c r="N33" s="58">
        <v>6</v>
      </c>
      <c r="O33" s="35">
        <v>30</v>
      </c>
      <c r="P33" s="50">
        <v>6135</v>
      </c>
    </row>
    <row r="34" spans="1:16" ht="15.6" thickTop="1" thickBot="1" x14ac:dyDescent="0.35">
      <c r="A34" s="34">
        <v>29</v>
      </c>
      <c r="B34" s="35">
        <v>6291</v>
      </c>
      <c r="C34" s="35">
        <v>0</v>
      </c>
      <c r="D34" s="35">
        <v>1066</v>
      </c>
      <c r="E34" s="35">
        <v>142</v>
      </c>
      <c r="F34" s="35">
        <v>140</v>
      </c>
      <c r="G34" s="35">
        <v>291</v>
      </c>
      <c r="H34" s="35">
        <v>7930</v>
      </c>
      <c r="I34" s="35">
        <v>0</v>
      </c>
      <c r="J34" s="37"/>
      <c r="K34" s="34">
        <v>29</v>
      </c>
      <c r="L34" s="58">
        <v>2</v>
      </c>
      <c r="M34" s="58">
        <v>2</v>
      </c>
      <c r="N34" s="58">
        <v>1</v>
      </c>
      <c r="O34" s="35">
        <v>5</v>
      </c>
      <c r="P34" s="50">
        <v>6135</v>
      </c>
    </row>
    <row r="35" spans="1:16" ht="15.6" thickTop="1" thickBot="1" x14ac:dyDescent="0.35">
      <c r="A35" s="34">
        <v>30</v>
      </c>
      <c r="B35" s="35">
        <v>3081</v>
      </c>
      <c r="C35" s="35">
        <v>0</v>
      </c>
      <c r="D35" s="35">
        <v>1178</v>
      </c>
      <c r="E35" s="35">
        <v>253</v>
      </c>
      <c r="F35" s="35">
        <v>183</v>
      </c>
      <c r="G35" s="35">
        <v>354</v>
      </c>
      <c r="H35" s="35">
        <v>5049</v>
      </c>
      <c r="I35" s="35">
        <v>0</v>
      </c>
      <c r="J35" s="37"/>
      <c r="K35" s="34">
        <v>30</v>
      </c>
      <c r="L35" s="58">
        <v>0</v>
      </c>
      <c r="M35" s="58">
        <v>30</v>
      </c>
      <c r="N35" s="58">
        <v>6</v>
      </c>
      <c r="O35" s="35">
        <v>36</v>
      </c>
      <c r="P35" s="50">
        <v>6135</v>
      </c>
    </row>
    <row r="36" spans="1:16" ht="15.6" thickTop="1" thickBot="1" x14ac:dyDescent="0.35">
      <c r="A36" s="34">
        <v>31</v>
      </c>
      <c r="B36" s="35"/>
      <c r="C36" s="35"/>
      <c r="D36" s="35"/>
      <c r="E36" s="35"/>
      <c r="F36" s="35"/>
      <c r="G36" s="35"/>
      <c r="H36" s="35">
        <v>0</v>
      </c>
      <c r="I36" s="35">
        <v>0</v>
      </c>
      <c r="J36" s="37"/>
      <c r="K36" s="34">
        <v>31</v>
      </c>
      <c r="L36" s="58"/>
      <c r="M36" s="58"/>
      <c r="N36" s="58"/>
      <c r="O36" s="35">
        <v>0</v>
      </c>
      <c r="P36" s="50">
        <v>6135</v>
      </c>
    </row>
    <row r="37" spans="1:16" ht="15" thickTop="1" x14ac:dyDescent="0.3">
      <c r="A37" s="60" t="s">
        <v>19</v>
      </c>
      <c r="B37" s="61">
        <v>116979</v>
      </c>
      <c r="C37" s="61">
        <v>0</v>
      </c>
      <c r="D37" s="61">
        <v>36749</v>
      </c>
      <c r="E37" s="61">
        <v>5449</v>
      </c>
      <c r="F37" s="61">
        <v>6188</v>
      </c>
      <c r="G37" s="61">
        <v>10317</v>
      </c>
      <c r="H37" s="61">
        <v>175682</v>
      </c>
      <c r="I37" s="61">
        <v>0</v>
      </c>
      <c r="J37" s="61"/>
      <c r="K37" s="61"/>
      <c r="L37" s="61">
        <v>81</v>
      </c>
      <c r="M37" s="61">
        <v>387</v>
      </c>
      <c r="N37" s="61">
        <v>94</v>
      </c>
      <c r="O37" s="78">
        <v>562</v>
      </c>
      <c r="P37" s="62"/>
    </row>
    <row r="38" spans="1:16" x14ac:dyDescent="0.3">
      <c r="A38" s="60" t="s">
        <v>19</v>
      </c>
      <c r="B38" s="92">
        <v>116979</v>
      </c>
      <c r="C38" s="92"/>
      <c r="D38" s="61">
        <v>36749</v>
      </c>
      <c r="E38" s="61">
        <v>5449</v>
      </c>
      <c r="F38" s="61">
        <v>6188</v>
      </c>
      <c r="G38" s="61">
        <v>10317</v>
      </c>
      <c r="H38" s="78">
        <v>175682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CF59-BC6D-4DAF-9588-BD29CE6995A3}">
  <dimension ref="A1:Z46"/>
  <sheetViews>
    <sheetView topLeftCell="A16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31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2814</v>
      </c>
      <c r="C6" s="35">
        <v>0</v>
      </c>
      <c r="D6" s="35">
        <v>1413</v>
      </c>
      <c r="E6" s="35">
        <v>181</v>
      </c>
      <c r="F6" s="35">
        <v>223</v>
      </c>
      <c r="G6" s="35">
        <v>386</v>
      </c>
      <c r="H6" s="35">
        <v>5017</v>
      </c>
      <c r="I6" s="35">
        <v>0</v>
      </c>
      <c r="J6" s="36"/>
      <c r="K6" s="34">
        <v>1</v>
      </c>
      <c r="L6" s="58">
        <v>0</v>
      </c>
      <c r="M6" s="58">
        <v>9</v>
      </c>
      <c r="N6" s="58">
        <v>4</v>
      </c>
      <c r="O6" s="35">
        <v>13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2835</v>
      </c>
      <c r="C7" s="35">
        <v>0</v>
      </c>
      <c r="D7" s="35">
        <v>1463</v>
      </c>
      <c r="E7" s="35">
        <v>243</v>
      </c>
      <c r="F7" s="35">
        <v>231</v>
      </c>
      <c r="G7" s="35">
        <v>350</v>
      </c>
      <c r="H7" s="35">
        <v>5122</v>
      </c>
      <c r="I7" s="35">
        <v>0</v>
      </c>
      <c r="J7" s="36"/>
      <c r="K7" s="34">
        <v>2</v>
      </c>
      <c r="L7" s="58">
        <v>4</v>
      </c>
      <c r="M7" s="58">
        <v>12</v>
      </c>
      <c r="N7" s="58">
        <v>9</v>
      </c>
      <c r="O7" s="35">
        <v>25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3394</v>
      </c>
      <c r="C8" s="35">
        <v>0</v>
      </c>
      <c r="D8" s="35">
        <v>1401</v>
      </c>
      <c r="E8" s="35">
        <v>203</v>
      </c>
      <c r="F8" s="35">
        <v>216</v>
      </c>
      <c r="G8" s="35">
        <v>418</v>
      </c>
      <c r="H8" s="35">
        <v>5632</v>
      </c>
      <c r="I8" s="35">
        <v>0</v>
      </c>
      <c r="J8" s="36"/>
      <c r="K8" s="34">
        <v>3</v>
      </c>
      <c r="L8" s="58">
        <v>3</v>
      </c>
      <c r="M8" s="58">
        <v>8</v>
      </c>
      <c r="N8" s="58">
        <v>6</v>
      </c>
      <c r="O8" s="35">
        <v>17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5300</v>
      </c>
      <c r="C9" s="35">
        <v>0</v>
      </c>
      <c r="D9" s="35">
        <v>1361</v>
      </c>
      <c r="E9" s="35">
        <v>187</v>
      </c>
      <c r="F9" s="35">
        <v>225</v>
      </c>
      <c r="G9" s="35">
        <v>298</v>
      </c>
      <c r="H9" s="35">
        <v>7371</v>
      </c>
      <c r="I9" s="35">
        <v>0</v>
      </c>
      <c r="J9" s="36"/>
      <c r="K9" s="34">
        <v>4</v>
      </c>
      <c r="L9" s="58">
        <v>2</v>
      </c>
      <c r="M9" s="58">
        <v>9</v>
      </c>
      <c r="N9" s="58">
        <v>5</v>
      </c>
      <c r="O9" s="35">
        <v>16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5719</v>
      </c>
      <c r="C10" s="35">
        <v>0</v>
      </c>
      <c r="D10" s="35">
        <v>1086</v>
      </c>
      <c r="E10" s="35">
        <v>103</v>
      </c>
      <c r="F10" s="35">
        <v>174</v>
      </c>
      <c r="G10" s="35">
        <v>201</v>
      </c>
      <c r="H10" s="35">
        <v>7283</v>
      </c>
      <c r="I10" s="35">
        <v>0</v>
      </c>
      <c r="J10" s="36"/>
      <c r="K10" s="34">
        <v>5</v>
      </c>
      <c r="L10" s="58">
        <v>0</v>
      </c>
      <c r="M10" s="58">
        <v>12</v>
      </c>
      <c r="N10" s="58">
        <v>7</v>
      </c>
      <c r="O10" s="35">
        <v>19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7255</v>
      </c>
      <c r="C11" s="35">
        <v>0</v>
      </c>
      <c r="D11" s="35">
        <v>1139</v>
      </c>
      <c r="E11" s="35">
        <v>123</v>
      </c>
      <c r="F11" s="35">
        <v>132</v>
      </c>
      <c r="G11" s="35">
        <v>253</v>
      </c>
      <c r="H11" s="35">
        <v>8902</v>
      </c>
      <c r="I11" s="35">
        <v>0</v>
      </c>
      <c r="J11" s="36"/>
      <c r="K11" s="34">
        <v>6</v>
      </c>
      <c r="L11" s="58">
        <v>3</v>
      </c>
      <c r="M11" s="58">
        <v>4</v>
      </c>
      <c r="N11" s="58">
        <v>0</v>
      </c>
      <c r="O11" s="35">
        <v>7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4211</v>
      </c>
      <c r="C12" s="35">
        <v>0</v>
      </c>
      <c r="D12" s="35">
        <v>1290</v>
      </c>
      <c r="E12" s="35">
        <v>245</v>
      </c>
      <c r="F12" s="35">
        <v>217</v>
      </c>
      <c r="G12" s="35">
        <v>368</v>
      </c>
      <c r="H12" s="35">
        <v>6331</v>
      </c>
      <c r="I12" s="35">
        <v>0</v>
      </c>
      <c r="J12" s="37"/>
      <c r="K12" s="34">
        <v>7</v>
      </c>
      <c r="L12" s="58">
        <v>2</v>
      </c>
      <c r="M12" s="58">
        <v>8</v>
      </c>
      <c r="N12" s="58">
        <v>0</v>
      </c>
      <c r="O12" s="35">
        <v>10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4047</v>
      </c>
      <c r="C13" s="35">
        <v>0</v>
      </c>
      <c r="D13" s="35">
        <v>1465</v>
      </c>
      <c r="E13" s="35">
        <v>226</v>
      </c>
      <c r="F13" s="35">
        <v>237</v>
      </c>
      <c r="G13" s="35">
        <v>354</v>
      </c>
      <c r="H13" s="35">
        <v>6329</v>
      </c>
      <c r="I13" s="35">
        <v>0</v>
      </c>
      <c r="J13" s="37"/>
      <c r="K13" s="34">
        <v>8</v>
      </c>
      <c r="L13" s="58">
        <v>4</v>
      </c>
      <c r="M13" s="58">
        <v>18</v>
      </c>
      <c r="N13" s="58">
        <v>2</v>
      </c>
      <c r="O13" s="35">
        <v>24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4484</v>
      </c>
      <c r="C14" s="35">
        <v>0</v>
      </c>
      <c r="D14" s="35">
        <v>1549</v>
      </c>
      <c r="E14" s="35">
        <v>217</v>
      </c>
      <c r="F14" s="35">
        <v>250</v>
      </c>
      <c r="G14" s="35">
        <v>384</v>
      </c>
      <c r="H14" s="35">
        <v>6884</v>
      </c>
      <c r="I14" s="35">
        <v>0</v>
      </c>
      <c r="J14" s="37"/>
      <c r="K14" s="34">
        <v>9</v>
      </c>
      <c r="L14" s="58">
        <v>1</v>
      </c>
      <c r="M14" s="58">
        <v>22</v>
      </c>
      <c r="N14" s="58">
        <v>4</v>
      </c>
      <c r="O14" s="35">
        <v>27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5660</v>
      </c>
      <c r="C15" s="35">
        <v>0</v>
      </c>
      <c r="D15" s="35">
        <v>1530</v>
      </c>
      <c r="E15" s="35">
        <v>248</v>
      </c>
      <c r="F15" s="35">
        <v>232</v>
      </c>
      <c r="G15" s="35">
        <v>357</v>
      </c>
      <c r="H15" s="35">
        <v>8027</v>
      </c>
      <c r="I15" s="35">
        <v>0</v>
      </c>
      <c r="J15" s="37"/>
      <c r="K15" s="34">
        <v>10</v>
      </c>
      <c r="L15" s="58">
        <v>4</v>
      </c>
      <c r="M15" s="58">
        <v>15</v>
      </c>
      <c r="N15" s="58">
        <v>3</v>
      </c>
      <c r="O15" s="35">
        <v>22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10005</v>
      </c>
      <c r="C16" s="35">
        <v>0</v>
      </c>
      <c r="D16" s="35">
        <v>1481</v>
      </c>
      <c r="E16" s="35">
        <v>178</v>
      </c>
      <c r="F16" s="35">
        <v>246</v>
      </c>
      <c r="G16" s="35">
        <v>284</v>
      </c>
      <c r="H16" s="35">
        <v>12194</v>
      </c>
      <c r="I16" s="35">
        <v>0</v>
      </c>
      <c r="J16" s="37"/>
      <c r="K16" s="34">
        <v>11</v>
      </c>
      <c r="L16" s="58">
        <v>1</v>
      </c>
      <c r="M16" s="58">
        <v>7</v>
      </c>
      <c r="N16" s="58">
        <v>5</v>
      </c>
      <c r="O16" s="35">
        <v>13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10169</v>
      </c>
      <c r="C17" s="35">
        <v>0</v>
      </c>
      <c r="D17" s="35">
        <v>1176</v>
      </c>
      <c r="E17" s="35">
        <v>86</v>
      </c>
      <c r="F17" s="35">
        <v>171</v>
      </c>
      <c r="G17" s="35">
        <v>202</v>
      </c>
      <c r="H17" s="35">
        <v>11804</v>
      </c>
      <c r="I17" s="35">
        <v>0</v>
      </c>
      <c r="J17" s="37"/>
      <c r="K17" s="34">
        <v>12</v>
      </c>
      <c r="L17" s="58">
        <v>0</v>
      </c>
      <c r="M17" s="58">
        <v>8</v>
      </c>
      <c r="N17" s="58">
        <v>2</v>
      </c>
      <c r="O17" s="35">
        <v>10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10610</v>
      </c>
      <c r="C18" s="35">
        <v>0</v>
      </c>
      <c r="D18" s="35">
        <v>1083</v>
      </c>
      <c r="E18" s="35">
        <v>85</v>
      </c>
      <c r="F18" s="35">
        <v>147</v>
      </c>
      <c r="G18" s="35">
        <v>213</v>
      </c>
      <c r="H18" s="35">
        <v>12138</v>
      </c>
      <c r="I18" s="35">
        <v>0</v>
      </c>
      <c r="J18" s="37"/>
      <c r="K18" s="34">
        <v>13</v>
      </c>
      <c r="L18" s="58">
        <v>1</v>
      </c>
      <c r="M18" s="58">
        <v>2</v>
      </c>
      <c r="N18" s="58">
        <v>3</v>
      </c>
      <c r="O18" s="35">
        <v>6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16534</v>
      </c>
      <c r="C19" s="35">
        <v>0</v>
      </c>
      <c r="D19" s="35">
        <v>877</v>
      </c>
      <c r="E19" s="35">
        <v>37</v>
      </c>
      <c r="F19" s="35">
        <v>39</v>
      </c>
      <c r="G19" s="35">
        <v>85</v>
      </c>
      <c r="H19" s="35">
        <v>17572</v>
      </c>
      <c r="I19" s="35">
        <v>0</v>
      </c>
      <c r="J19" s="37"/>
      <c r="K19" s="34">
        <v>14</v>
      </c>
      <c r="L19" s="58">
        <v>0</v>
      </c>
      <c r="M19" s="58">
        <v>1</v>
      </c>
      <c r="N19" s="58">
        <v>0</v>
      </c>
      <c r="O19" s="35">
        <v>1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3975</v>
      </c>
      <c r="C20" s="35">
        <v>0</v>
      </c>
      <c r="D20" s="35">
        <v>1411</v>
      </c>
      <c r="E20" s="35">
        <v>241</v>
      </c>
      <c r="F20" s="35">
        <v>231</v>
      </c>
      <c r="G20" s="35">
        <v>386</v>
      </c>
      <c r="H20" s="35">
        <v>6244</v>
      </c>
      <c r="I20" s="35">
        <v>0</v>
      </c>
      <c r="J20" s="37"/>
      <c r="K20" s="34">
        <v>15</v>
      </c>
      <c r="L20" s="58">
        <v>2</v>
      </c>
      <c r="M20" s="58">
        <v>8</v>
      </c>
      <c r="N20" s="58">
        <v>2</v>
      </c>
      <c r="O20" s="35">
        <v>12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3011</v>
      </c>
      <c r="C21" s="35">
        <v>0</v>
      </c>
      <c r="D21" s="35">
        <v>1425</v>
      </c>
      <c r="E21" s="35">
        <v>207</v>
      </c>
      <c r="F21" s="35">
        <v>234</v>
      </c>
      <c r="G21" s="35">
        <v>366</v>
      </c>
      <c r="H21" s="35">
        <v>5243</v>
      </c>
      <c r="I21" s="35">
        <v>0</v>
      </c>
      <c r="J21" s="37"/>
      <c r="K21" s="34">
        <v>16</v>
      </c>
      <c r="L21" s="58">
        <v>1</v>
      </c>
      <c r="M21" s="58">
        <v>5</v>
      </c>
      <c r="N21" s="58">
        <v>8</v>
      </c>
      <c r="O21" s="35">
        <v>14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3013</v>
      </c>
      <c r="C22" s="35">
        <v>0</v>
      </c>
      <c r="D22" s="35">
        <v>1501</v>
      </c>
      <c r="E22" s="35">
        <v>237</v>
      </c>
      <c r="F22" s="35">
        <v>227</v>
      </c>
      <c r="G22" s="35">
        <v>369</v>
      </c>
      <c r="H22" s="35">
        <v>5347</v>
      </c>
      <c r="I22" s="35">
        <v>0</v>
      </c>
      <c r="J22" s="37"/>
      <c r="K22" s="34">
        <v>17</v>
      </c>
      <c r="L22" s="58">
        <v>1</v>
      </c>
      <c r="M22" s="58">
        <v>17</v>
      </c>
      <c r="N22" s="58">
        <v>3</v>
      </c>
      <c r="O22" s="35">
        <v>21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3955</v>
      </c>
      <c r="C23" s="35">
        <v>0</v>
      </c>
      <c r="D23" s="35">
        <v>1476</v>
      </c>
      <c r="E23" s="35">
        <v>219</v>
      </c>
      <c r="F23" s="35">
        <v>221</v>
      </c>
      <c r="G23" s="35">
        <v>378</v>
      </c>
      <c r="H23" s="35">
        <v>6249</v>
      </c>
      <c r="I23" s="35">
        <v>0</v>
      </c>
      <c r="J23" s="37"/>
      <c r="K23" s="34">
        <v>18</v>
      </c>
      <c r="L23" s="58">
        <v>3</v>
      </c>
      <c r="M23" s="58">
        <v>8</v>
      </c>
      <c r="N23" s="58">
        <v>3</v>
      </c>
      <c r="O23" s="35">
        <v>14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4166</v>
      </c>
      <c r="C24" s="35">
        <v>0</v>
      </c>
      <c r="D24" s="35">
        <v>1189</v>
      </c>
      <c r="E24" s="35">
        <v>173</v>
      </c>
      <c r="F24" s="35">
        <v>229</v>
      </c>
      <c r="G24" s="35">
        <v>271</v>
      </c>
      <c r="H24" s="35">
        <v>6028</v>
      </c>
      <c r="I24" s="35">
        <v>0</v>
      </c>
      <c r="J24" s="37"/>
      <c r="K24" s="34">
        <v>19</v>
      </c>
      <c r="L24" s="58">
        <v>5</v>
      </c>
      <c r="M24" s="58">
        <v>16</v>
      </c>
      <c r="N24" s="58">
        <v>3</v>
      </c>
      <c r="O24" s="35">
        <v>24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5387</v>
      </c>
      <c r="C25" s="35">
        <v>0</v>
      </c>
      <c r="D25" s="35">
        <v>1053</v>
      </c>
      <c r="E25" s="35">
        <v>150</v>
      </c>
      <c r="F25" s="35">
        <v>113</v>
      </c>
      <c r="G25" s="35">
        <v>261</v>
      </c>
      <c r="H25" s="35">
        <v>6964</v>
      </c>
      <c r="I25" s="35">
        <v>0</v>
      </c>
      <c r="J25" s="37"/>
      <c r="K25" s="34">
        <v>20</v>
      </c>
      <c r="L25" s="58">
        <v>2</v>
      </c>
      <c r="M25" s="58">
        <v>0</v>
      </c>
      <c r="N25" s="58">
        <v>5</v>
      </c>
      <c r="O25" s="35">
        <v>7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2834</v>
      </c>
      <c r="C26" s="35">
        <v>0</v>
      </c>
      <c r="D26" s="35">
        <v>1290</v>
      </c>
      <c r="E26" s="35">
        <v>218</v>
      </c>
      <c r="F26" s="35">
        <v>214</v>
      </c>
      <c r="G26" s="35">
        <v>351</v>
      </c>
      <c r="H26" s="35">
        <v>4907</v>
      </c>
      <c r="I26" s="35">
        <v>0</v>
      </c>
      <c r="J26" s="37"/>
      <c r="K26" s="34">
        <v>21</v>
      </c>
      <c r="L26" s="58">
        <v>5</v>
      </c>
      <c r="M26" s="58">
        <v>16</v>
      </c>
      <c r="N26" s="58">
        <v>0</v>
      </c>
      <c r="O26" s="35">
        <v>21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2646</v>
      </c>
      <c r="C27" s="35">
        <v>0</v>
      </c>
      <c r="D27" s="35">
        <v>1368</v>
      </c>
      <c r="E27" s="35">
        <v>235</v>
      </c>
      <c r="F27" s="35">
        <v>243</v>
      </c>
      <c r="G27" s="35">
        <v>336</v>
      </c>
      <c r="H27" s="35">
        <v>4828</v>
      </c>
      <c r="I27" s="35">
        <v>0</v>
      </c>
      <c r="J27" s="37"/>
      <c r="K27" s="34">
        <v>22</v>
      </c>
      <c r="L27" s="58">
        <v>4</v>
      </c>
      <c r="M27" s="58">
        <v>10</v>
      </c>
      <c r="N27" s="58">
        <v>2</v>
      </c>
      <c r="O27" s="35">
        <v>16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2590</v>
      </c>
      <c r="C28" s="35">
        <v>0</v>
      </c>
      <c r="D28" s="35">
        <v>1464</v>
      </c>
      <c r="E28" s="35">
        <v>269</v>
      </c>
      <c r="F28" s="35">
        <v>244</v>
      </c>
      <c r="G28" s="35">
        <v>397</v>
      </c>
      <c r="H28" s="35">
        <v>4964</v>
      </c>
      <c r="I28" s="35">
        <v>0</v>
      </c>
      <c r="J28" s="37"/>
      <c r="K28" s="34">
        <v>23</v>
      </c>
      <c r="L28" s="58">
        <v>1</v>
      </c>
      <c r="M28" s="58">
        <v>13</v>
      </c>
      <c r="N28" s="58">
        <v>6</v>
      </c>
      <c r="O28" s="35">
        <v>20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3087</v>
      </c>
      <c r="C29" s="35">
        <v>0</v>
      </c>
      <c r="D29" s="35">
        <v>1479</v>
      </c>
      <c r="E29" s="35">
        <v>233</v>
      </c>
      <c r="F29" s="35">
        <v>264</v>
      </c>
      <c r="G29" s="35">
        <v>436</v>
      </c>
      <c r="H29" s="35">
        <v>5499</v>
      </c>
      <c r="I29" s="35">
        <v>0</v>
      </c>
      <c r="J29" s="37"/>
      <c r="K29" s="34">
        <v>24</v>
      </c>
      <c r="L29" s="58">
        <v>5</v>
      </c>
      <c r="M29" s="58">
        <v>13</v>
      </c>
      <c r="N29" s="58">
        <v>4</v>
      </c>
      <c r="O29" s="35">
        <v>22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4158</v>
      </c>
      <c r="C30" s="35">
        <v>0</v>
      </c>
      <c r="D30" s="35">
        <v>1466</v>
      </c>
      <c r="E30" s="35">
        <v>205</v>
      </c>
      <c r="F30" s="35">
        <v>211</v>
      </c>
      <c r="G30" s="35">
        <v>299</v>
      </c>
      <c r="H30" s="35">
        <v>6339</v>
      </c>
      <c r="I30" s="35">
        <v>0</v>
      </c>
      <c r="J30" s="37"/>
      <c r="K30" s="34">
        <v>25</v>
      </c>
      <c r="L30" s="58">
        <v>4</v>
      </c>
      <c r="M30" s="58">
        <v>2</v>
      </c>
      <c r="N30" s="58">
        <v>3</v>
      </c>
      <c r="O30" s="35">
        <v>9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3860</v>
      </c>
      <c r="C31" s="35">
        <v>0</v>
      </c>
      <c r="D31" s="35">
        <v>1072</v>
      </c>
      <c r="E31" s="35">
        <v>159</v>
      </c>
      <c r="F31" s="35">
        <v>217</v>
      </c>
      <c r="G31" s="35">
        <v>294</v>
      </c>
      <c r="H31" s="35">
        <v>5602</v>
      </c>
      <c r="I31" s="35">
        <v>0</v>
      </c>
      <c r="J31" s="37"/>
      <c r="K31" s="34">
        <v>26</v>
      </c>
      <c r="L31" s="58">
        <v>4</v>
      </c>
      <c r="M31" s="58">
        <v>9</v>
      </c>
      <c r="N31" s="58">
        <v>2</v>
      </c>
      <c r="O31" s="35">
        <v>15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4451</v>
      </c>
      <c r="C32" s="35">
        <v>0</v>
      </c>
      <c r="D32" s="35">
        <v>1023</v>
      </c>
      <c r="E32" s="35">
        <v>132</v>
      </c>
      <c r="F32" s="35">
        <v>132</v>
      </c>
      <c r="G32" s="35">
        <v>289</v>
      </c>
      <c r="H32" s="35">
        <v>6027</v>
      </c>
      <c r="I32" s="35">
        <v>0</v>
      </c>
      <c r="J32" s="37"/>
      <c r="K32" s="34">
        <v>27</v>
      </c>
      <c r="L32" s="58">
        <v>4</v>
      </c>
      <c r="M32" s="58">
        <v>6</v>
      </c>
      <c r="N32" s="58">
        <v>1</v>
      </c>
      <c r="O32" s="35">
        <v>11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3017</v>
      </c>
      <c r="C33" s="35">
        <v>0</v>
      </c>
      <c r="D33" s="35">
        <v>1327</v>
      </c>
      <c r="E33" s="35">
        <v>235</v>
      </c>
      <c r="F33" s="35">
        <v>217</v>
      </c>
      <c r="G33" s="35">
        <v>364</v>
      </c>
      <c r="H33" s="35">
        <v>5160</v>
      </c>
      <c r="I33" s="35">
        <v>0</v>
      </c>
      <c r="J33" s="37"/>
      <c r="K33" s="34">
        <v>28</v>
      </c>
      <c r="L33" s="58">
        <v>5</v>
      </c>
      <c r="M33" s="58">
        <v>14</v>
      </c>
      <c r="N33" s="58">
        <v>0</v>
      </c>
      <c r="O33" s="35">
        <v>19</v>
      </c>
      <c r="P33" s="50">
        <v>6135</v>
      </c>
    </row>
    <row r="34" spans="1:16" ht="15.6" thickTop="1" thickBot="1" x14ac:dyDescent="0.35">
      <c r="A34" s="34">
        <v>29</v>
      </c>
      <c r="B34" s="35">
        <v>2921</v>
      </c>
      <c r="C34" s="35">
        <v>0</v>
      </c>
      <c r="D34" s="35">
        <v>1391</v>
      </c>
      <c r="E34" s="35">
        <v>266</v>
      </c>
      <c r="F34" s="35">
        <v>258</v>
      </c>
      <c r="G34" s="35">
        <v>385</v>
      </c>
      <c r="H34" s="35">
        <v>5221</v>
      </c>
      <c r="I34" s="35">
        <v>0</v>
      </c>
      <c r="J34" s="37"/>
      <c r="K34" s="34">
        <v>29</v>
      </c>
      <c r="L34" s="58">
        <v>3</v>
      </c>
      <c r="M34" s="58">
        <v>8</v>
      </c>
      <c r="N34" s="58">
        <v>13</v>
      </c>
      <c r="O34" s="35">
        <v>24</v>
      </c>
      <c r="P34" s="50">
        <v>6135</v>
      </c>
    </row>
    <row r="35" spans="1:16" ht="15.6" thickTop="1" thickBot="1" x14ac:dyDescent="0.35">
      <c r="A35" s="34">
        <v>30</v>
      </c>
      <c r="B35" s="35">
        <v>2977</v>
      </c>
      <c r="C35" s="35">
        <v>0</v>
      </c>
      <c r="D35" s="35">
        <v>1522</v>
      </c>
      <c r="E35" s="35">
        <v>233</v>
      </c>
      <c r="F35" s="35">
        <v>271</v>
      </c>
      <c r="G35" s="35">
        <v>444</v>
      </c>
      <c r="H35" s="35">
        <v>5447</v>
      </c>
      <c r="I35" s="35">
        <v>0</v>
      </c>
      <c r="J35" s="37"/>
      <c r="K35" s="34">
        <v>30</v>
      </c>
      <c r="L35" s="58">
        <v>2</v>
      </c>
      <c r="M35" s="58">
        <v>17</v>
      </c>
      <c r="N35" s="58">
        <v>0</v>
      </c>
      <c r="O35" s="35">
        <v>19</v>
      </c>
      <c r="P35" s="50">
        <v>6135</v>
      </c>
    </row>
    <row r="36" spans="1:16" ht="15.6" thickTop="1" thickBot="1" x14ac:dyDescent="0.35">
      <c r="A36" s="34">
        <v>31</v>
      </c>
      <c r="B36" s="35">
        <v>3276</v>
      </c>
      <c r="C36" s="35">
        <v>0</v>
      </c>
      <c r="D36" s="35">
        <v>1512</v>
      </c>
      <c r="E36" s="35">
        <v>251</v>
      </c>
      <c r="F36" s="35">
        <v>237</v>
      </c>
      <c r="G36" s="35">
        <v>390</v>
      </c>
      <c r="H36" s="35">
        <v>5666</v>
      </c>
      <c r="I36" s="35">
        <v>0</v>
      </c>
      <c r="J36" s="37"/>
      <c r="K36" s="34">
        <v>31</v>
      </c>
      <c r="L36" s="58">
        <v>1</v>
      </c>
      <c r="M36" s="58">
        <v>12</v>
      </c>
      <c r="N36" s="58">
        <v>2</v>
      </c>
      <c r="O36" s="35">
        <v>15</v>
      </c>
      <c r="P36" s="50">
        <v>6135</v>
      </c>
    </row>
    <row r="37" spans="1:16" ht="15" thickTop="1" x14ac:dyDescent="0.3">
      <c r="A37" s="60" t="s">
        <v>19</v>
      </c>
      <c r="B37" s="61">
        <v>152361</v>
      </c>
      <c r="C37" s="61">
        <v>0</v>
      </c>
      <c r="D37" s="61">
        <v>41283</v>
      </c>
      <c r="E37" s="61">
        <v>6025</v>
      </c>
      <c r="F37" s="61">
        <v>6503</v>
      </c>
      <c r="G37" s="61">
        <v>10169</v>
      </c>
      <c r="H37" s="61">
        <v>216341</v>
      </c>
      <c r="I37" s="61">
        <v>0</v>
      </c>
      <c r="J37" s="61"/>
      <c r="K37" s="61"/>
      <c r="L37" s="61">
        <v>77</v>
      </c>
      <c r="M37" s="61">
        <v>309</v>
      </c>
      <c r="N37" s="61">
        <v>107</v>
      </c>
      <c r="O37" s="78">
        <v>493</v>
      </c>
      <c r="P37" s="62"/>
    </row>
    <row r="38" spans="1:16" x14ac:dyDescent="0.3">
      <c r="A38" s="60" t="s">
        <v>19</v>
      </c>
      <c r="B38" s="92">
        <v>152361</v>
      </c>
      <c r="C38" s="92"/>
      <c r="D38" s="61">
        <v>41283</v>
      </c>
      <c r="E38" s="61">
        <v>6025</v>
      </c>
      <c r="F38" s="61">
        <v>6503</v>
      </c>
      <c r="G38" s="61">
        <v>10169</v>
      </c>
      <c r="H38" s="78">
        <v>216341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04D1-1430-4F7D-8F4F-B6B95D6A0AB6}">
  <dimension ref="A1:Z46"/>
  <sheetViews>
    <sheetView topLeftCell="A16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32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6165</v>
      </c>
      <c r="C6" s="35">
        <v>0</v>
      </c>
      <c r="D6" s="35">
        <v>1440</v>
      </c>
      <c r="E6" s="35">
        <v>214</v>
      </c>
      <c r="F6" s="35">
        <v>235</v>
      </c>
      <c r="G6" s="35">
        <v>337</v>
      </c>
      <c r="H6" s="35">
        <v>8391</v>
      </c>
      <c r="I6" s="35">
        <v>0</v>
      </c>
      <c r="J6" s="36"/>
      <c r="K6" s="34">
        <v>1</v>
      </c>
      <c r="L6" s="58">
        <v>2</v>
      </c>
      <c r="M6" s="58">
        <v>14</v>
      </c>
      <c r="N6" s="58">
        <v>5</v>
      </c>
      <c r="O6" s="35">
        <v>21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7020</v>
      </c>
      <c r="C7" s="35">
        <v>0</v>
      </c>
      <c r="D7" s="35">
        <v>1035</v>
      </c>
      <c r="E7" s="35">
        <v>75</v>
      </c>
      <c r="F7" s="35">
        <v>159</v>
      </c>
      <c r="G7" s="35">
        <v>203</v>
      </c>
      <c r="H7" s="35">
        <v>8492</v>
      </c>
      <c r="I7" s="35">
        <v>0</v>
      </c>
      <c r="J7" s="36"/>
      <c r="K7" s="34">
        <v>2</v>
      </c>
      <c r="L7" s="58">
        <v>1</v>
      </c>
      <c r="M7" s="58">
        <v>10</v>
      </c>
      <c r="N7" s="58">
        <v>2</v>
      </c>
      <c r="O7" s="35">
        <v>13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6188</v>
      </c>
      <c r="C8" s="35">
        <v>0</v>
      </c>
      <c r="D8" s="35">
        <v>1045</v>
      </c>
      <c r="E8" s="35">
        <v>115</v>
      </c>
      <c r="F8" s="35">
        <v>132</v>
      </c>
      <c r="G8" s="35">
        <v>219</v>
      </c>
      <c r="H8" s="35">
        <v>7699</v>
      </c>
      <c r="I8" s="35">
        <v>0</v>
      </c>
      <c r="J8" s="36"/>
      <c r="K8" s="34">
        <v>3</v>
      </c>
      <c r="L8" s="58">
        <v>3</v>
      </c>
      <c r="M8" s="58">
        <v>8</v>
      </c>
      <c r="N8" s="58">
        <v>0</v>
      </c>
      <c r="O8" s="35">
        <v>11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10261</v>
      </c>
      <c r="C9" s="35">
        <v>0</v>
      </c>
      <c r="D9" s="35">
        <v>787</v>
      </c>
      <c r="E9" s="35">
        <v>83</v>
      </c>
      <c r="F9" s="35">
        <v>52</v>
      </c>
      <c r="G9" s="35">
        <v>149</v>
      </c>
      <c r="H9" s="35">
        <v>11332</v>
      </c>
      <c r="I9" s="35">
        <v>0</v>
      </c>
      <c r="J9" s="36"/>
      <c r="K9" s="34">
        <v>4</v>
      </c>
      <c r="L9" s="58">
        <v>1</v>
      </c>
      <c r="M9" s="58">
        <v>2</v>
      </c>
      <c r="N9" s="58">
        <v>1</v>
      </c>
      <c r="O9" s="35">
        <v>4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3461</v>
      </c>
      <c r="C10" s="35">
        <v>0</v>
      </c>
      <c r="D10" s="35">
        <v>1411</v>
      </c>
      <c r="E10" s="35">
        <v>191</v>
      </c>
      <c r="F10" s="35">
        <v>218</v>
      </c>
      <c r="G10" s="35">
        <v>406</v>
      </c>
      <c r="H10" s="35">
        <v>5687</v>
      </c>
      <c r="I10" s="35">
        <v>0</v>
      </c>
      <c r="J10" s="36"/>
      <c r="K10" s="34">
        <v>5</v>
      </c>
      <c r="L10" s="58">
        <v>2</v>
      </c>
      <c r="M10" s="58">
        <v>7</v>
      </c>
      <c r="N10" s="58">
        <v>0</v>
      </c>
      <c r="O10" s="35">
        <v>9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3075</v>
      </c>
      <c r="C11" s="35">
        <v>0</v>
      </c>
      <c r="D11" s="35">
        <v>1547</v>
      </c>
      <c r="E11" s="35">
        <v>218</v>
      </c>
      <c r="F11" s="35">
        <v>245</v>
      </c>
      <c r="G11" s="35">
        <v>413</v>
      </c>
      <c r="H11" s="35">
        <v>5498</v>
      </c>
      <c r="I11" s="35">
        <v>0</v>
      </c>
      <c r="J11" s="36"/>
      <c r="K11" s="34">
        <v>6</v>
      </c>
      <c r="L11" s="58">
        <v>0</v>
      </c>
      <c r="M11" s="58">
        <v>20</v>
      </c>
      <c r="N11" s="58">
        <v>5</v>
      </c>
      <c r="O11" s="35">
        <v>25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3596</v>
      </c>
      <c r="C12" s="35">
        <v>0</v>
      </c>
      <c r="D12" s="35">
        <v>1544</v>
      </c>
      <c r="E12" s="35">
        <v>236</v>
      </c>
      <c r="F12" s="35">
        <v>251</v>
      </c>
      <c r="G12" s="35">
        <v>440</v>
      </c>
      <c r="H12" s="35">
        <v>6067</v>
      </c>
      <c r="I12" s="35">
        <v>0</v>
      </c>
      <c r="J12" s="37"/>
      <c r="K12" s="34">
        <v>7</v>
      </c>
      <c r="L12" s="58">
        <v>2</v>
      </c>
      <c r="M12" s="58">
        <v>16</v>
      </c>
      <c r="N12" s="58">
        <v>4</v>
      </c>
      <c r="O12" s="35">
        <v>22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7551</v>
      </c>
      <c r="C13" s="35">
        <v>0</v>
      </c>
      <c r="D13" s="35">
        <v>1563</v>
      </c>
      <c r="E13" s="35">
        <v>205</v>
      </c>
      <c r="F13" s="35">
        <v>257</v>
      </c>
      <c r="G13" s="35">
        <v>451</v>
      </c>
      <c r="H13" s="35">
        <v>10027</v>
      </c>
      <c r="I13" s="35">
        <v>0</v>
      </c>
      <c r="J13" s="37"/>
      <c r="K13" s="34">
        <v>8</v>
      </c>
      <c r="L13" s="58">
        <v>3</v>
      </c>
      <c r="M13" s="58">
        <v>14</v>
      </c>
      <c r="N13" s="58">
        <v>3</v>
      </c>
      <c r="O13" s="35">
        <v>20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8576</v>
      </c>
      <c r="C14" s="35">
        <v>0</v>
      </c>
      <c r="D14" s="35">
        <v>1093</v>
      </c>
      <c r="E14" s="35">
        <v>99</v>
      </c>
      <c r="F14" s="35">
        <v>176</v>
      </c>
      <c r="G14" s="35">
        <v>211</v>
      </c>
      <c r="H14" s="35">
        <v>10155</v>
      </c>
      <c r="I14" s="35">
        <v>0</v>
      </c>
      <c r="J14" s="37"/>
      <c r="K14" s="34">
        <v>9</v>
      </c>
      <c r="L14" s="58">
        <v>1</v>
      </c>
      <c r="M14" s="58">
        <v>8</v>
      </c>
      <c r="N14" s="58">
        <v>1</v>
      </c>
      <c r="O14" s="35">
        <v>10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7256</v>
      </c>
      <c r="C15" s="35">
        <v>0</v>
      </c>
      <c r="D15" s="35">
        <v>1119</v>
      </c>
      <c r="E15" s="35">
        <v>126</v>
      </c>
      <c r="F15" s="35">
        <v>154</v>
      </c>
      <c r="G15" s="35">
        <v>264</v>
      </c>
      <c r="H15" s="35">
        <v>8919</v>
      </c>
      <c r="I15" s="35">
        <v>0</v>
      </c>
      <c r="J15" s="37"/>
      <c r="K15" s="34">
        <v>10</v>
      </c>
      <c r="L15" s="58">
        <v>2</v>
      </c>
      <c r="M15" s="58">
        <v>2</v>
      </c>
      <c r="N15" s="58">
        <v>1</v>
      </c>
      <c r="O15" s="35">
        <v>5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12556</v>
      </c>
      <c r="C16" s="35">
        <v>0</v>
      </c>
      <c r="D16" s="35">
        <v>830</v>
      </c>
      <c r="E16" s="35">
        <v>75</v>
      </c>
      <c r="F16" s="35">
        <v>48</v>
      </c>
      <c r="G16" s="35">
        <v>116</v>
      </c>
      <c r="H16" s="35">
        <v>13625</v>
      </c>
      <c r="I16" s="35">
        <v>0</v>
      </c>
      <c r="J16" s="37"/>
      <c r="K16" s="34">
        <v>11</v>
      </c>
      <c r="L16" s="58">
        <v>0</v>
      </c>
      <c r="M16" s="58">
        <v>3</v>
      </c>
      <c r="N16" s="58">
        <v>0</v>
      </c>
      <c r="O16" s="35">
        <v>3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3718</v>
      </c>
      <c r="C17" s="35">
        <v>0</v>
      </c>
      <c r="D17" s="35">
        <v>1379</v>
      </c>
      <c r="E17" s="35">
        <v>209</v>
      </c>
      <c r="F17" s="35">
        <v>234</v>
      </c>
      <c r="G17" s="35">
        <v>349</v>
      </c>
      <c r="H17" s="35">
        <v>5889</v>
      </c>
      <c r="I17" s="35">
        <v>0</v>
      </c>
      <c r="J17" s="37"/>
      <c r="K17" s="34">
        <v>12</v>
      </c>
      <c r="L17" s="58">
        <v>2</v>
      </c>
      <c r="M17" s="58">
        <v>8</v>
      </c>
      <c r="N17" s="58">
        <v>2</v>
      </c>
      <c r="O17" s="35">
        <v>12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3071</v>
      </c>
      <c r="C18" s="35">
        <v>0</v>
      </c>
      <c r="D18" s="35">
        <v>1477</v>
      </c>
      <c r="E18" s="35">
        <v>244</v>
      </c>
      <c r="F18" s="35">
        <v>235</v>
      </c>
      <c r="G18" s="35">
        <v>400</v>
      </c>
      <c r="H18" s="35">
        <v>5427</v>
      </c>
      <c r="I18" s="35">
        <v>0</v>
      </c>
      <c r="J18" s="37"/>
      <c r="K18" s="34">
        <v>13</v>
      </c>
      <c r="L18" s="58">
        <v>1</v>
      </c>
      <c r="M18" s="58">
        <v>10</v>
      </c>
      <c r="N18" s="58">
        <v>2</v>
      </c>
      <c r="O18" s="35">
        <v>13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3025</v>
      </c>
      <c r="C19" s="35">
        <v>0</v>
      </c>
      <c r="D19" s="35">
        <v>1207</v>
      </c>
      <c r="E19" s="35">
        <v>239</v>
      </c>
      <c r="F19" s="35">
        <v>231</v>
      </c>
      <c r="G19" s="35">
        <v>379</v>
      </c>
      <c r="H19" s="35">
        <v>5081</v>
      </c>
      <c r="I19" s="35">
        <v>0</v>
      </c>
      <c r="J19" s="37"/>
      <c r="K19" s="34">
        <v>14</v>
      </c>
      <c r="L19" s="58">
        <v>0</v>
      </c>
      <c r="M19" s="58">
        <v>9</v>
      </c>
      <c r="N19" s="58">
        <v>6</v>
      </c>
      <c r="O19" s="35">
        <v>15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4025</v>
      </c>
      <c r="C20" s="35">
        <v>0</v>
      </c>
      <c r="D20" s="35">
        <v>1324</v>
      </c>
      <c r="E20" s="35">
        <v>245</v>
      </c>
      <c r="F20" s="35">
        <v>224</v>
      </c>
      <c r="G20" s="35">
        <v>339</v>
      </c>
      <c r="H20" s="35">
        <v>6157</v>
      </c>
      <c r="I20" s="35">
        <v>0</v>
      </c>
      <c r="J20" s="37"/>
      <c r="K20" s="34">
        <v>15</v>
      </c>
      <c r="L20" s="58">
        <v>1</v>
      </c>
      <c r="M20" s="58">
        <v>22</v>
      </c>
      <c r="N20" s="58">
        <v>7</v>
      </c>
      <c r="O20" s="35">
        <v>30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3805</v>
      </c>
      <c r="C21" s="35">
        <v>0</v>
      </c>
      <c r="D21" s="35">
        <v>1288</v>
      </c>
      <c r="E21" s="35">
        <v>221</v>
      </c>
      <c r="F21" s="35">
        <v>221</v>
      </c>
      <c r="G21" s="35">
        <v>297</v>
      </c>
      <c r="H21" s="35">
        <v>5832</v>
      </c>
      <c r="I21" s="35">
        <v>0</v>
      </c>
      <c r="J21" s="37"/>
      <c r="K21" s="34">
        <v>16</v>
      </c>
      <c r="L21" s="58">
        <v>1</v>
      </c>
      <c r="M21" s="58">
        <v>7</v>
      </c>
      <c r="N21" s="58">
        <v>3</v>
      </c>
      <c r="O21" s="35">
        <v>11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4978</v>
      </c>
      <c r="C22" s="35">
        <v>0</v>
      </c>
      <c r="D22" s="35">
        <v>1115</v>
      </c>
      <c r="E22" s="35">
        <v>157</v>
      </c>
      <c r="F22" s="35">
        <v>175</v>
      </c>
      <c r="G22" s="35">
        <v>265</v>
      </c>
      <c r="H22" s="35">
        <v>6690</v>
      </c>
      <c r="I22" s="35">
        <v>0</v>
      </c>
      <c r="J22" s="37"/>
      <c r="K22" s="34">
        <v>17</v>
      </c>
      <c r="L22" s="58">
        <v>1</v>
      </c>
      <c r="M22" s="58">
        <v>8</v>
      </c>
      <c r="N22" s="58">
        <v>1</v>
      </c>
      <c r="O22" s="35">
        <v>10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3081</v>
      </c>
      <c r="C23" s="35">
        <v>0</v>
      </c>
      <c r="D23" s="35">
        <v>1489</v>
      </c>
      <c r="E23" s="35">
        <v>293</v>
      </c>
      <c r="F23" s="35">
        <v>264</v>
      </c>
      <c r="G23" s="35">
        <v>391</v>
      </c>
      <c r="H23" s="35">
        <v>5518</v>
      </c>
      <c r="I23" s="35">
        <v>0</v>
      </c>
      <c r="J23" s="37"/>
      <c r="K23" s="34">
        <v>18</v>
      </c>
      <c r="L23" s="58">
        <v>17</v>
      </c>
      <c r="M23" s="58">
        <v>13</v>
      </c>
      <c r="N23" s="58">
        <v>0</v>
      </c>
      <c r="O23" s="35">
        <v>30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2907</v>
      </c>
      <c r="C24" s="35">
        <v>0</v>
      </c>
      <c r="D24" s="35">
        <v>1309</v>
      </c>
      <c r="E24" s="35">
        <v>224</v>
      </c>
      <c r="F24" s="35">
        <v>243</v>
      </c>
      <c r="G24" s="35">
        <v>394</v>
      </c>
      <c r="H24" s="35">
        <v>5077</v>
      </c>
      <c r="I24" s="35">
        <v>0</v>
      </c>
      <c r="J24" s="37"/>
      <c r="K24" s="34">
        <v>19</v>
      </c>
      <c r="L24" s="58">
        <v>1</v>
      </c>
      <c r="M24" s="58">
        <v>24</v>
      </c>
      <c r="N24" s="58">
        <v>3</v>
      </c>
      <c r="O24" s="35">
        <v>28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3305</v>
      </c>
      <c r="C25" s="35">
        <v>0</v>
      </c>
      <c r="D25" s="35">
        <v>1447</v>
      </c>
      <c r="E25" s="35">
        <v>216</v>
      </c>
      <c r="F25" s="35">
        <v>273</v>
      </c>
      <c r="G25" s="35">
        <v>421</v>
      </c>
      <c r="H25" s="35">
        <v>5662</v>
      </c>
      <c r="I25" s="35">
        <v>0</v>
      </c>
      <c r="J25" s="37"/>
      <c r="K25" s="34">
        <v>20</v>
      </c>
      <c r="L25" s="58">
        <v>2</v>
      </c>
      <c r="M25" s="58">
        <v>15</v>
      </c>
      <c r="N25" s="58">
        <v>3</v>
      </c>
      <c r="O25" s="35">
        <v>20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1772</v>
      </c>
      <c r="C26" s="35">
        <v>0</v>
      </c>
      <c r="D26" s="35">
        <v>1081</v>
      </c>
      <c r="E26" s="35">
        <v>178</v>
      </c>
      <c r="F26" s="35">
        <v>233</v>
      </c>
      <c r="G26" s="35">
        <v>331</v>
      </c>
      <c r="H26" s="35">
        <v>3595</v>
      </c>
      <c r="I26" s="35">
        <v>0</v>
      </c>
      <c r="J26" s="37"/>
      <c r="K26" s="34">
        <v>21</v>
      </c>
      <c r="L26" s="58">
        <v>15</v>
      </c>
      <c r="M26" s="58">
        <v>18</v>
      </c>
      <c r="N26" s="58">
        <v>4</v>
      </c>
      <c r="O26" s="35">
        <v>37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3186</v>
      </c>
      <c r="C27" s="35">
        <v>0</v>
      </c>
      <c r="D27" s="35">
        <v>1031</v>
      </c>
      <c r="E27" s="35">
        <v>181</v>
      </c>
      <c r="F27" s="35">
        <v>202</v>
      </c>
      <c r="G27" s="35">
        <v>344</v>
      </c>
      <c r="H27" s="35">
        <v>4944</v>
      </c>
      <c r="I27" s="35">
        <v>0</v>
      </c>
      <c r="J27" s="37"/>
      <c r="K27" s="34">
        <v>22</v>
      </c>
      <c r="L27" s="58">
        <v>5</v>
      </c>
      <c r="M27" s="58">
        <v>4</v>
      </c>
      <c r="N27" s="58">
        <v>1</v>
      </c>
      <c r="O27" s="35">
        <v>10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3759</v>
      </c>
      <c r="C28" s="35">
        <v>0</v>
      </c>
      <c r="D28" s="35">
        <v>1102</v>
      </c>
      <c r="E28" s="35">
        <v>154</v>
      </c>
      <c r="F28" s="35">
        <v>218</v>
      </c>
      <c r="G28" s="35">
        <v>268</v>
      </c>
      <c r="H28" s="35">
        <v>5501</v>
      </c>
      <c r="I28" s="35">
        <v>0</v>
      </c>
      <c r="J28" s="37"/>
      <c r="K28" s="34">
        <v>23</v>
      </c>
      <c r="L28" s="58">
        <v>5</v>
      </c>
      <c r="M28" s="58">
        <v>12</v>
      </c>
      <c r="N28" s="58">
        <v>1</v>
      </c>
      <c r="O28" s="35">
        <v>18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4815</v>
      </c>
      <c r="C29" s="35">
        <v>0</v>
      </c>
      <c r="D29" s="35">
        <v>1013</v>
      </c>
      <c r="E29" s="35">
        <v>164</v>
      </c>
      <c r="F29" s="35">
        <v>168</v>
      </c>
      <c r="G29" s="35">
        <v>319</v>
      </c>
      <c r="H29" s="35">
        <v>6479</v>
      </c>
      <c r="I29" s="35">
        <v>0</v>
      </c>
      <c r="J29" s="37"/>
      <c r="K29" s="34">
        <v>24</v>
      </c>
      <c r="L29" s="58">
        <v>1</v>
      </c>
      <c r="M29" s="58">
        <v>5</v>
      </c>
      <c r="N29" s="58">
        <v>0</v>
      </c>
      <c r="O29" s="35">
        <v>6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3088</v>
      </c>
      <c r="C30" s="35">
        <v>0</v>
      </c>
      <c r="D30" s="35">
        <v>1278</v>
      </c>
      <c r="E30" s="35">
        <v>230</v>
      </c>
      <c r="F30" s="35">
        <v>219</v>
      </c>
      <c r="G30" s="35">
        <v>376</v>
      </c>
      <c r="H30" s="35">
        <v>5191</v>
      </c>
      <c r="I30" s="35">
        <v>0</v>
      </c>
      <c r="J30" s="37"/>
      <c r="K30" s="34">
        <v>25</v>
      </c>
      <c r="L30" s="58">
        <v>1</v>
      </c>
      <c r="M30" s="58">
        <v>12</v>
      </c>
      <c r="N30" s="58">
        <v>5</v>
      </c>
      <c r="O30" s="35">
        <v>18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2960</v>
      </c>
      <c r="C31" s="35">
        <v>0</v>
      </c>
      <c r="D31" s="35">
        <v>1532</v>
      </c>
      <c r="E31" s="35">
        <v>257</v>
      </c>
      <c r="F31" s="35">
        <v>244</v>
      </c>
      <c r="G31" s="35">
        <v>389</v>
      </c>
      <c r="H31" s="35">
        <v>5382</v>
      </c>
      <c r="I31" s="35">
        <v>0</v>
      </c>
      <c r="J31" s="37"/>
      <c r="K31" s="34">
        <v>26</v>
      </c>
      <c r="L31" s="58">
        <v>1</v>
      </c>
      <c r="M31" s="58">
        <v>21</v>
      </c>
      <c r="N31" s="58">
        <v>5</v>
      </c>
      <c r="O31" s="35">
        <v>27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2956</v>
      </c>
      <c r="C32" s="35">
        <v>0</v>
      </c>
      <c r="D32" s="35">
        <v>1522</v>
      </c>
      <c r="E32" s="35">
        <v>238</v>
      </c>
      <c r="F32" s="35">
        <v>259</v>
      </c>
      <c r="G32" s="35">
        <v>448</v>
      </c>
      <c r="H32" s="35">
        <v>5423</v>
      </c>
      <c r="I32" s="35">
        <v>0</v>
      </c>
      <c r="J32" s="37"/>
      <c r="K32" s="34">
        <v>27</v>
      </c>
      <c r="L32" s="58">
        <v>2</v>
      </c>
      <c r="M32" s="58">
        <v>5</v>
      </c>
      <c r="N32" s="58">
        <v>7</v>
      </c>
      <c r="O32" s="35">
        <v>14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3541</v>
      </c>
      <c r="C33" s="35">
        <v>0</v>
      </c>
      <c r="D33" s="35">
        <v>1582</v>
      </c>
      <c r="E33" s="35">
        <v>224</v>
      </c>
      <c r="F33" s="35">
        <v>268</v>
      </c>
      <c r="G33" s="35">
        <v>420</v>
      </c>
      <c r="H33" s="35">
        <v>6035</v>
      </c>
      <c r="I33" s="35">
        <v>0</v>
      </c>
      <c r="J33" s="37"/>
      <c r="K33" s="34">
        <v>28</v>
      </c>
      <c r="L33" s="58">
        <v>3</v>
      </c>
      <c r="M33" s="58">
        <v>18</v>
      </c>
      <c r="N33" s="58">
        <v>2</v>
      </c>
      <c r="O33" s="35">
        <v>23</v>
      </c>
      <c r="P33" s="50">
        <v>6135</v>
      </c>
    </row>
    <row r="34" spans="1:16" ht="15.6" thickTop="1" thickBot="1" x14ac:dyDescent="0.35">
      <c r="A34" s="34">
        <v>29</v>
      </c>
      <c r="B34" s="35">
        <v>4948</v>
      </c>
      <c r="C34" s="35">
        <v>0</v>
      </c>
      <c r="D34" s="35">
        <v>1406</v>
      </c>
      <c r="E34" s="35">
        <v>223</v>
      </c>
      <c r="F34" s="35">
        <v>220</v>
      </c>
      <c r="G34" s="35">
        <v>391</v>
      </c>
      <c r="H34" s="35">
        <v>7188</v>
      </c>
      <c r="I34" s="35">
        <v>0</v>
      </c>
      <c r="J34" s="37"/>
      <c r="K34" s="34">
        <v>29</v>
      </c>
      <c r="L34" s="58">
        <v>3</v>
      </c>
      <c r="M34" s="58">
        <v>19</v>
      </c>
      <c r="N34" s="58">
        <v>5</v>
      </c>
      <c r="O34" s="35">
        <v>27</v>
      </c>
      <c r="P34" s="50">
        <v>6135</v>
      </c>
    </row>
    <row r="35" spans="1:16" ht="15.6" thickTop="1" thickBot="1" x14ac:dyDescent="0.35">
      <c r="A35" s="34">
        <v>30</v>
      </c>
      <c r="B35" s="35">
        <v>4846</v>
      </c>
      <c r="C35" s="35">
        <v>0</v>
      </c>
      <c r="D35" s="35">
        <v>1344</v>
      </c>
      <c r="E35" s="35">
        <v>146</v>
      </c>
      <c r="F35" s="35">
        <v>211</v>
      </c>
      <c r="G35" s="35">
        <v>299</v>
      </c>
      <c r="H35" s="35">
        <v>6846</v>
      </c>
      <c r="I35" s="35">
        <v>0</v>
      </c>
      <c r="J35" s="37"/>
      <c r="K35" s="34">
        <v>30</v>
      </c>
      <c r="L35" s="58">
        <v>1</v>
      </c>
      <c r="M35" s="58">
        <v>13</v>
      </c>
      <c r="N35" s="58">
        <v>2</v>
      </c>
      <c r="O35" s="35">
        <v>16</v>
      </c>
      <c r="P35" s="50">
        <v>6135</v>
      </c>
    </row>
    <row r="36" spans="1:16" ht="15.6" thickTop="1" thickBot="1" x14ac:dyDescent="0.35">
      <c r="A36" s="34">
        <v>31</v>
      </c>
      <c r="B36" s="35"/>
      <c r="C36" s="35"/>
      <c r="D36" s="35"/>
      <c r="E36" s="35"/>
      <c r="F36" s="35"/>
      <c r="G36" s="35"/>
      <c r="H36" s="35">
        <v>0</v>
      </c>
      <c r="I36" s="35">
        <v>0</v>
      </c>
      <c r="J36" s="37"/>
      <c r="K36" s="34">
        <v>31</v>
      </c>
      <c r="L36" s="58"/>
      <c r="M36" s="58"/>
      <c r="N36" s="58"/>
      <c r="O36" s="35">
        <v>0</v>
      </c>
      <c r="P36" s="50">
        <v>6135</v>
      </c>
    </row>
    <row r="37" spans="1:16" ht="15" thickTop="1" x14ac:dyDescent="0.3">
      <c r="A37" s="60" t="s">
        <v>19</v>
      </c>
      <c r="B37" s="61">
        <v>143491</v>
      </c>
      <c r="C37" s="61">
        <v>0</v>
      </c>
      <c r="D37" s="61">
        <v>38340</v>
      </c>
      <c r="E37" s="61">
        <v>5680</v>
      </c>
      <c r="F37" s="61">
        <v>6269</v>
      </c>
      <c r="G37" s="61">
        <v>10029</v>
      </c>
      <c r="H37" s="61">
        <v>203809</v>
      </c>
      <c r="I37" s="61">
        <v>0</v>
      </c>
      <c r="J37" s="61"/>
      <c r="K37" s="61"/>
      <c r="L37" s="61">
        <v>80</v>
      </c>
      <c r="M37" s="61">
        <v>347</v>
      </c>
      <c r="N37" s="61">
        <v>81</v>
      </c>
      <c r="O37" s="78">
        <v>508</v>
      </c>
      <c r="P37" s="62"/>
    </row>
    <row r="38" spans="1:16" x14ac:dyDescent="0.3">
      <c r="A38" s="60" t="s">
        <v>19</v>
      </c>
      <c r="B38" s="92">
        <v>143491</v>
      </c>
      <c r="C38" s="92"/>
      <c r="D38" s="61">
        <v>38340</v>
      </c>
      <c r="E38" s="61">
        <v>5680</v>
      </c>
      <c r="F38" s="61">
        <v>6269</v>
      </c>
      <c r="G38" s="61">
        <v>10029</v>
      </c>
      <c r="H38" s="78">
        <v>203809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EDDA-51CB-4E0E-AE3B-EAB13DD11C0E}">
  <dimension ref="A1:Z46"/>
  <sheetViews>
    <sheetView tabSelected="1" workbookViewId="0">
      <selection activeCell="N41" sqref="N41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ht="15.6" x14ac:dyDescent="0.3">
      <c r="A3" s="97" t="s">
        <v>33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9"/>
      <c r="Q3" s="69"/>
      <c r="R3" s="69"/>
      <c r="S3" s="69"/>
    </row>
    <row r="4" spans="1:19" ht="82.8" x14ac:dyDescent="0.3">
      <c r="A4" s="95" t="s">
        <v>1</v>
      </c>
      <c r="B4" s="93" t="s">
        <v>2</v>
      </c>
      <c r="C4" s="93"/>
      <c r="D4" s="59" t="s">
        <v>3</v>
      </c>
      <c r="E4" s="59" t="s">
        <v>4</v>
      </c>
      <c r="F4" s="59" t="s">
        <v>5</v>
      </c>
      <c r="G4" s="59" t="s">
        <v>6</v>
      </c>
      <c r="H4" s="93" t="s">
        <v>7</v>
      </c>
      <c r="I4" s="93" t="s">
        <v>8</v>
      </c>
      <c r="J4" s="63"/>
      <c r="K4" s="94" t="s">
        <v>1</v>
      </c>
      <c r="L4" s="93" t="s">
        <v>9</v>
      </c>
      <c r="M4" s="93" t="s">
        <v>10</v>
      </c>
      <c r="N4" s="93" t="s">
        <v>11</v>
      </c>
      <c r="O4" s="93" t="s">
        <v>12</v>
      </c>
      <c r="P4" s="62"/>
      <c r="Q4" s="62"/>
      <c r="R4" s="62"/>
      <c r="S4" s="62"/>
    </row>
    <row r="5" spans="1:19" x14ac:dyDescent="0.3">
      <c r="A5" s="96"/>
      <c r="B5" s="60" t="s">
        <v>13</v>
      </c>
      <c r="C5" s="60" t="s">
        <v>14</v>
      </c>
      <c r="D5" s="60" t="s">
        <v>15</v>
      </c>
      <c r="E5" s="60" t="s">
        <v>16</v>
      </c>
      <c r="F5" s="60" t="s">
        <v>17</v>
      </c>
      <c r="G5" s="60" t="s">
        <v>18</v>
      </c>
      <c r="H5" s="93"/>
      <c r="I5" s="93"/>
      <c r="J5" s="63"/>
      <c r="K5" s="94"/>
      <c r="L5" s="93"/>
      <c r="M5" s="93"/>
      <c r="N5" s="93"/>
      <c r="O5" s="93"/>
      <c r="P5" s="62"/>
      <c r="Q5" s="62"/>
      <c r="R5" s="62"/>
      <c r="S5" s="62"/>
    </row>
    <row r="6" spans="1:19" ht="15" thickBot="1" x14ac:dyDescent="0.35">
      <c r="A6" s="34">
        <v>1</v>
      </c>
      <c r="B6" s="35">
        <v>6444</v>
      </c>
      <c r="C6" s="35">
        <v>0</v>
      </c>
      <c r="D6" s="35">
        <v>1245</v>
      </c>
      <c r="E6" s="35">
        <v>169</v>
      </c>
      <c r="F6" s="35">
        <v>160</v>
      </c>
      <c r="G6" s="35">
        <v>325</v>
      </c>
      <c r="H6" s="35">
        <v>8343</v>
      </c>
      <c r="I6" s="35">
        <v>0</v>
      </c>
      <c r="J6" s="36"/>
      <c r="K6" s="34">
        <v>1</v>
      </c>
      <c r="L6" s="58">
        <v>0</v>
      </c>
      <c r="M6" s="58">
        <v>8</v>
      </c>
      <c r="N6" s="58">
        <v>2</v>
      </c>
      <c r="O6" s="35">
        <v>10</v>
      </c>
      <c r="P6" s="50">
        <v>6135</v>
      </c>
      <c r="Q6" s="62"/>
      <c r="R6" s="62"/>
      <c r="S6" s="62"/>
    </row>
    <row r="7" spans="1:19" ht="15.6" thickTop="1" thickBot="1" x14ac:dyDescent="0.35">
      <c r="A7" s="34">
        <v>2</v>
      </c>
      <c r="B7" s="35">
        <v>3699</v>
      </c>
      <c r="C7" s="35">
        <v>0</v>
      </c>
      <c r="D7" s="35">
        <v>1352</v>
      </c>
      <c r="E7" s="35">
        <v>243</v>
      </c>
      <c r="F7" s="35">
        <v>215</v>
      </c>
      <c r="G7" s="35">
        <v>377</v>
      </c>
      <c r="H7" s="35">
        <v>5886</v>
      </c>
      <c r="I7" s="35">
        <v>0</v>
      </c>
      <c r="J7" s="36"/>
      <c r="K7" s="34">
        <v>2</v>
      </c>
      <c r="L7" s="58">
        <v>1</v>
      </c>
      <c r="M7" s="58">
        <v>18</v>
      </c>
      <c r="N7" s="58">
        <v>6</v>
      </c>
      <c r="O7" s="35">
        <v>25</v>
      </c>
      <c r="P7" s="50">
        <v>6135</v>
      </c>
      <c r="Q7" s="62"/>
      <c r="R7" s="62"/>
      <c r="S7" s="62"/>
    </row>
    <row r="8" spans="1:19" ht="15.6" thickTop="1" thickBot="1" x14ac:dyDescent="0.35">
      <c r="A8" s="34">
        <v>3</v>
      </c>
      <c r="B8" s="35">
        <v>3765</v>
      </c>
      <c r="C8" s="35">
        <v>0</v>
      </c>
      <c r="D8" s="35">
        <v>1559</v>
      </c>
      <c r="E8" s="35">
        <v>255</v>
      </c>
      <c r="F8" s="35">
        <v>232</v>
      </c>
      <c r="G8" s="35">
        <v>389</v>
      </c>
      <c r="H8" s="35">
        <v>6200</v>
      </c>
      <c r="I8" s="35">
        <v>0</v>
      </c>
      <c r="J8" s="36"/>
      <c r="K8" s="34">
        <v>3</v>
      </c>
      <c r="L8" s="58">
        <v>0</v>
      </c>
      <c r="M8" s="58">
        <v>30</v>
      </c>
      <c r="N8" s="58">
        <v>8</v>
      </c>
      <c r="O8" s="35">
        <v>38</v>
      </c>
      <c r="P8" s="50">
        <v>6135</v>
      </c>
      <c r="Q8" s="62"/>
      <c r="R8" s="62"/>
      <c r="S8" s="67"/>
    </row>
    <row r="9" spans="1:19" ht="15.6" thickTop="1" thickBot="1" x14ac:dyDescent="0.35">
      <c r="A9" s="34">
        <v>4</v>
      </c>
      <c r="B9" s="35">
        <v>3133</v>
      </c>
      <c r="C9" s="35">
        <v>0</v>
      </c>
      <c r="D9" s="35">
        <v>1524</v>
      </c>
      <c r="E9" s="35">
        <v>251</v>
      </c>
      <c r="F9" s="35">
        <v>254</v>
      </c>
      <c r="G9" s="35">
        <v>417</v>
      </c>
      <c r="H9" s="35">
        <v>5579</v>
      </c>
      <c r="I9" s="35">
        <v>0</v>
      </c>
      <c r="J9" s="36"/>
      <c r="K9" s="34">
        <v>4</v>
      </c>
      <c r="L9" s="58">
        <v>2</v>
      </c>
      <c r="M9" s="58">
        <v>17</v>
      </c>
      <c r="N9" s="58">
        <v>5</v>
      </c>
      <c r="O9" s="35">
        <v>24</v>
      </c>
      <c r="P9" s="50">
        <v>6135</v>
      </c>
      <c r="Q9" s="62"/>
      <c r="R9" s="62"/>
      <c r="S9" s="62"/>
    </row>
    <row r="10" spans="1:19" ht="15.6" thickTop="1" thickBot="1" x14ac:dyDescent="0.35">
      <c r="A10" s="34">
        <v>5</v>
      </c>
      <c r="B10" s="35">
        <v>4185</v>
      </c>
      <c r="C10" s="35">
        <v>0</v>
      </c>
      <c r="D10" s="35">
        <v>1721</v>
      </c>
      <c r="E10" s="35">
        <v>260</v>
      </c>
      <c r="F10" s="35">
        <v>242</v>
      </c>
      <c r="G10" s="35">
        <v>405</v>
      </c>
      <c r="H10" s="35">
        <v>6813</v>
      </c>
      <c r="I10" s="35">
        <v>0</v>
      </c>
      <c r="J10" s="36"/>
      <c r="K10" s="34">
        <v>5</v>
      </c>
      <c r="L10" s="58">
        <v>4</v>
      </c>
      <c r="M10" s="58">
        <v>13</v>
      </c>
      <c r="N10" s="58">
        <v>8</v>
      </c>
      <c r="O10" s="35">
        <v>25</v>
      </c>
      <c r="P10" s="50">
        <v>6135</v>
      </c>
      <c r="Q10" s="62"/>
      <c r="R10" s="62"/>
      <c r="S10" s="62"/>
    </row>
    <row r="11" spans="1:19" ht="15.6" thickTop="1" thickBot="1" x14ac:dyDescent="0.35">
      <c r="A11" s="34">
        <v>6</v>
      </c>
      <c r="B11" s="35">
        <v>5927</v>
      </c>
      <c r="C11" s="35">
        <v>0</v>
      </c>
      <c r="D11" s="35">
        <v>1579</v>
      </c>
      <c r="E11" s="35">
        <v>218</v>
      </c>
      <c r="F11" s="35">
        <v>225</v>
      </c>
      <c r="G11" s="35">
        <v>398</v>
      </c>
      <c r="H11" s="35">
        <v>8347</v>
      </c>
      <c r="I11" s="35">
        <v>0</v>
      </c>
      <c r="J11" s="36"/>
      <c r="K11" s="34">
        <v>6</v>
      </c>
      <c r="L11" s="58">
        <v>8</v>
      </c>
      <c r="M11" s="58">
        <v>12</v>
      </c>
      <c r="N11" s="58">
        <v>9</v>
      </c>
      <c r="O11" s="35">
        <v>29</v>
      </c>
      <c r="P11" s="50">
        <v>6135</v>
      </c>
      <c r="Q11" s="62"/>
      <c r="R11" s="62"/>
      <c r="S11" s="62"/>
    </row>
    <row r="12" spans="1:19" ht="15.6" thickTop="1" thickBot="1" x14ac:dyDescent="0.35">
      <c r="A12" s="34">
        <v>7</v>
      </c>
      <c r="B12" s="35">
        <v>5167</v>
      </c>
      <c r="C12" s="35">
        <v>0</v>
      </c>
      <c r="D12" s="35">
        <v>1293</v>
      </c>
      <c r="E12" s="35">
        <v>142</v>
      </c>
      <c r="F12" s="35">
        <v>218</v>
      </c>
      <c r="G12" s="35">
        <v>292</v>
      </c>
      <c r="H12" s="35">
        <v>7112</v>
      </c>
      <c r="I12" s="35">
        <v>0</v>
      </c>
      <c r="J12" s="37"/>
      <c r="K12" s="34">
        <v>7</v>
      </c>
      <c r="L12" s="58">
        <v>9</v>
      </c>
      <c r="M12" s="58">
        <v>8</v>
      </c>
      <c r="N12" s="58">
        <v>3</v>
      </c>
      <c r="O12" s="35">
        <v>20</v>
      </c>
      <c r="P12" s="50">
        <v>6135</v>
      </c>
      <c r="Q12" s="62"/>
      <c r="R12" s="62"/>
      <c r="S12" s="62"/>
    </row>
    <row r="13" spans="1:19" ht="15.6" thickTop="1" thickBot="1" x14ac:dyDescent="0.35">
      <c r="A13" s="34">
        <v>8</v>
      </c>
      <c r="B13" s="35">
        <v>7498</v>
      </c>
      <c r="C13" s="35">
        <v>0</v>
      </c>
      <c r="D13" s="35">
        <v>1136</v>
      </c>
      <c r="E13" s="35">
        <v>152</v>
      </c>
      <c r="F13" s="35">
        <v>122</v>
      </c>
      <c r="G13" s="35">
        <v>274</v>
      </c>
      <c r="H13" s="35">
        <v>9182</v>
      </c>
      <c r="I13" s="35">
        <v>0</v>
      </c>
      <c r="J13" s="37"/>
      <c r="K13" s="34">
        <v>8</v>
      </c>
      <c r="L13" s="58">
        <v>4</v>
      </c>
      <c r="M13" s="58">
        <v>5</v>
      </c>
      <c r="N13" s="58">
        <v>1</v>
      </c>
      <c r="O13" s="35">
        <v>10</v>
      </c>
      <c r="P13" s="50">
        <v>6135</v>
      </c>
      <c r="Q13" s="62"/>
      <c r="R13" s="62"/>
      <c r="S13" s="62"/>
    </row>
    <row r="14" spans="1:19" ht="15.6" thickTop="1" thickBot="1" x14ac:dyDescent="0.35">
      <c r="A14" s="34">
        <v>9</v>
      </c>
      <c r="B14" s="35">
        <v>4526</v>
      </c>
      <c r="C14" s="35">
        <v>0</v>
      </c>
      <c r="D14" s="35">
        <v>1379</v>
      </c>
      <c r="E14" s="35">
        <v>259</v>
      </c>
      <c r="F14" s="35">
        <v>230</v>
      </c>
      <c r="G14" s="35">
        <v>395</v>
      </c>
      <c r="H14" s="35">
        <v>6789</v>
      </c>
      <c r="I14" s="35">
        <v>0</v>
      </c>
      <c r="J14" s="37"/>
      <c r="K14" s="34">
        <v>9</v>
      </c>
      <c r="L14" s="58">
        <v>2</v>
      </c>
      <c r="M14" s="58">
        <v>2</v>
      </c>
      <c r="N14" s="58">
        <v>5</v>
      </c>
      <c r="O14" s="35">
        <v>9</v>
      </c>
      <c r="P14" s="51">
        <v>6135</v>
      </c>
      <c r="Q14" s="70"/>
      <c r="R14" s="70"/>
      <c r="S14" s="70"/>
    </row>
    <row r="15" spans="1:19" ht="15.6" thickTop="1" thickBot="1" x14ac:dyDescent="0.35">
      <c r="A15" s="34">
        <v>10</v>
      </c>
      <c r="B15" s="35">
        <v>3829</v>
      </c>
      <c r="C15" s="35">
        <v>0</v>
      </c>
      <c r="D15" s="35">
        <v>1671</v>
      </c>
      <c r="E15" s="35">
        <v>238</v>
      </c>
      <c r="F15" s="35">
        <v>253</v>
      </c>
      <c r="G15" s="35">
        <v>420</v>
      </c>
      <c r="H15" s="35">
        <v>6411</v>
      </c>
      <c r="I15" s="35">
        <v>0</v>
      </c>
      <c r="J15" s="37"/>
      <c r="K15" s="34">
        <v>10</v>
      </c>
      <c r="L15" s="58">
        <v>4</v>
      </c>
      <c r="M15" s="58">
        <v>16</v>
      </c>
      <c r="N15" s="58">
        <v>7</v>
      </c>
      <c r="O15" s="35">
        <v>27</v>
      </c>
      <c r="P15" s="50">
        <v>6135</v>
      </c>
      <c r="Q15" s="62"/>
      <c r="R15" s="62"/>
      <c r="S15" s="62"/>
    </row>
    <row r="16" spans="1:19" ht="15.6" thickTop="1" thickBot="1" x14ac:dyDescent="0.35">
      <c r="A16" s="34">
        <v>11</v>
      </c>
      <c r="B16" s="35">
        <v>4011</v>
      </c>
      <c r="C16" s="35">
        <v>0</v>
      </c>
      <c r="D16" s="35">
        <v>1602</v>
      </c>
      <c r="E16" s="35">
        <v>233</v>
      </c>
      <c r="F16" s="35">
        <v>290</v>
      </c>
      <c r="G16" s="35">
        <v>440</v>
      </c>
      <c r="H16" s="35">
        <v>6576</v>
      </c>
      <c r="I16" s="35">
        <v>0</v>
      </c>
      <c r="J16" s="37"/>
      <c r="K16" s="34">
        <v>11</v>
      </c>
      <c r="L16" s="58">
        <v>2</v>
      </c>
      <c r="M16" s="58">
        <v>16</v>
      </c>
      <c r="N16" s="58">
        <v>7</v>
      </c>
      <c r="O16" s="35">
        <v>25</v>
      </c>
      <c r="P16" s="50">
        <v>6135</v>
      </c>
      <c r="Q16" s="62"/>
      <c r="R16" s="62"/>
      <c r="S16" s="62"/>
    </row>
    <row r="17" spans="1:26" ht="15.6" thickTop="1" thickBot="1" x14ac:dyDescent="0.35">
      <c r="A17" s="34">
        <v>12</v>
      </c>
      <c r="B17" s="35">
        <v>4401</v>
      </c>
      <c r="C17" s="35">
        <v>0</v>
      </c>
      <c r="D17" s="35">
        <v>1764</v>
      </c>
      <c r="E17" s="35">
        <v>221</v>
      </c>
      <c r="F17" s="35">
        <v>277</v>
      </c>
      <c r="G17" s="35">
        <v>448</v>
      </c>
      <c r="H17" s="35">
        <v>7111</v>
      </c>
      <c r="I17" s="35">
        <v>0</v>
      </c>
      <c r="J17" s="37"/>
      <c r="K17" s="34">
        <v>12</v>
      </c>
      <c r="L17" s="58">
        <v>3</v>
      </c>
      <c r="M17" s="58">
        <v>8</v>
      </c>
      <c r="N17" s="58">
        <v>8</v>
      </c>
      <c r="O17" s="35">
        <v>19</v>
      </c>
      <c r="P17" s="50">
        <v>6135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 thickTop="1" thickBot="1" x14ac:dyDescent="0.35">
      <c r="A18" s="34">
        <v>13</v>
      </c>
      <c r="B18" s="35">
        <v>5817</v>
      </c>
      <c r="C18" s="35">
        <v>0</v>
      </c>
      <c r="D18" s="35">
        <v>1681</v>
      </c>
      <c r="E18" s="35">
        <v>230</v>
      </c>
      <c r="F18" s="35">
        <v>257</v>
      </c>
      <c r="G18" s="35">
        <v>345</v>
      </c>
      <c r="H18" s="35">
        <v>8330</v>
      </c>
      <c r="I18" s="35">
        <v>0</v>
      </c>
      <c r="J18" s="37"/>
      <c r="K18" s="34">
        <v>13</v>
      </c>
      <c r="L18" s="58">
        <v>5</v>
      </c>
      <c r="M18" s="58">
        <v>10</v>
      </c>
      <c r="N18" s="58">
        <v>4</v>
      </c>
      <c r="O18" s="35">
        <v>19</v>
      </c>
      <c r="P18" s="50">
        <v>6135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 thickTop="1" thickBot="1" x14ac:dyDescent="0.35">
      <c r="A19" s="34">
        <v>14</v>
      </c>
      <c r="B19" s="35">
        <v>5833</v>
      </c>
      <c r="C19" s="35">
        <v>0</v>
      </c>
      <c r="D19" s="35">
        <v>1432</v>
      </c>
      <c r="E19" s="35">
        <v>150</v>
      </c>
      <c r="F19" s="35">
        <v>214</v>
      </c>
      <c r="G19" s="35">
        <v>318</v>
      </c>
      <c r="H19" s="35">
        <v>7947</v>
      </c>
      <c r="I19" s="35">
        <v>0</v>
      </c>
      <c r="J19" s="37"/>
      <c r="K19" s="34">
        <v>14</v>
      </c>
      <c r="L19" s="58">
        <v>2</v>
      </c>
      <c r="M19" s="58">
        <v>8</v>
      </c>
      <c r="N19" s="58">
        <v>1</v>
      </c>
      <c r="O19" s="35">
        <v>11</v>
      </c>
      <c r="P19" s="50">
        <v>6135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 thickTop="1" thickBot="1" x14ac:dyDescent="0.35">
      <c r="A20" s="34">
        <v>15</v>
      </c>
      <c r="B20" s="35">
        <v>7471</v>
      </c>
      <c r="C20" s="35">
        <v>0</v>
      </c>
      <c r="D20" s="35">
        <v>1302</v>
      </c>
      <c r="E20" s="35">
        <v>157</v>
      </c>
      <c r="F20" s="35">
        <v>154</v>
      </c>
      <c r="G20" s="35">
        <v>309</v>
      </c>
      <c r="H20" s="35">
        <v>9393</v>
      </c>
      <c r="I20" s="35">
        <v>0</v>
      </c>
      <c r="J20" s="37"/>
      <c r="K20" s="34">
        <v>15</v>
      </c>
      <c r="L20" s="58">
        <v>1</v>
      </c>
      <c r="M20" s="58">
        <v>4</v>
      </c>
      <c r="N20" s="58">
        <v>4</v>
      </c>
      <c r="O20" s="35">
        <v>9</v>
      </c>
      <c r="P20" s="50">
        <v>6135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 thickTop="1" thickBot="1" x14ac:dyDescent="0.35">
      <c r="A21" s="34">
        <v>16</v>
      </c>
      <c r="B21" s="35">
        <v>4570</v>
      </c>
      <c r="C21" s="35">
        <v>0</v>
      </c>
      <c r="D21" s="35">
        <v>1466</v>
      </c>
      <c r="E21" s="35">
        <v>243</v>
      </c>
      <c r="F21" s="35">
        <v>228</v>
      </c>
      <c r="G21" s="35">
        <v>371</v>
      </c>
      <c r="H21" s="35">
        <v>6878</v>
      </c>
      <c r="I21" s="35">
        <v>0</v>
      </c>
      <c r="J21" s="37"/>
      <c r="K21" s="34">
        <v>16</v>
      </c>
      <c r="L21" s="58">
        <v>6</v>
      </c>
      <c r="M21" s="58">
        <v>9</v>
      </c>
      <c r="N21" s="58">
        <v>2</v>
      </c>
      <c r="O21" s="35">
        <v>17</v>
      </c>
      <c r="P21" s="50">
        <v>6135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6" thickTop="1" thickBot="1" x14ac:dyDescent="0.35">
      <c r="A22" s="34">
        <v>17</v>
      </c>
      <c r="B22" s="35">
        <v>4442</v>
      </c>
      <c r="C22" s="35">
        <v>0</v>
      </c>
      <c r="D22" s="35">
        <v>1580</v>
      </c>
      <c r="E22" s="35">
        <v>240</v>
      </c>
      <c r="F22" s="35">
        <v>230</v>
      </c>
      <c r="G22" s="35">
        <v>413</v>
      </c>
      <c r="H22" s="35">
        <v>6905</v>
      </c>
      <c r="I22" s="35">
        <v>0</v>
      </c>
      <c r="J22" s="37"/>
      <c r="K22" s="34">
        <v>17</v>
      </c>
      <c r="L22" s="58">
        <v>6</v>
      </c>
      <c r="M22" s="58">
        <v>10</v>
      </c>
      <c r="N22" s="58">
        <v>4</v>
      </c>
      <c r="O22" s="35">
        <v>20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4">
        <v>18</v>
      </c>
      <c r="B23" s="35">
        <v>4748</v>
      </c>
      <c r="C23" s="35">
        <v>0</v>
      </c>
      <c r="D23" s="35">
        <v>1704</v>
      </c>
      <c r="E23" s="35">
        <v>230</v>
      </c>
      <c r="F23" s="35">
        <v>283</v>
      </c>
      <c r="G23" s="35">
        <v>478</v>
      </c>
      <c r="H23" s="35">
        <v>7443</v>
      </c>
      <c r="I23" s="35">
        <v>0</v>
      </c>
      <c r="J23" s="37"/>
      <c r="K23" s="34">
        <v>18</v>
      </c>
      <c r="L23" s="58">
        <v>2</v>
      </c>
      <c r="M23" s="58">
        <v>4</v>
      </c>
      <c r="N23" s="58">
        <v>5</v>
      </c>
      <c r="O23" s="35">
        <v>11</v>
      </c>
      <c r="P23" s="50">
        <v>6135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6" thickTop="1" thickBot="1" x14ac:dyDescent="0.35">
      <c r="A24" s="34">
        <v>19</v>
      </c>
      <c r="B24" s="35">
        <v>5448</v>
      </c>
      <c r="C24" s="35">
        <v>0</v>
      </c>
      <c r="D24" s="35">
        <v>1738</v>
      </c>
      <c r="E24" s="35">
        <v>271</v>
      </c>
      <c r="F24" s="35">
        <v>241</v>
      </c>
      <c r="G24" s="35">
        <v>467</v>
      </c>
      <c r="H24" s="35">
        <v>8165</v>
      </c>
      <c r="I24" s="35">
        <v>0</v>
      </c>
      <c r="J24" s="37"/>
      <c r="K24" s="34">
        <v>19</v>
      </c>
      <c r="L24" s="58">
        <v>3</v>
      </c>
      <c r="M24" s="58">
        <v>8</v>
      </c>
      <c r="N24" s="58">
        <v>7</v>
      </c>
      <c r="O24" s="35">
        <v>18</v>
      </c>
      <c r="P24" s="50">
        <v>6135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6" thickTop="1" thickBot="1" x14ac:dyDescent="0.35">
      <c r="A25" s="34">
        <v>20</v>
      </c>
      <c r="B25" s="35">
        <v>8458</v>
      </c>
      <c r="C25" s="35">
        <v>0</v>
      </c>
      <c r="D25" s="35">
        <v>1920</v>
      </c>
      <c r="E25" s="35">
        <v>252</v>
      </c>
      <c r="F25" s="35">
        <v>282</v>
      </c>
      <c r="G25" s="35">
        <v>486</v>
      </c>
      <c r="H25" s="35">
        <v>11398</v>
      </c>
      <c r="I25" s="35">
        <v>0</v>
      </c>
      <c r="J25" s="37"/>
      <c r="K25" s="34">
        <v>20</v>
      </c>
      <c r="L25" s="58">
        <v>12</v>
      </c>
      <c r="M25" s="58">
        <v>4</v>
      </c>
      <c r="N25" s="58">
        <v>13</v>
      </c>
      <c r="O25" s="35">
        <v>29</v>
      </c>
      <c r="P25" s="50">
        <v>6135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 thickTop="1" thickBot="1" x14ac:dyDescent="0.35">
      <c r="A26" s="34">
        <v>21</v>
      </c>
      <c r="B26" s="35">
        <v>10034</v>
      </c>
      <c r="C26" s="35">
        <v>0</v>
      </c>
      <c r="D26" s="35">
        <v>1478</v>
      </c>
      <c r="E26" s="35">
        <v>122</v>
      </c>
      <c r="F26" s="35">
        <v>220</v>
      </c>
      <c r="G26" s="35">
        <v>206</v>
      </c>
      <c r="H26" s="35">
        <v>12060</v>
      </c>
      <c r="I26" s="35">
        <v>0</v>
      </c>
      <c r="J26" s="37"/>
      <c r="K26" s="34">
        <v>21</v>
      </c>
      <c r="L26" s="58">
        <v>2</v>
      </c>
      <c r="M26" s="58">
        <v>6</v>
      </c>
      <c r="N26" s="58">
        <v>5</v>
      </c>
      <c r="O26" s="35">
        <v>13</v>
      </c>
      <c r="P26" s="50">
        <v>6135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 thickTop="1" thickBot="1" x14ac:dyDescent="0.35">
      <c r="A27" s="34">
        <v>22</v>
      </c>
      <c r="B27" s="35">
        <v>9386</v>
      </c>
      <c r="C27" s="35">
        <v>0</v>
      </c>
      <c r="D27" s="35">
        <v>1791</v>
      </c>
      <c r="E27" s="35">
        <v>169</v>
      </c>
      <c r="F27" s="35">
        <v>168</v>
      </c>
      <c r="G27" s="35">
        <v>348</v>
      </c>
      <c r="H27" s="35">
        <v>11862</v>
      </c>
      <c r="I27" s="35">
        <v>0</v>
      </c>
      <c r="J27" s="37"/>
      <c r="K27" s="34">
        <v>22</v>
      </c>
      <c r="L27" s="58">
        <v>1</v>
      </c>
      <c r="M27" s="58">
        <v>7</v>
      </c>
      <c r="N27" s="58">
        <v>3</v>
      </c>
      <c r="O27" s="35">
        <v>11</v>
      </c>
      <c r="P27" s="50">
        <v>6135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 thickTop="1" thickBot="1" x14ac:dyDescent="0.35">
      <c r="A28" s="34">
        <v>23</v>
      </c>
      <c r="B28" s="35">
        <v>7701</v>
      </c>
      <c r="C28" s="35">
        <v>0</v>
      </c>
      <c r="D28" s="35">
        <v>1586</v>
      </c>
      <c r="E28" s="35">
        <v>154</v>
      </c>
      <c r="F28" s="35">
        <v>169</v>
      </c>
      <c r="G28" s="35">
        <v>199</v>
      </c>
      <c r="H28" s="35">
        <v>9809</v>
      </c>
      <c r="I28" s="35">
        <v>0</v>
      </c>
      <c r="J28" s="37"/>
      <c r="K28" s="34">
        <v>23</v>
      </c>
      <c r="L28" s="58">
        <v>5</v>
      </c>
      <c r="M28" s="58">
        <v>2</v>
      </c>
      <c r="N28" s="58">
        <v>3</v>
      </c>
      <c r="O28" s="35">
        <v>10</v>
      </c>
      <c r="P28" s="50">
        <v>6135</v>
      </c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 thickTop="1" thickBot="1" x14ac:dyDescent="0.35">
      <c r="A29" s="34">
        <v>24</v>
      </c>
      <c r="B29" s="35">
        <v>5577</v>
      </c>
      <c r="C29" s="35">
        <v>0</v>
      </c>
      <c r="D29" s="35">
        <v>868</v>
      </c>
      <c r="E29" s="35">
        <v>58</v>
      </c>
      <c r="F29" s="35">
        <v>96</v>
      </c>
      <c r="G29" s="35">
        <v>76</v>
      </c>
      <c r="H29" s="35">
        <v>6675</v>
      </c>
      <c r="I29" s="35">
        <v>0</v>
      </c>
      <c r="J29" s="37"/>
      <c r="K29" s="34">
        <v>24</v>
      </c>
      <c r="L29" s="58">
        <v>1</v>
      </c>
      <c r="M29" s="58">
        <v>0</v>
      </c>
      <c r="N29" s="58">
        <v>3</v>
      </c>
      <c r="O29" s="35">
        <v>4</v>
      </c>
      <c r="P29" s="50">
        <v>6135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 thickTop="1" thickBot="1" x14ac:dyDescent="0.35">
      <c r="A30" s="34">
        <v>25</v>
      </c>
      <c r="B30" s="35">
        <v>9307</v>
      </c>
      <c r="C30" s="35">
        <v>0</v>
      </c>
      <c r="D30" s="35">
        <v>687</v>
      </c>
      <c r="E30" s="35">
        <v>62</v>
      </c>
      <c r="F30" s="35">
        <v>84</v>
      </c>
      <c r="G30" s="35">
        <v>119</v>
      </c>
      <c r="H30" s="35">
        <v>10259</v>
      </c>
      <c r="I30" s="35">
        <v>0</v>
      </c>
      <c r="J30" s="37"/>
      <c r="K30" s="34">
        <v>25</v>
      </c>
      <c r="L30" s="58">
        <v>1</v>
      </c>
      <c r="M30" s="58">
        <v>7</v>
      </c>
      <c r="N30" s="58">
        <v>2</v>
      </c>
      <c r="O30" s="35">
        <v>10</v>
      </c>
      <c r="P30" s="50">
        <v>6135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 thickTop="1" thickBot="1" x14ac:dyDescent="0.35">
      <c r="A31" s="34">
        <v>26</v>
      </c>
      <c r="B31" s="35">
        <v>10894</v>
      </c>
      <c r="C31" s="35">
        <v>0</v>
      </c>
      <c r="D31" s="35">
        <v>1498</v>
      </c>
      <c r="E31" s="35">
        <v>179</v>
      </c>
      <c r="F31" s="35">
        <v>207</v>
      </c>
      <c r="G31" s="35">
        <v>360</v>
      </c>
      <c r="H31" s="35">
        <v>13138</v>
      </c>
      <c r="I31" s="35">
        <v>0</v>
      </c>
      <c r="J31" s="37"/>
      <c r="K31" s="34">
        <v>26</v>
      </c>
      <c r="L31" s="58">
        <v>2</v>
      </c>
      <c r="M31" s="58">
        <v>8</v>
      </c>
      <c r="N31" s="58">
        <v>5</v>
      </c>
      <c r="O31" s="35">
        <v>15</v>
      </c>
      <c r="P31" s="50">
        <v>6135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 thickTop="1" thickBot="1" x14ac:dyDescent="0.35">
      <c r="A32" s="34">
        <v>27</v>
      </c>
      <c r="B32" s="35">
        <v>13928</v>
      </c>
      <c r="C32" s="35">
        <v>0</v>
      </c>
      <c r="D32" s="35">
        <v>1608</v>
      </c>
      <c r="E32" s="35">
        <v>160</v>
      </c>
      <c r="F32" s="35">
        <v>195</v>
      </c>
      <c r="G32" s="35">
        <v>338</v>
      </c>
      <c r="H32" s="35">
        <v>16229</v>
      </c>
      <c r="I32" s="35">
        <v>0</v>
      </c>
      <c r="J32" s="37"/>
      <c r="K32" s="34">
        <v>27</v>
      </c>
      <c r="L32" s="58">
        <v>4</v>
      </c>
      <c r="M32" s="58">
        <v>11</v>
      </c>
      <c r="N32" s="58">
        <v>9</v>
      </c>
      <c r="O32" s="35">
        <v>24</v>
      </c>
      <c r="P32" s="50">
        <v>6135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16" ht="15.6" thickTop="1" thickBot="1" x14ac:dyDescent="0.35">
      <c r="A33" s="34">
        <v>28</v>
      </c>
      <c r="B33" s="35">
        <v>16698</v>
      </c>
      <c r="C33" s="35">
        <v>0</v>
      </c>
      <c r="D33" s="35">
        <v>1516</v>
      </c>
      <c r="E33" s="35">
        <v>100</v>
      </c>
      <c r="F33" s="35">
        <v>165</v>
      </c>
      <c r="G33" s="35">
        <v>189</v>
      </c>
      <c r="H33" s="35">
        <v>18668</v>
      </c>
      <c r="I33" s="35">
        <v>0</v>
      </c>
      <c r="J33" s="37"/>
      <c r="K33" s="34">
        <v>28</v>
      </c>
      <c r="L33" s="58">
        <v>2</v>
      </c>
      <c r="M33" s="58">
        <v>8</v>
      </c>
      <c r="N33" s="58">
        <v>2</v>
      </c>
      <c r="O33" s="35">
        <v>12</v>
      </c>
      <c r="P33" s="50">
        <v>6135</v>
      </c>
    </row>
    <row r="34" spans="1:16" ht="15.6" thickTop="1" thickBot="1" x14ac:dyDescent="0.35">
      <c r="A34" s="34">
        <v>29</v>
      </c>
      <c r="B34" s="35">
        <v>13840</v>
      </c>
      <c r="C34" s="35">
        <v>0</v>
      </c>
      <c r="D34" s="35">
        <v>1539</v>
      </c>
      <c r="E34" s="35">
        <v>160</v>
      </c>
      <c r="F34" s="35">
        <v>180</v>
      </c>
      <c r="G34" s="35">
        <v>245</v>
      </c>
      <c r="H34" s="35">
        <v>15964</v>
      </c>
      <c r="I34" s="35">
        <v>0</v>
      </c>
      <c r="J34" s="37"/>
      <c r="K34" s="34">
        <v>29</v>
      </c>
      <c r="L34" s="58">
        <v>1</v>
      </c>
      <c r="M34" s="58">
        <v>9</v>
      </c>
      <c r="N34" s="58">
        <v>0</v>
      </c>
      <c r="O34" s="35">
        <v>10</v>
      </c>
      <c r="P34" s="50">
        <v>6135</v>
      </c>
    </row>
    <row r="35" spans="1:16" ht="15.6" thickTop="1" thickBot="1" x14ac:dyDescent="0.35">
      <c r="A35" s="34">
        <v>30</v>
      </c>
      <c r="B35" s="35">
        <v>12752</v>
      </c>
      <c r="C35" s="35">
        <v>0</v>
      </c>
      <c r="D35" s="35">
        <v>1293</v>
      </c>
      <c r="E35" s="35">
        <v>113</v>
      </c>
      <c r="F35" s="35">
        <v>119</v>
      </c>
      <c r="G35" s="35">
        <v>141</v>
      </c>
      <c r="H35" s="35">
        <v>14418</v>
      </c>
      <c r="I35" s="35">
        <v>0</v>
      </c>
      <c r="J35" s="37"/>
      <c r="K35" s="34">
        <v>30</v>
      </c>
      <c r="L35" s="58">
        <v>3</v>
      </c>
      <c r="M35" s="58">
        <v>4</v>
      </c>
      <c r="N35" s="58">
        <v>2</v>
      </c>
      <c r="O35" s="35">
        <v>9</v>
      </c>
      <c r="P35" s="50">
        <v>6135</v>
      </c>
    </row>
    <row r="36" spans="1:16" ht="15.6" thickTop="1" thickBot="1" x14ac:dyDescent="0.35">
      <c r="A36" s="34">
        <v>31</v>
      </c>
      <c r="B36" s="35">
        <v>8726</v>
      </c>
      <c r="C36" s="35">
        <v>0</v>
      </c>
      <c r="D36" s="35">
        <v>526</v>
      </c>
      <c r="E36" s="35">
        <v>8</v>
      </c>
      <c r="F36" s="35">
        <v>38</v>
      </c>
      <c r="G36" s="35">
        <v>16</v>
      </c>
      <c r="H36" s="35">
        <v>9314</v>
      </c>
      <c r="I36" s="35">
        <v>0</v>
      </c>
      <c r="J36" s="37"/>
      <c r="K36" s="34">
        <v>31</v>
      </c>
      <c r="L36" s="58">
        <v>0</v>
      </c>
      <c r="M36" s="58">
        <v>0</v>
      </c>
      <c r="N36" s="58">
        <v>0</v>
      </c>
      <c r="O36" s="35">
        <v>0</v>
      </c>
      <c r="P36" s="50">
        <v>6135</v>
      </c>
    </row>
    <row r="37" spans="1:16" ht="15" thickTop="1" x14ac:dyDescent="0.3">
      <c r="A37" s="60" t="s">
        <v>19</v>
      </c>
      <c r="B37" s="61">
        <v>222215</v>
      </c>
      <c r="C37" s="61">
        <v>0</v>
      </c>
      <c r="D37" s="61">
        <v>45038</v>
      </c>
      <c r="E37" s="61">
        <v>5699</v>
      </c>
      <c r="F37" s="61">
        <v>6248</v>
      </c>
      <c r="G37" s="61">
        <v>10004</v>
      </c>
      <c r="H37" s="61">
        <v>289204</v>
      </c>
      <c r="I37" s="61">
        <v>0</v>
      </c>
      <c r="J37" s="61"/>
      <c r="K37" s="61"/>
      <c r="L37" s="61">
        <v>98</v>
      </c>
      <c r="M37" s="61">
        <v>272</v>
      </c>
      <c r="N37" s="61">
        <v>143</v>
      </c>
      <c r="O37" s="78">
        <v>513</v>
      </c>
      <c r="P37" s="62"/>
    </row>
    <row r="38" spans="1:16" x14ac:dyDescent="0.3">
      <c r="A38" s="60" t="s">
        <v>19</v>
      </c>
      <c r="B38" s="92">
        <v>222215</v>
      </c>
      <c r="C38" s="92"/>
      <c r="D38" s="61">
        <v>45038</v>
      </c>
      <c r="E38" s="61">
        <v>5699</v>
      </c>
      <c r="F38" s="61">
        <v>6248</v>
      </c>
      <c r="G38" s="61">
        <v>10004</v>
      </c>
      <c r="H38" s="78">
        <v>289204</v>
      </c>
      <c r="I38" s="61">
        <v>0</v>
      </c>
      <c r="J38" s="64"/>
      <c r="K38" s="60"/>
      <c r="L38" s="65" t="s">
        <v>20</v>
      </c>
      <c r="M38" s="65" t="s">
        <v>21</v>
      </c>
      <c r="N38" s="65" t="s">
        <v>20</v>
      </c>
      <c r="O38" s="65" t="s">
        <v>21</v>
      </c>
      <c r="P38" s="62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62"/>
      <c r="J39" s="62"/>
      <c r="K39" s="62"/>
      <c r="L39" s="71"/>
      <c r="M39" s="62"/>
      <c r="N39" s="62"/>
      <c r="O39" s="62"/>
      <c r="P39" s="62"/>
    </row>
    <row r="40" spans="1:16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1"/>
      <c r="K40" s="57"/>
      <c r="L40" s="56"/>
      <c r="M40" s="62"/>
      <c r="N40" s="62"/>
      <c r="O40" s="62"/>
      <c r="P40" s="62"/>
    </row>
    <row r="41" spans="1:16" x14ac:dyDescent="0.3">
      <c r="A41" s="67"/>
      <c r="B41" s="62"/>
      <c r="C41" s="62"/>
      <c r="D41" s="62"/>
      <c r="E41" s="62"/>
      <c r="F41" s="62"/>
      <c r="G41" s="62"/>
      <c r="H41" s="67"/>
      <c r="I41" s="62"/>
      <c r="J41" s="62"/>
      <c r="K41" s="57"/>
      <c r="L41" s="56"/>
      <c r="M41" s="62"/>
      <c r="N41" s="62"/>
      <c r="O41" s="62"/>
      <c r="P41" s="62"/>
    </row>
    <row r="42" spans="1:1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57"/>
      <c r="L42" s="56"/>
      <c r="M42" s="62"/>
      <c r="N42" s="62"/>
      <c r="O42" s="62"/>
      <c r="P42" s="62"/>
    </row>
    <row r="43" spans="1:16" x14ac:dyDescent="0.3">
      <c r="A43" s="62"/>
      <c r="B43" s="62"/>
      <c r="C43" s="62"/>
      <c r="D43" s="62"/>
      <c r="E43" s="62"/>
      <c r="F43" s="62"/>
      <c r="G43" s="62"/>
      <c r="H43" s="62"/>
      <c r="I43" s="67"/>
      <c r="J43" s="67"/>
      <c r="K43" s="62"/>
      <c r="L43" s="62"/>
      <c r="M43" s="62"/>
      <c r="N43" s="62"/>
      <c r="O43" s="62"/>
      <c r="P43" s="62"/>
    </row>
    <row r="45" spans="1:16" x14ac:dyDescent="0.3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x14ac:dyDescent="0.3">
      <c r="A46" s="73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62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2019</vt:lpstr>
      <vt:lpstr>FEBRERO 2019</vt:lpstr>
      <vt:lpstr>MARZO 2019</vt:lpstr>
      <vt:lpstr>ABRIL 2019</vt:lpstr>
      <vt:lpstr>MAYO 2019</vt:lpstr>
      <vt:lpstr>JUNIO 2019</vt:lpstr>
      <vt:lpstr>JULIO 2019</vt:lpstr>
      <vt:lpstr>AGOSTO 2019</vt:lpstr>
      <vt:lpstr>SEPTIEMBRE 2019</vt:lpstr>
      <vt:lpstr>OCTUBRE 2019</vt:lpstr>
      <vt:lpstr>NOVIEMBRE 2019</vt:lpstr>
      <vt:lpstr>DICIEMBRE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2024-09-02T13:23:02Z</dcterms:created>
  <dcterms:modified xsi:type="dcterms:W3CDTF">2026-01-27T23:23:21Z</dcterms:modified>
</cp:coreProperties>
</file>