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Documentos\TESIS\TRÁFICO POR CATEGORÍAS ESTACIÓN PEAJE CAIQUERO\"/>
    </mc:Choice>
  </mc:AlternateContent>
  <xr:revisionPtr revIDLastSave="0" documentId="13_ncr:1_{63597E41-8E07-4A51-B5E7-72133F7CB3AC}" xr6:coauthVersionLast="47" xr6:coauthVersionMax="47" xr10:uidLastSave="{00000000-0000-0000-0000-000000000000}"/>
  <bookViews>
    <workbookView xWindow="-108" yWindow="-108" windowWidth="23256" windowHeight="12576" firstSheet="6" activeTab="11" xr2:uid="{053D00EB-4129-45BE-AD37-46E2E250E314}"/>
  </bookViews>
  <sheets>
    <sheet name="ENERO 2013" sheetId="1" r:id="rId1"/>
    <sheet name="FEBRERO 2013" sheetId="2" r:id="rId2"/>
    <sheet name="MARZO 2013" sheetId="3" r:id="rId3"/>
    <sheet name="ABRIL 2013" sheetId="4" r:id="rId4"/>
    <sheet name="MAYO 2013" sheetId="5" r:id="rId5"/>
    <sheet name="JUNIO 2013" sheetId="6" r:id="rId6"/>
    <sheet name="JULIO 2013" sheetId="7" r:id="rId7"/>
    <sheet name="AGOSTO 2013" sheetId="8" r:id="rId8"/>
    <sheet name="SEPTIEMBRE 2013" sheetId="9" r:id="rId9"/>
    <sheet name="OCTUBRE 2013" sheetId="10" r:id="rId10"/>
    <sheet name="NOVIEMBRE 2013" sheetId="11" r:id="rId11"/>
    <sheet name="DICIEMBRE 2013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12" l="1"/>
  <c r="N37" i="12"/>
  <c r="M37" i="12"/>
  <c r="L37" i="12"/>
  <c r="G37" i="12"/>
  <c r="G38" i="12" s="1"/>
  <c r="F37" i="12"/>
  <c r="F38" i="12" s="1"/>
  <c r="C37" i="12"/>
  <c r="O36" i="12"/>
  <c r="B36" i="12"/>
  <c r="H36" i="12" s="1"/>
  <c r="O35" i="12"/>
  <c r="B35" i="12"/>
  <c r="H35" i="12" s="1"/>
  <c r="O34" i="12"/>
  <c r="H34" i="12"/>
  <c r="O33" i="12"/>
  <c r="B33" i="12"/>
  <c r="H33" i="12" s="1"/>
  <c r="O32" i="12"/>
  <c r="B32" i="12"/>
  <c r="H32" i="12" s="1"/>
  <c r="O31" i="12"/>
  <c r="B31" i="12"/>
  <c r="H31" i="12" s="1"/>
  <c r="O30" i="12"/>
  <c r="B30" i="12"/>
  <c r="H30" i="12" s="1"/>
  <c r="O29" i="12"/>
  <c r="B29" i="12"/>
  <c r="H29" i="12" s="1"/>
  <c r="O28" i="12"/>
  <c r="B28" i="12"/>
  <c r="H28" i="12" s="1"/>
  <c r="O27" i="12"/>
  <c r="B27" i="12"/>
  <c r="H27" i="12" s="1"/>
  <c r="O26" i="12"/>
  <c r="B26" i="12"/>
  <c r="H26" i="12" s="1"/>
  <c r="O25" i="12"/>
  <c r="H25" i="12"/>
  <c r="B25" i="12"/>
  <c r="O24" i="12"/>
  <c r="B24" i="12"/>
  <c r="H24" i="12" s="1"/>
  <c r="O23" i="12"/>
  <c r="B23" i="12"/>
  <c r="H23" i="12" s="1"/>
  <c r="O22" i="12"/>
  <c r="B22" i="12"/>
  <c r="H22" i="12" s="1"/>
  <c r="O21" i="12"/>
  <c r="B21" i="12"/>
  <c r="H21" i="12" s="1"/>
  <c r="O20" i="12"/>
  <c r="B20" i="12"/>
  <c r="H20" i="12" s="1"/>
  <c r="O19" i="12"/>
  <c r="B19" i="12"/>
  <c r="H19" i="12" s="1"/>
  <c r="O18" i="12"/>
  <c r="E18" i="12"/>
  <c r="B18" i="12"/>
  <c r="O17" i="12"/>
  <c r="B17" i="12"/>
  <c r="H17" i="12" s="1"/>
  <c r="O16" i="12"/>
  <c r="H16" i="12"/>
  <c r="B16" i="12"/>
  <c r="O15" i="12"/>
  <c r="B15" i="12"/>
  <c r="H15" i="12" s="1"/>
  <c r="O14" i="12"/>
  <c r="B14" i="12"/>
  <c r="H14" i="12" s="1"/>
  <c r="O13" i="12"/>
  <c r="H13" i="12"/>
  <c r="O12" i="12"/>
  <c r="B12" i="12"/>
  <c r="H12" i="12" s="1"/>
  <c r="O11" i="12"/>
  <c r="B11" i="12"/>
  <c r="H11" i="12" s="1"/>
  <c r="O10" i="12"/>
  <c r="E10" i="12"/>
  <c r="D10" i="12"/>
  <c r="D37" i="12" s="1"/>
  <c r="D38" i="12" s="1"/>
  <c r="B10" i="12"/>
  <c r="O9" i="12"/>
  <c r="B9" i="12"/>
  <c r="H9" i="12" s="1"/>
  <c r="O8" i="12"/>
  <c r="B8" i="12"/>
  <c r="P7" i="12"/>
  <c r="P8" i="12" s="1"/>
  <c r="P9" i="12" s="1"/>
  <c r="P10" i="12" s="1"/>
  <c r="P11" i="12" s="1"/>
  <c r="P12" i="12" s="1"/>
  <c r="P13" i="12" s="1"/>
  <c r="P14" i="12" s="1"/>
  <c r="P15" i="12" s="1"/>
  <c r="P16" i="12" s="1"/>
  <c r="P17" i="12" s="1"/>
  <c r="P18" i="12" s="1"/>
  <c r="P19" i="12" s="1"/>
  <c r="P20" i="12" s="1"/>
  <c r="P21" i="12" s="1"/>
  <c r="P22" i="12" s="1"/>
  <c r="P23" i="12" s="1"/>
  <c r="P24" i="12" s="1"/>
  <c r="P25" i="12" s="1"/>
  <c r="P26" i="12" s="1"/>
  <c r="P27" i="12" s="1"/>
  <c r="P28" i="12" s="1"/>
  <c r="P29" i="12" s="1"/>
  <c r="P30" i="12" s="1"/>
  <c r="P31" i="12" s="1"/>
  <c r="P32" i="12" s="1"/>
  <c r="P33" i="12" s="1"/>
  <c r="P34" i="12" s="1"/>
  <c r="P35" i="12" s="1"/>
  <c r="P36" i="12" s="1"/>
  <c r="O7" i="12"/>
  <c r="H7" i="12"/>
  <c r="O6" i="12"/>
  <c r="H6" i="12"/>
  <c r="E37" i="12" l="1"/>
  <c r="E38" i="12" s="1"/>
  <c r="O37" i="12"/>
  <c r="B37" i="12"/>
  <c r="B38" i="12" s="1"/>
  <c r="H10" i="12"/>
  <c r="H18" i="12"/>
  <c r="H8" i="12"/>
  <c r="H37" i="12" l="1"/>
  <c r="H38" i="12" s="1"/>
  <c r="N37" i="11"/>
  <c r="M37" i="11"/>
  <c r="L37" i="11"/>
  <c r="I37" i="11"/>
  <c r="I38" i="11" s="1"/>
  <c r="G37" i="11"/>
  <c r="G38" i="11" s="1"/>
  <c r="F37" i="11"/>
  <c r="F38" i="11" s="1"/>
  <c r="E37" i="11"/>
  <c r="E38" i="11" s="1"/>
  <c r="D37" i="11"/>
  <c r="D38" i="11" s="1"/>
  <c r="C37" i="11"/>
  <c r="O36" i="11"/>
  <c r="H36" i="11"/>
  <c r="O35" i="11"/>
  <c r="B35" i="11"/>
  <c r="H35" i="11" s="1"/>
  <c r="O34" i="11"/>
  <c r="B34" i="11"/>
  <c r="H34" i="11" s="1"/>
  <c r="O33" i="11"/>
  <c r="B33" i="11"/>
  <c r="H33" i="11" s="1"/>
  <c r="O32" i="11"/>
  <c r="B32" i="11"/>
  <c r="H32" i="11" s="1"/>
  <c r="O31" i="11"/>
  <c r="B31" i="11"/>
  <c r="H31" i="11" s="1"/>
  <c r="O30" i="11"/>
  <c r="B30" i="11"/>
  <c r="O29" i="11"/>
  <c r="H29" i="11"/>
  <c r="O28" i="11"/>
  <c r="H28" i="11"/>
  <c r="O27" i="11"/>
  <c r="H27" i="11"/>
  <c r="O26" i="11"/>
  <c r="H26" i="11"/>
  <c r="O25" i="11"/>
  <c r="H25" i="11"/>
  <c r="O24" i="11"/>
  <c r="H24" i="11"/>
  <c r="O23" i="11"/>
  <c r="H23" i="11"/>
  <c r="O22" i="11"/>
  <c r="H22" i="11"/>
  <c r="O21" i="11"/>
  <c r="H21" i="11"/>
  <c r="O20" i="11"/>
  <c r="H20" i="11"/>
  <c r="O19" i="11"/>
  <c r="H19" i="11"/>
  <c r="O18" i="11"/>
  <c r="H18" i="11"/>
  <c r="O17" i="11"/>
  <c r="H17" i="11"/>
  <c r="O16" i="11"/>
  <c r="H16" i="11"/>
  <c r="O15" i="11"/>
  <c r="H15" i="11"/>
  <c r="O14" i="11"/>
  <c r="H14" i="11"/>
  <c r="O13" i="11"/>
  <c r="H13" i="11"/>
  <c r="O12" i="11"/>
  <c r="H12" i="11"/>
  <c r="O11" i="11"/>
  <c r="H11" i="11"/>
  <c r="O10" i="11"/>
  <c r="H10" i="11"/>
  <c r="O9" i="11"/>
  <c r="H9" i="11"/>
  <c r="O8" i="11"/>
  <c r="H8" i="11"/>
  <c r="P7" i="11"/>
  <c r="P8" i="11" s="1"/>
  <c r="P9" i="11" s="1"/>
  <c r="P10" i="11" s="1"/>
  <c r="P11" i="11" s="1"/>
  <c r="P12" i="11" s="1"/>
  <c r="P13" i="11" s="1"/>
  <c r="P14" i="11" s="1"/>
  <c r="P15" i="11" s="1"/>
  <c r="P16" i="11" s="1"/>
  <c r="P17" i="11" s="1"/>
  <c r="P18" i="11" s="1"/>
  <c r="P19" i="11" s="1"/>
  <c r="P20" i="11" s="1"/>
  <c r="P21" i="11" s="1"/>
  <c r="P22" i="11" s="1"/>
  <c r="P23" i="11" s="1"/>
  <c r="P24" i="11" s="1"/>
  <c r="P25" i="11" s="1"/>
  <c r="P26" i="11" s="1"/>
  <c r="P27" i="11" s="1"/>
  <c r="P28" i="11" s="1"/>
  <c r="P29" i="11" s="1"/>
  <c r="P30" i="11" s="1"/>
  <c r="P31" i="11" s="1"/>
  <c r="P32" i="11" s="1"/>
  <c r="P33" i="11" s="1"/>
  <c r="P34" i="11" s="1"/>
  <c r="P35" i="11" s="1"/>
  <c r="P36" i="11" s="1"/>
  <c r="O7" i="11"/>
  <c r="H7" i="11"/>
  <c r="O6" i="11"/>
  <c r="H6" i="11"/>
  <c r="H30" i="11" l="1"/>
  <c r="B37" i="11"/>
  <c r="B38" i="11" s="1"/>
  <c r="O37" i="11"/>
  <c r="H37" i="11"/>
  <c r="H38" i="11" s="1"/>
  <c r="N37" i="10" l="1"/>
  <c r="M37" i="10"/>
  <c r="L37" i="10"/>
  <c r="I37" i="10"/>
  <c r="I38" i="10" s="1"/>
  <c r="G37" i="10"/>
  <c r="G38" i="10" s="1"/>
  <c r="F37" i="10"/>
  <c r="F38" i="10" s="1"/>
  <c r="D37" i="10"/>
  <c r="D38" i="10" s="1"/>
  <c r="C37" i="10"/>
  <c r="O36" i="10"/>
  <c r="H36" i="10"/>
  <c r="O35" i="10"/>
  <c r="H35" i="10"/>
  <c r="O34" i="10"/>
  <c r="H34" i="10"/>
  <c r="O33" i="10"/>
  <c r="H33" i="10"/>
  <c r="O32" i="10"/>
  <c r="B32" i="10"/>
  <c r="H32" i="10" s="1"/>
  <c r="O31" i="10"/>
  <c r="B31" i="10"/>
  <c r="H31" i="10" s="1"/>
  <c r="O30" i="10"/>
  <c r="B30" i="10"/>
  <c r="H30" i="10" s="1"/>
  <c r="O29" i="10"/>
  <c r="B29" i="10"/>
  <c r="H29" i="10" s="1"/>
  <c r="O28" i="10"/>
  <c r="B28" i="10"/>
  <c r="H28" i="10" s="1"/>
  <c r="O27" i="10"/>
  <c r="B27" i="10"/>
  <c r="H27" i="10" s="1"/>
  <c r="O26" i="10"/>
  <c r="B26" i="10"/>
  <c r="H26" i="10" s="1"/>
  <c r="O25" i="10"/>
  <c r="B25" i="10"/>
  <c r="H25" i="10" s="1"/>
  <c r="O24" i="10"/>
  <c r="B24" i="10"/>
  <c r="H24" i="10" s="1"/>
  <c r="O23" i="10"/>
  <c r="B23" i="10"/>
  <c r="H23" i="10" s="1"/>
  <c r="O22" i="10"/>
  <c r="B22" i="10"/>
  <c r="H22" i="10" s="1"/>
  <c r="O21" i="10"/>
  <c r="B21" i="10"/>
  <c r="O20" i="10"/>
  <c r="E20" i="10"/>
  <c r="B20" i="10"/>
  <c r="H20" i="10" s="1"/>
  <c r="O19" i="10"/>
  <c r="B19" i="10"/>
  <c r="H19" i="10" s="1"/>
  <c r="O18" i="10"/>
  <c r="B18" i="10"/>
  <c r="H18" i="10" s="1"/>
  <c r="O17" i="10"/>
  <c r="B17" i="10"/>
  <c r="H17" i="10" s="1"/>
  <c r="O16" i="10"/>
  <c r="B16" i="10"/>
  <c r="H16" i="10" s="1"/>
  <c r="O15" i="10"/>
  <c r="B15" i="10"/>
  <c r="H15" i="10" s="1"/>
  <c r="O14" i="10"/>
  <c r="H14" i="10"/>
  <c r="O13" i="10"/>
  <c r="H13" i="10"/>
  <c r="O12" i="10"/>
  <c r="B12" i="10"/>
  <c r="H12" i="10" s="1"/>
  <c r="O11" i="10"/>
  <c r="B11" i="10"/>
  <c r="H11" i="10" s="1"/>
  <c r="O10" i="10"/>
  <c r="B10" i="10"/>
  <c r="H10" i="10" s="1"/>
  <c r="O9" i="10"/>
  <c r="B9" i="10"/>
  <c r="H9" i="10" s="1"/>
  <c r="O8" i="10"/>
  <c r="B8" i="10"/>
  <c r="H8" i="10" s="1"/>
  <c r="P7" i="10"/>
  <c r="P8" i="10" s="1"/>
  <c r="P9" i="10" s="1"/>
  <c r="P10" i="10" s="1"/>
  <c r="P11" i="10" s="1"/>
  <c r="P12" i="10" s="1"/>
  <c r="P13" i="10" s="1"/>
  <c r="P14" i="10" s="1"/>
  <c r="P15" i="10" s="1"/>
  <c r="P16" i="10" s="1"/>
  <c r="P17" i="10" s="1"/>
  <c r="P18" i="10" s="1"/>
  <c r="P19" i="10" s="1"/>
  <c r="P20" i="10" s="1"/>
  <c r="P21" i="10" s="1"/>
  <c r="P22" i="10" s="1"/>
  <c r="P23" i="10" s="1"/>
  <c r="P24" i="10" s="1"/>
  <c r="P25" i="10" s="1"/>
  <c r="P26" i="10" s="1"/>
  <c r="P27" i="10" s="1"/>
  <c r="P28" i="10" s="1"/>
  <c r="P29" i="10" s="1"/>
  <c r="P30" i="10" s="1"/>
  <c r="P31" i="10" s="1"/>
  <c r="P32" i="10" s="1"/>
  <c r="P33" i="10" s="1"/>
  <c r="P34" i="10" s="1"/>
  <c r="P35" i="10" s="1"/>
  <c r="P36" i="10" s="1"/>
  <c r="O7" i="10"/>
  <c r="E7" i="10"/>
  <c r="B7" i="10"/>
  <c r="O6" i="10"/>
  <c r="B6" i="10"/>
  <c r="H7" i="10" l="1"/>
  <c r="H21" i="10"/>
  <c r="O37" i="10"/>
  <c r="B37" i="10"/>
  <c r="B38" i="10" s="1"/>
  <c r="H6" i="10"/>
  <c r="E37" i="10"/>
  <c r="E38" i="10" s="1"/>
  <c r="H37" i="10" l="1"/>
  <c r="H38" i="10" s="1"/>
  <c r="N37" i="9" l="1"/>
  <c r="M37" i="9"/>
  <c r="L37" i="9"/>
  <c r="I37" i="9"/>
  <c r="I38" i="9" s="1"/>
  <c r="G37" i="9"/>
  <c r="G38" i="9" s="1"/>
  <c r="F37" i="9"/>
  <c r="F38" i="9" s="1"/>
  <c r="D37" i="9"/>
  <c r="D38" i="9" s="1"/>
  <c r="C37" i="9"/>
  <c r="O36" i="9"/>
  <c r="H36" i="9"/>
  <c r="O35" i="9"/>
  <c r="B35" i="9"/>
  <c r="H35" i="9" s="1"/>
  <c r="O34" i="9"/>
  <c r="B34" i="9"/>
  <c r="H34" i="9" s="1"/>
  <c r="O33" i="9"/>
  <c r="E33" i="9"/>
  <c r="H33" i="9" s="1"/>
  <c r="B33" i="9"/>
  <c r="O32" i="9"/>
  <c r="B32" i="9"/>
  <c r="H32" i="9" s="1"/>
  <c r="O31" i="9"/>
  <c r="E31" i="9"/>
  <c r="B31" i="9"/>
  <c r="O30" i="9"/>
  <c r="E30" i="9"/>
  <c r="B30" i="9"/>
  <c r="O29" i="9"/>
  <c r="E29" i="9"/>
  <c r="B29" i="9"/>
  <c r="O28" i="9"/>
  <c r="E28" i="9"/>
  <c r="B28" i="9"/>
  <c r="O27" i="9"/>
  <c r="H27" i="9"/>
  <c r="O26" i="9"/>
  <c r="H26" i="9"/>
  <c r="O25" i="9"/>
  <c r="B25" i="9"/>
  <c r="H25" i="9" s="1"/>
  <c r="O24" i="9"/>
  <c r="E24" i="9"/>
  <c r="B24" i="9"/>
  <c r="O23" i="9"/>
  <c r="E23" i="9"/>
  <c r="B23" i="9"/>
  <c r="O22" i="9"/>
  <c r="B22" i="9"/>
  <c r="H22" i="9" s="1"/>
  <c r="O21" i="9"/>
  <c r="B21" i="9"/>
  <c r="H21" i="9" s="1"/>
  <c r="O20" i="9"/>
  <c r="B20" i="9"/>
  <c r="H20" i="9" s="1"/>
  <c r="O19" i="9"/>
  <c r="B19" i="9"/>
  <c r="H19" i="9" s="1"/>
  <c r="O18" i="9"/>
  <c r="B18" i="9"/>
  <c r="H18" i="9" s="1"/>
  <c r="O17" i="9"/>
  <c r="B17" i="9"/>
  <c r="H17" i="9" s="1"/>
  <c r="O16" i="9"/>
  <c r="B16" i="9"/>
  <c r="H16" i="9" s="1"/>
  <c r="O15" i="9"/>
  <c r="B15" i="9"/>
  <c r="H15" i="9" s="1"/>
  <c r="O14" i="9"/>
  <c r="B14" i="9"/>
  <c r="H14" i="9" s="1"/>
  <c r="O13" i="9"/>
  <c r="B13" i="9"/>
  <c r="H13" i="9" s="1"/>
  <c r="O12" i="9"/>
  <c r="B12" i="9"/>
  <c r="H12" i="9" s="1"/>
  <c r="O11" i="9"/>
  <c r="B11" i="9"/>
  <c r="H11" i="9" s="1"/>
  <c r="O10" i="9"/>
  <c r="B10" i="9"/>
  <c r="H10" i="9" s="1"/>
  <c r="O9" i="9"/>
  <c r="B9" i="9"/>
  <c r="H9" i="9" s="1"/>
  <c r="O8" i="9"/>
  <c r="B8" i="9"/>
  <c r="H8" i="9" s="1"/>
  <c r="P7" i="9"/>
  <c r="P8" i="9" s="1"/>
  <c r="P9" i="9" s="1"/>
  <c r="P10" i="9" s="1"/>
  <c r="P11" i="9" s="1"/>
  <c r="P12" i="9" s="1"/>
  <c r="P13" i="9" s="1"/>
  <c r="P14" i="9" s="1"/>
  <c r="P15" i="9" s="1"/>
  <c r="P16" i="9" s="1"/>
  <c r="P17" i="9" s="1"/>
  <c r="P18" i="9" s="1"/>
  <c r="P19" i="9" s="1"/>
  <c r="P20" i="9" s="1"/>
  <c r="P21" i="9" s="1"/>
  <c r="P22" i="9" s="1"/>
  <c r="P23" i="9" s="1"/>
  <c r="P24" i="9" s="1"/>
  <c r="P25" i="9" s="1"/>
  <c r="P26" i="9" s="1"/>
  <c r="P27" i="9" s="1"/>
  <c r="P28" i="9" s="1"/>
  <c r="P29" i="9" s="1"/>
  <c r="P30" i="9" s="1"/>
  <c r="P31" i="9" s="1"/>
  <c r="P32" i="9" s="1"/>
  <c r="P33" i="9" s="1"/>
  <c r="P34" i="9" s="1"/>
  <c r="P35" i="9" s="1"/>
  <c r="P36" i="9" s="1"/>
  <c r="O7" i="9"/>
  <c r="B7" i="9"/>
  <c r="H7" i="9" s="1"/>
  <c r="O6" i="9"/>
  <c r="B6" i="9"/>
  <c r="H6" i="9" s="1"/>
  <c r="H28" i="9" l="1"/>
  <c r="H31" i="9"/>
  <c r="H29" i="9"/>
  <c r="H23" i="9"/>
  <c r="H24" i="9"/>
  <c r="H30" i="9"/>
  <c r="O37" i="9"/>
  <c r="B37" i="9"/>
  <c r="B38" i="9" s="1"/>
  <c r="E37" i="9"/>
  <c r="E38" i="9" s="1"/>
  <c r="H37" i="9" l="1"/>
  <c r="H38" i="9" s="1"/>
  <c r="N37" i="8" l="1"/>
  <c r="M37" i="8"/>
  <c r="L37" i="8"/>
  <c r="I37" i="8"/>
  <c r="I38" i="8" s="1"/>
  <c r="G37" i="8"/>
  <c r="G38" i="8" s="1"/>
  <c r="F37" i="8"/>
  <c r="F38" i="8" s="1"/>
  <c r="E37" i="8"/>
  <c r="E38" i="8" s="1"/>
  <c r="C37" i="8"/>
  <c r="O36" i="8"/>
  <c r="B36" i="8"/>
  <c r="H36" i="8" s="1"/>
  <c r="O35" i="8"/>
  <c r="B35" i="8"/>
  <c r="H35" i="8" s="1"/>
  <c r="O34" i="8"/>
  <c r="B34" i="8"/>
  <c r="H34" i="8" s="1"/>
  <c r="O33" i="8"/>
  <c r="H33" i="8"/>
  <c r="O32" i="8"/>
  <c r="B32" i="8"/>
  <c r="H32" i="8" s="1"/>
  <c r="O31" i="8"/>
  <c r="B31" i="8"/>
  <c r="H31" i="8" s="1"/>
  <c r="O30" i="8"/>
  <c r="B30" i="8"/>
  <c r="H30" i="8" s="1"/>
  <c r="O29" i="8"/>
  <c r="B29" i="8"/>
  <c r="H29" i="8" s="1"/>
  <c r="O28" i="8"/>
  <c r="B28" i="8"/>
  <c r="H28" i="8" s="1"/>
  <c r="O27" i="8"/>
  <c r="B27" i="8"/>
  <c r="H27" i="8" s="1"/>
  <c r="O26" i="8"/>
  <c r="B26" i="8"/>
  <c r="H26" i="8" s="1"/>
  <c r="O25" i="8"/>
  <c r="B25" i="8"/>
  <c r="H25" i="8" s="1"/>
  <c r="O24" i="8"/>
  <c r="B24" i="8"/>
  <c r="H24" i="8" s="1"/>
  <c r="O23" i="8"/>
  <c r="D23" i="8"/>
  <c r="H23" i="8" s="1"/>
  <c r="O22" i="8"/>
  <c r="B22" i="8"/>
  <c r="H22" i="8" s="1"/>
  <c r="O21" i="8"/>
  <c r="B21" i="8"/>
  <c r="H21" i="8" s="1"/>
  <c r="O20" i="8"/>
  <c r="B20" i="8"/>
  <c r="H20" i="8" s="1"/>
  <c r="O19" i="8"/>
  <c r="B19" i="8"/>
  <c r="H19" i="8" s="1"/>
  <c r="O18" i="8"/>
  <c r="B18" i="8"/>
  <c r="H18" i="8" s="1"/>
  <c r="O17" i="8"/>
  <c r="B17" i="8"/>
  <c r="H17" i="8" s="1"/>
  <c r="O16" i="8"/>
  <c r="B16" i="8"/>
  <c r="H16" i="8" s="1"/>
  <c r="O15" i="8"/>
  <c r="B15" i="8"/>
  <c r="H15" i="8" s="1"/>
  <c r="O14" i="8"/>
  <c r="B14" i="8"/>
  <c r="H14" i="8" s="1"/>
  <c r="O13" i="8"/>
  <c r="B13" i="8"/>
  <c r="H13" i="8" s="1"/>
  <c r="O12" i="8"/>
  <c r="B12" i="8"/>
  <c r="H12" i="8" s="1"/>
  <c r="O11" i="8"/>
  <c r="B11" i="8"/>
  <c r="H11" i="8" s="1"/>
  <c r="O10" i="8"/>
  <c r="B10" i="8"/>
  <c r="H10" i="8" s="1"/>
  <c r="O9" i="8"/>
  <c r="B9" i="8"/>
  <c r="H9" i="8" s="1"/>
  <c r="O8" i="8"/>
  <c r="B8" i="8"/>
  <c r="H8" i="8" s="1"/>
  <c r="P7" i="8"/>
  <c r="P8" i="8" s="1"/>
  <c r="P9" i="8" s="1"/>
  <c r="P10" i="8" s="1"/>
  <c r="P11" i="8" s="1"/>
  <c r="P12" i="8" s="1"/>
  <c r="P13" i="8" s="1"/>
  <c r="P14" i="8" s="1"/>
  <c r="P15" i="8" s="1"/>
  <c r="P16" i="8" s="1"/>
  <c r="P17" i="8" s="1"/>
  <c r="P18" i="8" s="1"/>
  <c r="P19" i="8" s="1"/>
  <c r="P20" i="8" s="1"/>
  <c r="P21" i="8" s="1"/>
  <c r="P22" i="8" s="1"/>
  <c r="P23" i="8" s="1"/>
  <c r="P24" i="8" s="1"/>
  <c r="P25" i="8" s="1"/>
  <c r="P26" i="8" s="1"/>
  <c r="P27" i="8" s="1"/>
  <c r="P28" i="8" s="1"/>
  <c r="P29" i="8" s="1"/>
  <c r="P30" i="8" s="1"/>
  <c r="P31" i="8" s="1"/>
  <c r="P32" i="8" s="1"/>
  <c r="P33" i="8" s="1"/>
  <c r="P34" i="8" s="1"/>
  <c r="P35" i="8" s="1"/>
  <c r="P36" i="8" s="1"/>
  <c r="O7" i="8"/>
  <c r="B7" i="8"/>
  <c r="H7" i="8" s="1"/>
  <c r="O6" i="8"/>
  <c r="D6" i="8"/>
  <c r="B6" i="8"/>
  <c r="H6" i="8" s="1"/>
  <c r="O37" i="8" l="1"/>
  <c r="H37" i="8"/>
  <c r="H38" i="8" s="1"/>
  <c r="B37" i="8"/>
  <c r="B38" i="8" s="1"/>
  <c r="D37" i="8"/>
  <c r="D38" i="8" s="1"/>
  <c r="N37" i="7" l="1"/>
  <c r="M37" i="7"/>
  <c r="L37" i="7"/>
  <c r="I37" i="7"/>
  <c r="I38" i="7" s="1"/>
  <c r="G37" i="7"/>
  <c r="G38" i="7" s="1"/>
  <c r="F37" i="7"/>
  <c r="F38" i="7" s="1"/>
  <c r="E37" i="7"/>
  <c r="E38" i="7" s="1"/>
  <c r="C37" i="7"/>
  <c r="O36" i="7"/>
  <c r="B36" i="7"/>
  <c r="H36" i="7" s="1"/>
  <c r="O35" i="7"/>
  <c r="B35" i="7"/>
  <c r="H35" i="7" s="1"/>
  <c r="O34" i="7"/>
  <c r="B34" i="7"/>
  <c r="H34" i="7" s="1"/>
  <c r="O33" i="7"/>
  <c r="B33" i="7"/>
  <c r="H33" i="7" s="1"/>
  <c r="O32" i="7"/>
  <c r="B32" i="7"/>
  <c r="H32" i="7" s="1"/>
  <c r="O31" i="7"/>
  <c r="B31" i="7"/>
  <c r="H31" i="7" s="1"/>
  <c r="O30" i="7"/>
  <c r="B30" i="7"/>
  <c r="H30" i="7" s="1"/>
  <c r="O29" i="7"/>
  <c r="B29" i="7"/>
  <c r="H29" i="7" s="1"/>
  <c r="O28" i="7"/>
  <c r="B28" i="7"/>
  <c r="H28" i="7" s="1"/>
  <c r="O27" i="7"/>
  <c r="B27" i="7"/>
  <c r="H27" i="7" s="1"/>
  <c r="O26" i="7"/>
  <c r="B26" i="7"/>
  <c r="H26" i="7" s="1"/>
  <c r="O25" i="7"/>
  <c r="B25" i="7"/>
  <c r="H25" i="7" s="1"/>
  <c r="O24" i="7"/>
  <c r="B24" i="7"/>
  <c r="H24" i="7" s="1"/>
  <c r="O23" i="7"/>
  <c r="B23" i="7"/>
  <c r="H23" i="7" s="1"/>
  <c r="O22" i="7"/>
  <c r="B22" i="7"/>
  <c r="H22" i="7" s="1"/>
  <c r="O21" i="7"/>
  <c r="B21" i="7"/>
  <c r="O20" i="7"/>
  <c r="B20" i="7"/>
  <c r="H20" i="7" s="1"/>
  <c r="O19" i="7"/>
  <c r="B19" i="7"/>
  <c r="H19" i="7" s="1"/>
  <c r="O18" i="7"/>
  <c r="B18" i="7"/>
  <c r="H18" i="7" s="1"/>
  <c r="O17" i="7"/>
  <c r="B17" i="7"/>
  <c r="H17" i="7" s="1"/>
  <c r="O16" i="7"/>
  <c r="B16" i="7"/>
  <c r="H16" i="7" s="1"/>
  <c r="O15" i="7"/>
  <c r="B15" i="7"/>
  <c r="H15" i="7" s="1"/>
  <c r="O14" i="7"/>
  <c r="B14" i="7"/>
  <c r="H14" i="7" s="1"/>
  <c r="O13" i="7"/>
  <c r="B13" i="7"/>
  <c r="H13" i="7" s="1"/>
  <c r="O12" i="7"/>
  <c r="B12" i="7"/>
  <c r="H12" i="7" s="1"/>
  <c r="O11" i="7"/>
  <c r="B11" i="7"/>
  <c r="H11" i="7" s="1"/>
  <c r="O10" i="7"/>
  <c r="D10" i="7"/>
  <c r="B10" i="7"/>
  <c r="H10" i="7" s="1"/>
  <c r="O9" i="7"/>
  <c r="B9" i="7"/>
  <c r="H9" i="7" s="1"/>
  <c r="O8" i="7"/>
  <c r="B8" i="7"/>
  <c r="H8" i="7" s="1"/>
  <c r="P7" i="7"/>
  <c r="P8" i="7" s="1"/>
  <c r="P9" i="7" s="1"/>
  <c r="P10" i="7" s="1"/>
  <c r="P11" i="7" s="1"/>
  <c r="P12" i="7" s="1"/>
  <c r="P13" i="7" s="1"/>
  <c r="P14" i="7" s="1"/>
  <c r="P15" i="7" s="1"/>
  <c r="P16" i="7" s="1"/>
  <c r="P17" i="7" s="1"/>
  <c r="P18" i="7" s="1"/>
  <c r="P19" i="7" s="1"/>
  <c r="P20" i="7" s="1"/>
  <c r="P21" i="7" s="1"/>
  <c r="P22" i="7" s="1"/>
  <c r="P23" i="7" s="1"/>
  <c r="P24" i="7" s="1"/>
  <c r="P25" i="7" s="1"/>
  <c r="P26" i="7" s="1"/>
  <c r="P27" i="7" s="1"/>
  <c r="P28" i="7" s="1"/>
  <c r="P29" i="7" s="1"/>
  <c r="P30" i="7" s="1"/>
  <c r="P31" i="7" s="1"/>
  <c r="P32" i="7" s="1"/>
  <c r="P33" i="7" s="1"/>
  <c r="P34" i="7" s="1"/>
  <c r="P35" i="7" s="1"/>
  <c r="P36" i="7" s="1"/>
  <c r="O7" i="7"/>
  <c r="B7" i="7"/>
  <c r="O6" i="7"/>
  <c r="B6" i="7"/>
  <c r="H6" i="7" s="1"/>
  <c r="O37" i="7" l="1"/>
  <c r="H7" i="7"/>
  <c r="H21" i="7"/>
  <c r="B37" i="7"/>
  <c r="B38" i="7" s="1"/>
  <c r="D37" i="7"/>
  <c r="D38" i="7" s="1"/>
  <c r="H37" i="7" l="1"/>
  <c r="H38" i="7" s="1"/>
  <c r="N37" i="6" l="1"/>
  <c r="M37" i="6"/>
  <c r="L37" i="6"/>
  <c r="I37" i="6"/>
  <c r="I38" i="6" s="1"/>
  <c r="G37" i="6"/>
  <c r="G38" i="6" s="1"/>
  <c r="F37" i="6"/>
  <c r="F38" i="6" s="1"/>
  <c r="E37" i="6"/>
  <c r="E38" i="6" s="1"/>
  <c r="D37" i="6"/>
  <c r="D38" i="6" s="1"/>
  <c r="C37" i="6"/>
  <c r="O36" i="6"/>
  <c r="H36" i="6"/>
  <c r="O35" i="6"/>
  <c r="B35" i="6"/>
  <c r="H35" i="6" s="1"/>
  <c r="O34" i="6"/>
  <c r="B34" i="6"/>
  <c r="H34" i="6" s="1"/>
  <c r="O33" i="6"/>
  <c r="B33" i="6"/>
  <c r="H33" i="6" s="1"/>
  <c r="O32" i="6"/>
  <c r="B32" i="6"/>
  <c r="H32" i="6" s="1"/>
  <c r="O31" i="6"/>
  <c r="B31" i="6"/>
  <c r="H31" i="6" s="1"/>
  <c r="O30" i="6"/>
  <c r="B30" i="6"/>
  <c r="H30" i="6" s="1"/>
  <c r="O29" i="6"/>
  <c r="B29" i="6"/>
  <c r="H29" i="6" s="1"/>
  <c r="O28" i="6"/>
  <c r="B28" i="6"/>
  <c r="H28" i="6" s="1"/>
  <c r="O27" i="6"/>
  <c r="B27" i="6"/>
  <c r="H27" i="6" s="1"/>
  <c r="O26" i="6"/>
  <c r="B26" i="6"/>
  <c r="H26" i="6" s="1"/>
  <c r="O25" i="6"/>
  <c r="B25" i="6"/>
  <c r="H25" i="6" s="1"/>
  <c r="O24" i="6"/>
  <c r="B24" i="6"/>
  <c r="H24" i="6" s="1"/>
  <c r="O23" i="6"/>
  <c r="B23" i="6"/>
  <c r="H23" i="6" s="1"/>
  <c r="O22" i="6"/>
  <c r="B22" i="6"/>
  <c r="H22" i="6" s="1"/>
  <c r="O21" i="6"/>
  <c r="B21" i="6"/>
  <c r="H21" i="6" s="1"/>
  <c r="O20" i="6"/>
  <c r="B20" i="6"/>
  <c r="H20" i="6" s="1"/>
  <c r="O19" i="6"/>
  <c r="B19" i="6"/>
  <c r="H19" i="6" s="1"/>
  <c r="O18" i="6"/>
  <c r="B18" i="6"/>
  <c r="H18" i="6" s="1"/>
  <c r="O17" i="6"/>
  <c r="B17" i="6"/>
  <c r="H17" i="6" s="1"/>
  <c r="O16" i="6"/>
  <c r="B16" i="6"/>
  <c r="H16" i="6" s="1"/>
  <c r="O15" i="6"/>
  <c r="H15" i="6"/>
  <c r="O14" i="6"/>
  <c r="B14" i="6"/>
  <c r="H14" i="6" s="1"/>
  <c r="O13" i="6"/>
  <c r="B13" i="6"/>
  <c r="H13" i="6" s="1"/>
  <c r="O12" i="6"/>
  <c r="B12" i="6"/>
  <c r="H12" i="6" s="1"/>
  <c r="O11" i="6"/>
  <c r="B11" i="6"/>
  <c r="H11" i="6" s="1"/>
  <c r="O10" i="6"/>
  <c r="B10" i="6"/>
  <c r="H10" i="6" s="1"/>
  <c r="O9" i="6"/>
  <c r="B9" i="6"/>
  <c r="H9" i="6" s="1"/>
  <c r="O8" i="6"/>
  <c r="B8" i="6"/>
  <c r="H8" i="6" s="1"/>
  <c r="P7" i="6"/>
  <c r="P8" i="6" s="1"/>
  <c r="P9" i="6" s="1"/>
  <c r="P10" i="6" s="1"/>
  <c r="P11" i="6" s="1"/>
  <c r="P12" i="6" s="1"/>
  <c r="P13" i="6" s="1"/>
  <c r="P14" i="6" s="1"/>
  <c r="P15" i="6" s="1"/>
  <c r="P16" i="6" s="1"/>
  <c r="P17" i="6" s="1"/>
  <c r="P18" i="6" s="1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 s="1"/>
  <c r="P34" i="6" s="1"/>
  <c r="P35" i="6" s="1"/>
  <c r="P36" i="6" s="1"/>
  <c r="O7" i="6"/>
  <c r="H7" i="6"/>
  <c r="O6" i="6"/>
  <c r="H6" i="6"/>
  <c r="O37" i="6" l="1"/>
  <c r="B37" i="6"/>
  <c r="B38" i="6" s="1"/>
  <c r="H37" i="6"/>
  <c r="H38" i="6" s="1"/>
  <c r="N37" i="5" l="1"/>
  <c r="M37" i="5"/>
  <c r="L37" i="5"/>
  <c r="I37" i="5"/>
  <c r="I38" i="5" s="1"/>
  <c r="G37" i="5"/>
  <c r="G38" i="5" s="1"/>
  <c r="F37" i="5"/>
  <c r="F38" i="5" s="1"/>
  <c r="E37" i="5"/>
  <c r="E38" i="5" s="1"/>
  <c r="C37" i="5"/>
  <c r="O36" i="5"/>
  <c r="B36" i="5"/>
  <c r="H36" i="5" s="1"/>
  <c r="O35" i="5"/>
  <c r="B35" i="5"/>
  <c r="H35" i="5" s="1"/>
  <c r="O34" i="5"/>
  <c r="B34" i="5"/>
  <c r="H34" i="5" s="1"/>
  <c r="O33" i="5"/>
  <c r="B33" i="5"/>
  <c r="H33" i="5" s="1"/>
  <c r="O32" i="5"/>
  <c r="B32" i="5"/>
  <c r="H32" i="5" s="1"/>
  <c r="O31" i="5"/>
  <c r="B31" i="5"/>
  <c r="H31" i="5" s="1"/>
  <c r="O30" i="5"/>
  <c r="B30" i="5"/>
  <c r="H30" i="5" s="1"/>
  <c r="O29" i="5"/>
  <c r="B29" i="5"/>
  <c r="H29" i="5" s="1"/>
  <c r="O28" i="5"/>
  <c r="B28" i="5"/>
  <c r="H28" i="5" s="1"/>
  <c r="O27" i="5"/>
  <c r="B27" i="5"/>
  <c r="H27" i="5" s="1"/>
  <c r="O26" i="5"/>
  <c r="B26" i="5"/>
  <c r="H26" i="5" s="1"/>
  <c r="O25" i="5"/>
  <c r="B25" i="5"/>
  <c r="H25" i="5" s="1"/>
  <c r="O24" i="5"/>
  <c r="B24" i="5"/>
  <c r="H24" i="5" s="1"/>
  <c r="O23" i="5"/>
  <c r="B23" i="5"/>
  <c r="H23" i="5" s="1"/>
  <c r="O22" i="5"/>
  <c r="B22" i="5"/>
  <c r="H22" i="5" s="1"/>
  <c r="O21" i="5"/>
  <c r="B21" i="5"/>
  <c r="O20" i="5"/>
  <c r="B20" i="5"/>
  <c r="H20" i="5" s="1"/>
  <c r="O19" i="5"/>
  <c r="B19" i="5"/>
  <c r="H19" i="5" s="1"/>
  <c r="O18" i="5"/>
  <c r="B18" i="5"/>
  <c r="H18" i="5" s="1"/>
  <c r="O17" i="5"/>
  <c r="B17" i="5"/>
  <c r="H17" i="5" s="1"/>
  <c r="O16" i="5"/>
  <c r="B16" i="5"/>
  <c r="H16" i="5" s="1"/>
  <c r="O15" i="5"/>
  <c r="B15" i="5"/>
  <c r="H15" i="5" s="1"/>
  <c r="O14" i="5"/>
  <c r="B14" i="5"/>
  <c r="H14" i="5" s="1"/>
  <c r="O13" i="5"/>
  <c r="B13" i="5"/>
  <c r="H13" i="5" s="1"/>
  <c r="O12" i="5"/>
  <c r="B12" i="5"/>
  <c r="H12" i="5" s="1"/>
  <c r="O11" i="5"/>
  <c r="B11" i="5"/>
  <c r="H11" i="5" s="1"/>
  <c r="O10" i="5"/>
  <c r="B10" i="5"/>
  <c r="H10" i="5" s="1"/>
  <c r="O9" i="5"/>
  <c r="B9" i="5"/>
  <c r="H9" i="5" s="1"/>
  <c r="O8" i="5"/>
  <c r="D8" i="5"/>
  <c r="D37" i="5" s="1"/>
  <c r="D38" i="5" s="1"/>
  <c r="B8" i="5"/>
  <c r="P7" i="5"/>
  <c r="P8" i="5" s="1"/>
  <c r="P9" i="5" s="1"/>
  <c r="P10" i="5" s="1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P30" i="5" s="1"/>
  <c r="P31" i="5" s="1"/>
  <c r="P32" i="5" s="1"/>
  <c r="P33" i="5" s="1"/>
  <c r="P34" i="5" s="1"/>
  <c r="P35" i="5" s="1"/>
  <c r="P36" i="5" s="1"/>
  <c r="O7" i="5"/>
  <c r="B7" i="5"/>
  <c r="H7" i="5" s="1"/>
  <c r="O6" i="5"/>
  <c r="B6" i="5"/>
  <c r="O37" i="5" l="1"/>
  <c r="H8" i="5"/>
  <c r="H21" i="5"/>
  <c r="H6" i="5"/>
  <c r="B37" i="5"/>
  <c r="B38" i="5" s="1"/>
  <c r="H37" i="5" l="1"/>
  <c r="H38" i="5" s="1"/>
  <c r="N37" i="4" l="1"/>
  <c r="M37" i="4"/>
  <c r="L37" i="4"/>
  <c r="I37" i="4"/>
  <c r="I38" i="4" s="1"/>
  <c r="G37" i="4"/>
  <c r="G38" i="4" s="1"/>
  <c r="F37" i="4"/>
  <c r="F38" i="4" s="1"/>
  <c r="E37" i="4"/>
  <c r="E38" i="4" s="1"/>
  <c r="D37" i="4"/>
  <c r="D38" i="4" s="1"/>
  <c r="C37" i="4"/>
  <c r="O36" i="4"/>
  <c r="H36" i="4"/>
  <c r="O35" i="4"/>
  <c r="B35" i="4"/>
  <c r="H35" i="4" s="1"/>
  <c r="O34" i="4"/>
  <c r="B34" i="4"/>
  <c r="H34" i="4" s="1"/>
  <c r="O33" i="4"/>
  <c r="B33" i="4"/>
  <c r="H33" i="4" s="1"/>
  <c r="O32" i="4"/>
  <c r="B32" i="4"/>
  <c r="H32" i="4" s="1"/>
  <c r="O31" i="4"/>
  <c r="B31" i="4"/>
  <c r="H31" i="4" s="1"/>
  <c r="O30" i="4"/>
  <c r="B30" i="4"/>
  <c r="H30" i="4" s="1"/>
  <c r="O29" i="4"/>
  <c r="B29" i="4"/>
  <c r="H29" i="4" s="1"/>
  <c r="O28" i="4"/>
  <c r="B28" i="4"/>
  <c r="H28" i="4" s="1"/>
  <c r="O27" i="4"/>
  <c r="B27" i="4"/>
  <c r="H27" i="4" s="1"/>
  <c r="O26" i="4"/>
  <c r="B26" i="4"/>
  <c r="H26" i="4" s="1"/>
  <c r="O25" i="4"/>
  <c r="B25" i="4"/>
  <c r="H25" i="4" s="1"/>
  <c r="O24" i="4"/>
  <c r="B24" i="4"/>
  <c r="H24" i="4" s="1"/>
  <c r="O23" i="4"/>
  <c r="B23" i="4"/>
  <c r="H23" i="4" s="1"/>
  <c r="O22" i="4"/>
  <c r="H22" i="4"/>
  <c r="O21" i="4"/>
  <c r="B21" i="4"/>
  <c r="H21" i="4" s="1"/>
  <c r="O20" i="4"/>
  <c r="H20" i="4"/>
  <c r="O19" i="4"/>
  <c r="H19" i="4"/>
  <c r="B19" i="4"/>
  <c r="O18" i="4"/>
  <c r="B18" i="4"/>
  <c r="H18" i="4" s="1"/>
  <c r="O17" i="4"/>
  <c r="B17" i="4"/>
  <c r="H17" i="4" s="1"/>
  <c r="O16" i="4"/>
  <c r="B16" i="4"/>
  <c r="H16" i="4" s="1"/>
  <c r="O15" i="4"/>
  <c r="H15" i="4"/>
  <c r="O14" i="4"/>
  <c r="H14" i="4"/>
  <c r="O13" i="4"/>
  <c r="B13" i="4"/>
  <c r="H13" i="4" s="1"/>
  <c r="O12" i="4"/>
  <c r="B12" i="4"/>
  <c r="H12" i="4" s="1"/>
  <c r="O11" i="4"/>
  <c r="B11" i="4"/>
  <c r="H11" i="4" s="1"/>
  <c r="O10" i="4"/>
  <c r="B10" i="4"/>
  <c r="H10" i="4" s="1"/>
  <c r="O9" i="4"/>
  <c r="B9" i="4"/>
  <c r="H9" i="4" s="1"/>
  <c r="O8" i="4"/>
  <c r="B8" i="4"/>
  <c r="H8" i="4" s="1"/>
  <c r="P7" i="4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P34" i="4" s="1"/>
  <c r="P35" i="4" s="1"/>
  <c r="P36" i="4" s="1"/>
  <c r="O7" i="4"/>
  <c r="B7" i="4"/>
  <c r="O6" i="4"/>
  <c r="B6" i="4"/>
  <c r="O37" i="4" l="1"/>
  <c r="B37" i="4"/>
  <c r="B38" i="4" s="1"/>
  <c r="H7" i="4"/>
  <c r="H6" i="4"/>
  <c r="H37" i="4" l="1"/>
  <c r="H38" i="4" s="1"/>
  <c r="N37" i="3"/>
  <c r="M37" i="3"/>
  <c r="L37" i="3"/>
  <c r="I37" i="3"/>
  <c r="I38" i="3" s="1"/>
  <c r="G37" i="3"/>
  <c r="G38" i="3" s="1"/>
  <c r="F37" i="3"/>
  <c r="F38" i="3" s="1"/>
  <c r="E37" i="3"/>
  <c r="E38" i="3" s="1"/>
  <c r="D37" i="3"/>
  <c r="D38" i="3" s="1"/>
  <c r="C37" i="3"/>
  <c r="O36" i="3"/>
  <c r="B36" i="3"/>
  <c r="H36" i="3" s="1"/>
  <c r="O35" i="3"/>
  <c r="B35" i="3"/>
  <c r="H35" i="3" s="1"/>
  <c r="O34" i="3"/>
  <c r="B34" i="3"/>
  <c r="H34" i="3" s="1"/>
  <c r="O33" i="3"/>
  <c r="B33" i="3"/>
  <c r="H33" i="3" s="1"/>
  <c r="O32" i="3"/>
  <c r="B32" i="3"/>
  <c r="H32" i="3" s="1"/>
  <c r="O31" i="3"/>
  <c r="B31" i="3"/>
  <c r="H31" i="3" s="1"/>
  <c r="O30" i="3"/>
  <c r="B30" i="3"/>
  <c r="H30" i="3" s="1"/>
  <c r="O29" i="3"/>
  <c r="B29" i="3"/>
  <c r="H29" i="3" s="1"/>
  <c r="O28" i="3"/>
  <c r="B28" i="3"/>
  <c r="H28" i="3" s="1"/>
  <c r="O27" i="3"/>
  <c r="B27" i="3"/>
  <c r="H27" i="3" s="1"/>
  <c r="O26" i="3"/>
  <c r="B26" i="3"/>
  <c r="H26" i="3" s="1"/>
  <c r="O25" i="3"/>
  <c r="B25" i="3"/>
  <c r="H25" i="3" s="1"/>
  <c r="O24" i="3"/>
  <c r="B24" i="3"/>
  <c r="H24" i="3" s="1"/>
  <c r="O23" i="3"/>
  <c r="B23" i="3"/>
  <c r="H23" i="3" s="1"/>
  <c r="O22" i="3"/>
  <c r="H22" i="3"/>
  <c r="O21" i="3"/>
  <c r="B21" i="3"/>
  <c r="H21" i="3" s="1"/>
  <c r="O20" i="3"/>
  <c r="H20" i="3"/>
  <c r="O19" i="3"/>
  <c r="B19" i="3"/>
  <c r="H19" i="3" s="1"/>
  <c r="O18" i="3"/>
  <c r="B18" i="3"/>
  <c r="H18" i="3" s="1"/>
  <c r="O17" i="3"/>
  <c r="B17" i="3"/>
  <c r="H17" i="3" s="1"/>
  <c r="O16" i="3"/>
  <c r="B16" i="3"/>
  <c r="H16" i="3" s="1"/>
  <c r="O15" i="3"/>
  <c r="B15" i="3"/>
  <c r="H15" i="3" s="1"/>
  <c r="O14" i="3"/>
  <c r="B14" i="3"/>
  <c r="H14" i="3" s="1"/>
  <c r="O13" i="3"/>
  <c r="B13" i="3"/>
  <c r="H13" i="3" s="1"/>
  <c r="O12" i="3"/>
  <c r="B12" i="3"/>
  <c r="H12" i="3" s="1"/>
  <c r="O11" i="3"/>
  <c r="B11" i="3"/>
  <c r="H11" i="3" s="1"/>
  <c r="O10" i="3"/>
  <c r="B10" i="3"/>
  <c r="H10" i="3" s="1"/>
  <c r="O9" i="3"/>
  <c r="B9" i="3"/>
  <c r="H9" i="3" s="1"/>
  <c r="O8" i="3"/>
  <c r="B8" i="3"/>
  <c r="H8" i="3" s="1"/>
  <c r="P7" i="3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O7" i="3"/>
  <c r="B7" i="3"/>
  <c r="H7" i="3" s="1"/>
  <c r="O6" i="3"/>
  <c r="B6" i="3"/>
  <c r="O37" i="3" l="1"/>
  <c r="H6" i="3"/>
  <c r="B37" i="3"/>
  <c r="B38" i="3" s="1"/>
  <c r="H37" i="3" l="1"/>
  <c r="H38" i="3" s="1"/>
  <c r="N37" i="2" l="1"/>
  <c r="M37" i="2"/>
  <c r="L37" i="2"/>
  <c r="I37" i="2"/>
  <c r="I38" i="2" s="1"/>
  <c r="G37" i="2"/>
  <c r="G38" i="2" s="1"/>
  <c r="F37" i="2"/>
  <c r="F38" i="2" s="1"/>
  <c r="E37" i="2"/>
  <c r="E38" i="2" s="1"/>
  <c r="D37" i="2"/>
  <c r="D38" i="2" s="1"/>
  <c r="C37" i="2"/>
  <c r="O36" i="2"/>
  <c r="H36" i="2"/>
  <c r="O35" i="2"/>
  <c r="H35" i="2"/>
  <c r="O34" i="2"/>
  <c r="H34" i="2"/>
  <c r="O33" i="2"/>
  <c r="B33" i="2"/>
  <c r="H33" i="2" s="1"/>
  <c r="O32" i="2"/>
  <c r="B32" i="2"/>
  <c r="H32" i="2" s="1"/>
  <c r="O31" i="2"/>
  <c r="B31" i="2"/>
  <c r="H31" i="2" s="1"/>
  <c r="O30" i="2"/>
  <c r="B30" i="2"/>
  <c r="H30" i="2" s="1"/>
  <c r="O29" i="2"/>
  <c r="H29" i="2"/>
  <c r="B29" i="2"/>
  <c r="O28" i="2"/>
  <c r="B28" i="2"/>
  <c r="H28" i="2" s="1"/>
  <c r="O27" i="2"/>
  <c r="B27" i="2"/>
  <c r="H27" i="2" s="1"/>
  <c r="O26" i="2"/>
  <c r="B26" i="2"/>
  <c r="H26" i="2" s="1"/>
  <c r="O25" i="2"/>
  <c r="B25" i="2"/>
  <c r="H25" i="2" s="1"/>
  <c r="O24" i="2"/>
  <c r="B24" i="2"/>
  <c r="H24" i="2" s="1"/>
  <c r="O23" i="2"/>
  <c r="B23" i="2"/>
  <c r="H23" i="2" s="1"/>
  <c r="O22" i="2"/>
  <c r="B22" i="2"/>
  <c r="H22" i="2" s="1"/>
  <c r="O21" i="2"/>
  <c r="B21" i="2"/>
  <c r="H21" i="2" s="1"/>
  <c r="O20" i="2"/>
  <c r="B20" i="2"/>
  <c r="H20" i="2" s="1"/>
  <c r="O19" i="2"/>
  <c r="B19" i="2"/>
  <c r="H19" i="2" s="1"/>
  <c r="O18" i="2"/>
  <c r="B18" i="2"/>
  <c r="H18" i="2" s="1"/>
  <c r="O17" i="2"/>
  <c r="B17" i="2"/>
  <c r="H17" i="2" s="1"/>
  <c r="O16" i="2"/>
  <c r="H16" i="2"/>
  <c r="B16" i="2"/>
  <c r="O15" i="2"/>
  <c r="B15" i="2"/>
  <c r="H15" i="2" s="1"/>
  <c r="O14" i="2"/>
  <c r="B14" i="2"/>
  <c r="H14" i="2" s="1"/>
  <c r="O13" i="2"/>
  <c r="B13" i="2"/>
  <c r="H13" i="2" s="1"/>
  <c r="O12" i="2"/>
  <c r="B12" i="2"/>
  <c r="H12" i="2" s="1"/>
  <c r="O11" i="2"/>
  <c r="B11" i="2"/>
  <c r="H11" i="2" s="1"/>
  <c r="O10" i="2"/>
  <c r="B10" i="2"/>
  <c r="H10" i="2" s="1"/>
  <c r="O9" i="2"/>
  <c r="B9" i="2"/>
  <c r="H9" i="2" s="1"/>
  <c r="O8" i="2"/>
  <c r="B8" i="2"/>
  <c r="H8" i="2" s="1"/>
  <c r="P7" i="2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O7" i="2"/>
  <c r="B7" i="2"/>
  <c r="H7" i="2" s="1"/>
  <c r="O6" i="2"/>
  <c r="B6" i="2"/>
  <c r="B37" i="2" l="1"/>
  <c r="O37" i="2"/>
  <c r="H6" i="2"/>
  <c r="H37" i="2"/>
  <c r="H38" i="2" s="1"/>
  <c r="B38" i="2"/>
  <c r="L37" i="1" l="1"/>
  <c r="F37" i="1"/>
  <c r="F38" i="1" s="1"/>
  <c r="O36" i="1"/>
  <c r="B36" i="1"/>
  <c r="H36" i="1" s="1"/>
  <c r="O35" i="1"/>
  <c r="B35" i="1"/>
  <c r="H35" i="1" s="1"/>
  <c r="O34" i="1"/>
  <c r="B34" i="1"/>
  <c r="H34" i="1" s="1"/>
  <c r="O33" i="1"/>
  <c r="H33" i="1"/>
  <c r="O32" i="1"/>
  <c r="H32" i="1"/>
  <c r="O31" i="1"/>
  <c r="B31" i="1"/>
  <c r="H31" i="1" s="1"/>
  <c r="O30" i="1"/>
  <c r="H30" i="1"/>
  <c r="O29" i="1"/>
  <c r="B29" i="1"/>
  <c r="H29" i="1" s="1"/>
  <c r="O28" i="1"/>
  <c r="B28" i="1"/>
  <c r="H28" i="1" s="1"/>
  <c r="O27" i="1"/>
  <c r="B27" i="1"/>
  <c r="H27" i="1" s="1"/>
  <c r="O26" i="1"/>
  <c r="B26" i="1"/>
  <c r="H26" i="1" s="1"/>
  <c r="O25" i="1"/>
  <c r="B25" i="1"/>
  <c r="H25" i="1" s="1"/>
  <c r="O24" i="1"/>
  <c r="B24" i="1"/>
  <c r="H24" i="1" s="1"/>
  <c r="O23" i="1"/>
  <c r="B23" i="1"/>
  <c r="H23" i="1" s="1"/>
  <c r="O22" i="1"/>
  <c r="B22" i="1"/>
  <c r="H22" i="1" s="1"/>
  <c r="O21" i="1"/>
  <c r="B21" i="1"/>
  <c r="B37" i="1" s="1"/>
  <c r="I37" i="1"/>
  <c r="I38" i="1" s="1"/>
  <c r="O20" i="1"/>
  <c r="B20" i="1"/>
  <c r="H20" i="1" s="1"/>
  <c r="O19" i="1"/>
  <c r="B19" i="1"/>
  <c r="H19" i="1" s="1"/>
  <c r="O18" i="1"/>
  <c r="B18" i="1"/>
  <c r="H18" i="1" s="1"/>
  <c r="O17" i="1"/>
  <c r="B17" i="1"/>
  <c r="H17" i="1" s="1"/>
  <c r="O16" i="1"/>
  <c r="B16" i="1"/>
  <c r="H16" i="1" s="1"/>
  <c r="O15" i="1"/>
  <c r="B15" i="1"/>
  <c r="H15" i="1" s="1"/>
  <c r="O14" i="1"/>
  <c r="B14" i="1"/>
  <c r="H14" i="1" s="1"/>
  <c r="O13" i="1"/>
  <c r="B13" i="1"/>
  <c r="H13" i="1" s="1"/>
  <c r="O12" i="1"/>
  <c r="B12" i="1"/>
  <c r="H12" i="1" s="1"/>
  <c r="O11" i="1"/>
  <c r="B11" i="1"/>
  <c r="H11" i="1" s="1"/>
  <c r="O10" i="1"/>
  <c r="B10" i="1"/>
  <c r="H10" i="1" s="1"/>
  <c r="O9" i="1"/>
  <c r="B9" i="1"/>
  <c r="H9" i="1" s="1"/>
  <c r="O8" i="1"/>
  <c r="B8" i="1"/>
  <c r="H8" i="1" s="1"/>
  <c r="P7" i="1"/>
  <c r="O7" i="1"/>
  <c r="B7" i="1"/>
  <c r="H7" i="1" s="1"/>
  <c r="O6" i="1"/>
  <c r="B6" i="1"/>
  <c r="H6" i="1" l="1"/>
  <c r="D37" i="1"/>
  <c r="D38" i="1" s="1"/>
  <c r="E37" i="1"/>
  <c r="E38" i="1" s="1"/>
  <c r="C37" i="1"/>
  <c r="B38" i="1" s="1"/>
  <c r="M37" i="1"/>
  <c r="N37" i="1"/>
  <c r="G37" i="1"/>
  <c r="G38" i="1" s="1"/>
  <c r="H21" i="1"/>
  <c r="P8" i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H37" i="1" l="1"/>
  <c r="H38" i="1" s="1"/>
  <c r="O37" i="1"/>
</calcChain>
</file>

<file path=xl/sharedStrings.xml><?xml version="1.0" encoding="utf-8"?>
<sst xmlns="http://schemas.openxmlformats.org/spreadsheetml/2006/main" count="360" uniqueCount="37">
  <si>
    <t xml:space="preserve">FECHA </t>
  </si>
  <si>
    <t>AUTOMOVILES, CAMPEROS Y CAMIONETAS.</t>
  </si>
  <si>
    <t>BUSES, BUSETAS, CAMIONES PEQUEÑOS Y GRANDES DE 2 EJES</t>
  </si>
  <si>
    <t>CAMIONES DE 3 Y 4 EJES</t>
  </si>
  <si>
    <t>CAMIONES DE 5 EJES</t>
  </si>
  <si>
    <t>CAMIONES DE 6 O MAS EJES</t>
  </si>
  <si>
    <t>TOTALES</t>
  </si>
  <si>
    <t>EVASORES</t>
  </si>
  <si>
    <t>EJE ADICIONAL</t>
  </si>
  <si>
    <t>EJE REMOLQUE</t>
  </si>
  <si>
    <t>EJE GRUA</t>
  </si>
  <si>
    <t>TOTAL EJES</t>
  </si>
  <si>
    <t>I</t>
  </si>
  <si>
    <t>IE</t>
  </si>
  <si>
    <t>II</t>
  </si>
  <si>
    <t>III</t>
  </si>
  <si>
    <t>IV</t>
  </si>
  <si>
    <t>V</t>
  </si>
  <si>
    <t>SUBTOTAL</t>
  </si>
  <si>
    <t>TOTAL</t>
  </si>
  <si>
    <t>(1)</t>
  </si>
  <si>
    <t xml:space="preserve">  </t>
  </si>
  <si>
    <t xml:space="preserve"> </t>
  </si>
  <si>
    <t>CONCESIÓN SABANA DE OCCIDENTE S.A.S.</t>
  </si>
  <si>
    <t>ENERO 2013</t>
  </si>
  <si>
    <t>TRÁFICO POR CATEGORÍAS, ESTACIÓN DE PEAJE CAIQUERO</t>
  </si>
  <si>
    <t>FEBRERO  2013</t>
  </si>
  <si>
    <t>MARZO  2013</t>
  </si>
  <si>
    <t>ABRIL  2013</t>
  </si>
  <si>
    <t>MAYO 2013</t>
  </si>
  <si>
    <t>JUNIO 2013</t>
  </si>
  <si>
    <t>JULIO 2013</t>
  </si>
  <si>
    <t>AGOSTO 2013</t>
  </si>
  <si>
    <t>SEPTIEMBRE  2013</t>
  </si>
  <si>
    <t>OCTUBRE  2013</t>
  </si>
  <si>
    <t>NOVIEMBRE  2013</t>
  </si>
  <si>
    <t>DICIEMBRE 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</si>
</sst>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 [$$-240A]\ * #,##0_ ;_ [$$-240A]\ * \-#,##0_ ;_ [$$-240A]\ * &quot;-&quot;_ ;_ @_ "/>
    <numFmt numFmtId="165" formatCode="_-* #,##0.00\ _€_-;\-* #,##0.00\ _€_-;_-* &quot;-&quot;??\ _€_-;_-@_-"/>
    <numFmt numFmtId="166" formatCode="_(* #,##0_);_(* \(#,##0\);_(* &quot;-&quot;??_);_(@_)"/>
    <numFmt numFmtId="167" formatCode="_([$$-240A]\ * #,##0_);_([$$-240A]\ * \(#,##0\);_([$$-240A]\ 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2" fillId="0" borderId="0">
      <alignment vertical="top"/>
    </xf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>
      <alignment vertical="top"/>
    </xf>
  </cellStyleXfs>
  <cellXfs count="123">
    <xf numFmtId="0" fontId="0" fillId="0" borderId="0" xfId="0"/>
    <xf numFmtId="0" fontId="2" fillId="0" borderId="0" xfId="3" applyNumberFormat="1" applyAlignment="1"/>
    <xf numFmtId="164" fontId="2" fillId="0" borderId="0" xfId="3" applyAlignment="1"/>
    <xf numFmtId="3" fontId="2" fillId="0" borderId="0" xfId="3" applyNumberFormat="1" applyAlignment="1"/>
    <xf numFmtId="164" fontId="3" fillId="2" borderId="0" xfId="3" applyFont="1" applyFill="1" applyAlignment="1">
      <alignment horizontal="center" vertical="center" wrapText="1"/>
    </xf>
    <xf numFmtId="164" fontId="5" fillId="2" borderId="0" xfId="3" applyFont="1" applyFill="1" applyAlignment="1">
      <alignment horizontal="center" vertical="center" wrapText="1"/>
    </xf>
    <xf numFmtId="0" fontId="5" fillId="0" borderId="6" xfId="3" applyNumberFormat="1" applyFont="1" applyBorder="1" applyAlignment="1">
      <alignment horizontal="center"/>
    </xf>
    <xf numFmtId="0" fontId="3" fillId="0" borderId="4" xfId="4" applyNumberFormat="1" applyFont="1" applyFill="1" applyBorder="1" applyAlignment="1" applyProtection="1">
      <alignment horizontal="center" vertical="center"/>
    </xf>
    <xf numFmtId="3" fontId="6" fillId="0" borderId="4" xfId="3" applyNumberFormat="1" applyFont="1" applyBorder="1" applyAlignment="1">
      <alignment horizontal="center" vertical="center"/>
    </xf>
    <xf numFmtId="0" fontId="2" fillId="0" borderId="4" xfId="3" applyNumberFormat="1" applyBorder="1" applyAlignment="1">
      <alignment horizontal="center" vertical="center"/>
    </xf>
    <xf numFmtId="0" fontId="5" fillId="0" borderId="4" xfId="3" applyNumberFormat="1" applyFont="1" applyBorder="1" applyAlignment="1">
      <alignment horizontal="center"/>
    </xf>
    <xf numFmtId="3" fontId="2" fillId="0" borderId="7" xfId="3" applyNumberFormat="1" applyBorder="1" applyAlignment="1"/>
    <xf numFmtId="0" fontId="5" fillId="2" borderId="6" xfId="3" applyNumberFormat="1" applyFont="1" applyFill="1" applyBorder="1" applyAlignment="1">
      <alignment horizontal="center"/>
    </xf>
    <xf numFmtId="0" fontId="3" fillId="2" borderId="4" xfId="4" applyNumberFormat="1" applyFont="1" applyFill="1" applyBorder="1" applyAlignment="1" applyProtection="1">
      <alignment horizontal="center" vertical="center"/>
    </xf>
    <xf numFmtId="3" fontId="6" fillId="2" borderId="4" xfId="3" applyNumberFormat="1" applyFont="1" applyFill="1" applyBorder="1" applyAlignment="1">
      <alignment horizontal="center" vertical="center"/>
    </xf>
    <xf numFmtId="0" fontId="2" fillId="2" borderId="4" xfId="3" applyNumberFormat="1" applyFill="1" applyBorder="1" applyAlignment="1">
      <alignment horizontal="center" vertical="center"/>
    </xf>
    <xf numFmtId="0" fontId="5" fillId="2" borderId="4" xfId="3" applyNumberFormat="1" applyFont="1" applyFill="1" applyBorder="1" applyAlignment="1">
      <alignment horizontal="center"/>
    </xf>
    <xf numFmtId="0" fontId="3" fillId="2" borderId="0" xfId="4" applyNumberFormat="1" applyFont="1" applyFill="1" applyBorder="1" applyAlignment="1" applyProtection="1">
      <alignment horizontal="center" vertical="center"/>
    </xf>
    <xf numFmtId="3" fontId="2" fillId="2" borderId="7" xfId="3" applyNumberFormat="1" applyFill="1" applyBorder="1" applyAlignment="1"/>
    <xf numFmtId="0" fontId="2" fillId="2" borderId="0" xfId="3" applyNumberFormat="1" applyFill="1" applyAlignment="1"/>
    <xf numFmtId="164" fontId="2" fillId="2" borderId="0" xfId="3" applyFill="1" applyAlignment="1"/>
    <xf numFmtId="0" fontId="2" fillId="0" borderId="0" xfId="5" applyNumberFormat="1" applyFill="1" applyProtection="1"/>
    <xf numFmtId="0" fontId="5" fillId="2" borderId="3" xfId="3" applyNumberFormat="1" applyFont="1" applyFill="1" applyBorder="1" applyAlignment="1">
      <alignment horizontal="center"/>
    </xf>
    <xf numFmtId="0" fontId="2" fillId="2" borderId="1" xfId="3" applyNumberFormat="1" applyFill="1" applyBorder="1" applyAlignment="1">
      <alignment horizontal="center" vertical="center"/>
    </xf>
    <xf numFmtId="164" fontId="2" fillId="2" borderId="0" xfId="3" applyFill="1" applyAlignment="1">
      <alignment horizontal="center" vertical="center"/>
    </xf>
    <xf numFmtId="166" fontId="2" fillId="2" borderId="1" xfId="1" applyNumberFormat="1" applyFont="1" applyFill="1" applyBorder="1" applyAlignment="1" applyProtection="1">
      <alignment horizontal="center" vertical="center"/>
    </xf>
    <xf numFmtId="166" fontId="2" fillId="2" borderId="0" xfId="1" applyNumberFormat="1" applyFont="1" applyFill="1" applyBorder="1" applyAlignment="1" applyProtection="1">
      <alignment horizontal="center" vertical="center"/>
    </xf>
    <xf numFmtId="166" fontId="3" fillId="2" borderId="4" xfId="1" applyNumberFormat="1" applyFont="1" applyFill="1" applyBorder="1" applyAlignment="1" applyProtection="1">
      <alignment horizontal="center" vertical="center"/>
    </xf>
    <xf numFmtId="0" fontId="5" fillId="2" borderId="0" xfId="3" applyNumberFormat="1" applyFont="1" applyFill="1" applyAlignment="1">
      <alignment horizontal="center"/>
    </xf>
    <xf numFmtId="10" fontId="7" fillId="0" borderId="0" xfId="2" applyNumberFormat="1" applyFont="1" applyAlignment="1" applyProtection="1">
      <alignment horizontal="right"/>
    </xf>
    <xf numFmtId="164" fontId="9" fillId="0" borderId="0" xfId="3" applyFont="1" applyAlignment="1"/>
    <xf numFmtId="0" fontId="4" fillId="2" borderId="4" xfId="3" applyNumberFormat="1" applyFont="1" applyFill="1" applyBorder="1" applyAlignment="1">
      <alignment horizontal="center" wrapText="1"/>
    </xf>
    <xf numFmtId="0" fontId="3" fillId="2" borderId="4" xfId="3" applyNumberFormat="1" applyFont="1" applyFill="1" applyBorder="1" applyAlignment="1">
      <alignment horizontal="center" wrapText="1"/>
    </xf>
    <xf numFmtId="3" fontId="2" fillId="2" borderId="0" xfId="3" applyNumberFormat="1" applyFill="1" applyAlignment="1"/>
    <xf numFmtId="0" fontId="2" fillId="2" borderId="0" xfId="5" applyNumberFormat="1" applyFill="1" applyProtection="1"/>
    <xf numFmtId="3" fontId="5" fillId="2" borderId="1" xfId="3" applyNumberFormat="1" applyFont="1" applyFill="1" applyBorder="1" applyAlignment="1">
      <alignment horizontal="center"/>
    </xf>
    <xf numFmtId="3" fontId="5" fillId="2" borderId="4" xfId="3" applyNumberFormat="1" applyFont="1" applyFill="1" applyBorder="1" applyAlignment="1">
      <alignment horizontal="center"/>
    </xf>
    <xf numFmtId="3" fontId="0" fillId="0" borderId="0" xfId="0" applyNumberForma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3" fontId="6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3" fontId="2" fillId="0" borderId="7" xfId="0" applyNumberFormat="1" applyFont="1" applyBorder="1"/>
    <xf numFmtId="0" fontId="5" fillId="2" borderId="6" xfId="0" applyFont="1" applyFill="1" applyBorder="1" applyAlignment="1">
      <alignment horizontal="center"/>
    </xf>
    <xf numFmtId="3" fontId="6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3" fontId="2" fillId="2" borderId="7" xfId="0" applyNumberFormat="1" applyFont="1" applyFill="1" applyBorder="1"/>
    <xf numFmtId="0" fontId="0" fillId="2" borderId="0" xfId="0" applyFill="1"/>
    <xf numFmtId="0" fontId="5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3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3" fontId="6" fillId="0" borderId="0" xfId="0" applyNumberFormat="1" applyFont="1" applyAlignment="1">
      <alignment horizontal="right"/>
    </xf>
    <xf numFmtId="0" fontId="9" fillId="0" borderId="0" xfId="0" applyFont="1"/>
    <xf numFmtId="17" fontId="0" fillId="0" borderId="0" xfId="0" applyNumberFormat="1"/>
    <xf numFmtId="17" fontId="2" fillId="0" borderId="0" xfId="0" applyNumberFormat="1" applyFont="1"/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3" fontId="5" fillId="2" borderId="1" xfId="0" applyNumberFormat="1" applyFont="1" applyFill="1" applyBorder="1" applyAlignment="1">
      <alignment horizontal="center"/>
    </xf>
    <xf numFmtId="3" fontId="5" fillId="2" borderId="4" xfId="0" applyNumberFormat="1" applyFont="1" applyFill="1" applyBorder="1" applyAlignment="1">
      <alignment horizontal="center"/>
    </xf>
    <xf numFmtId="0" fontId="2" fillId="2" borderId="0" xfId="0" applyFont="1" applyFill="1"/>
    <xf numFmtId="166" fontId="5" fillId="0" borderId="6" xfId="1" applyNumberFormat="1" applyFont="1" applyFill="1" applyBorder="1" applyAlignment="1" applyProtection="1">
      <alignment horizontal="center"/>
    </xf>
    <xf numFmtId="166" fontId="3" fillId="0" borderId="4" xfId="1" applyNumberFormat="1" applyFont="1" applyFill="1" applyBorder="1" applyAlignment="1" applyProtection="1">
      <alignment horizontal="center" vertical="center"/>
    </xf>
    <xf numFmtId="166" fontId="6" fillId="0" borderId="4" xfId="1" applyNumberFormat="1" applyFont="1" applyFill="1" applyBorder="1" applyAlignment="1" applyProtection="1">
      <alignment horizontal="center" vertical="center"/>
    </xf>
    <xf numFmtId="166" fontId="2" fillId="0" borderId="4" xfId="1" applyNumberFormat="1" applyFont="1" applyFill="1" applyBorder="1" applyAlignment="1" applyProtection="1">
      <alignment horizontal="center" vertical="center"/>
    </xf>
    <xf numFmtId="166" fontId="5" fillId="2" borderId="0" xfId="1" applyNumberFormat="1" applyFont="1" applyFill="1" applyBorder="1" applyAlignment="1" applyProtection="1">
      <alignment horizontal="center" vertical="center" wrapText="1"/>
    </xf>
    <xf numFmtId="166" fontId="5" fillId="0" borderId="4" xfId="1" applyNumberFormat="1" applyFont="1" applyFill="1" applyBorder="1" applyAlignment="1" applyProtection="1">
      <alignment horizontal="center"/>
    </xf>
    <xf numFmtId="166" fontId="5" fillId="2" borderId="6" xfId="1" applyNumberFormat="1" applyFont="1" applyFill="1" applyBorder="1" applyAlignment="1" applyProtection="1">
      <alignment horizontal="center"/>
    </xf>
    <xf numFmtId="166" fontId="6" fillId="2" borderId="4" xfId="1" applyNumberFormat="1" applyFont="1" applyFill="1" applyBorder="1" applyAlignment="1" applyProtection="1">
      <alignment horizontal="center" vertical="center"/>
    </xf>
    <xf numFmtId="166" fontId="2" fillId="2" borderId="4" xfId="1" applyNumberFormat="1" applyFont="1" applyFill="1" applyBorder="1" applyAlignment="1" applyProtection="1">
      <alignment horizontal="center" vertical="center"/>
    </xf>
    <xf numFmtId="166" fontId="5" fillId="2" borderId="4" xfId="1" applyNumberFormat="1" applyFont="1" applyFill="1" applyBorder="1" applyAlignment="1" applyProtection="1">
      <alignment horizontal="center"/>
    </xf>
    <xf numFmtId="166" fontId="3" fillId="2" borderId="0" xfId="1" applyNumberFormat="1" applyFont="1" applyFill="1" applyBorder="1" applyAlignment="1" applyProtection="1">
      <alignment horizontal="center" vertical="center"/>
    </xf>
    <xf numFmtId="167" fontId="2" fillId="0" borderId="0" xfId="5" applyNumberFormat="1" applyFill="1" applyProtection="1"/>
    <xf numFmtId="166" fontId="5" fillId="2" borderId="3" xfId="1" applyNumberFormat="1" applyFont="1" applyFill="1" applyBorder="1" applyAlignment="1" applyProtection="1">
      <alignment horizontal="center"/>
    </xf>
    <xf numFmtId="166" fontId="2" fillId="0" borderId="7" xfId="1" applyNumberFormat="1" applyFont="1" applyFill="1" applyBorder="1" applyAlignment="1" applyProtection="1"/>
    <xf numFmtId="166" fontId="2" fillId="2" borderId="7" xfId="1" applyNumberFormat="1" applyFont="1" applyFill="1" applyBorder="1" applyAlignment="1" applyProtection="1"/>
    <xf numFmtId="0" fontId="11" fillId="0" borderId="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37" fontId="11" fillId="0" borderId="8" xfId="1" applyNumberFormat="1" applyFont="1" applyFill="1" applyBorder="1" applyAlignment="1" applyProtection="1">
      <alignment horizontal="center" vertical="center"/>
    </xf>
    <xf numFmtId="37" fontId="12" fillId="0" borderId="8" xfId="1" applyNumberFormat="1" applyFont="1" applyFill="1" applyBorder="1" applyAlignment="1" applyProtection="1">
      <alignment horizontal="center" vertical="center"/>
    </xf>
    <xf numFmtId="37" fontId="12" fillId="0" borderId="0" xfId="1" applyNumberFormat="1" applyFont="1" applyFill="1" applyBorder="1" applyAlignment="1" applyProtection="1">
      <alignment horizontal="center" vertical="center" wrapText="1"/>
    </xf>
    <xf numFmtId="37" fontId="12" fillId="0" borderId="0" xfId="1" applyNumberFormat="1" applyFont="1" applyFill="1" applyBorder="1" applyAlignment="1" applyProtection="1">
      <alignment horizontal="center" vertical="center"/>
    </xf>
    <xf numFmtId="3" fontId="11" fillId="0" borderId="8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3" fillId="2" borderId="1" xfId="3" applyNumberFormat="1" applyFont="1" applyFill="1" applyBorder="1" applyAlignment="1">
      <alignment horizontal="center" vertical="center" wrapText="1"/>
    </xf>
    <xf numFmtId="0" fontId="3" fillId="2" borderId="5" xfId="3" applyNumberFormat="1" applyFont="1" applyFill="1" applyBorder="1" applyAlignment="1">
      <alignment horizontal="center" vertical="center" wrapText="1"/>
    </xf>
    <xf numFmtId="3" fontId="5" fillId="2" borderId="2" xfId="3" applyNumberFormat="1" applyFont="1" applyFill="1" applyBorder="1" applyAlignment="1">
      <alignment horizontal="center"/>
    </xf>
    <xf numFmtId="3" fontId="5" fillId="2" borderId="3" xfId="3" applyNumberFormat="1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49" fontId="10" fillId="0" borderId="0" xfId="6" applyNumberFormat="1" applyFont="1" applyAlignment="1">
      <alignment horizontal="center" vertical="center"/>
    </xf>
    <xf numFmtId="0" fontId="3" fillId="2" borderId="1" xfId="3" applyNumberFormat="1" applyFont="1" applyFill="1" applyBorder="1" applyAlignment="1">
      <alignment horizontal="center" vertical="center"/>
    </xf>
    <xf numFmtId="0" fontId="3" fillId="2" borderId="5" xfId="3" applyNumberFormat="1" applyFont="1" applyFill="1" applyBorder="1" applyAlignment="1">
      <alignment horizontal="center" vertical="center"/>
    </xf>
    <xf numFmtId="0" fontId="4" fillId="2" borderId="2" xfId="3" applyNumberFormat="1" applyFont="1" applyFill="1" applyBorder="1" applyAlignment="1">
      <alignment horizontal="center" wrapText="1"/>
    </xf>
    <xf numFmtId="0" fontId="4" fillId="2" borderId="3" xfId="3" applyNumberFormat="1" applyFont="1" applyFill="1" applyBorder="1" applyAlignment="1">
      <alignment horizontal="center" wrapText="1"/>
    </xf>
    <xf numFmtId="0" fontId="5" fillId="2" borderId="1" xfId="3" applyNumberFormat="1" applyFont="1" applyFill="1" applyBorder="1" applyAlignment="1">
      <alignment horizontal="center" vertical="center" wrapText="1"/>
    </xf>
    <xf numFmtId="0" fontId="5" fillId="2" borderId="5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3" fontId="11" fillId="0" borderId="8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</cellXfs>
  <cellStyles count="7">
    <cellStyle name="Millares" xfId="1" builtinId="3"/>
    <cellStyle name="Millares_TRAFICO CAIQUERO" xfId="4" xr:uid="{D7058393-FE83-4936-838A-22B2435E2D2B}"/>
    <cellStyle name="Millares_TRAFICO CAIQUERO_1" xfId="5" xr:uid="{6175F8B6-8C2D-4A36-BB9C-3FA41A05E237}"/>
    <cellStyle name="Normal" xfId="0" builtinId="0"/>
    <cellStyle name="Normal 2" xfId="3" xr:uid="{706FA00B-DD12-4C56-BA13-4B551BD22322}"/>
    <cellStyle name="Normal 5" xfId="6" xr:uid="{9AF47EE2-162F-43F4-988C-BAFD7E3E0AF4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BBC67-2A3E-44EA-A3FD-5A4B25DFE309}">
  <dimension ref="A1:CN57"/>
  <sheetViews>
    <sheetView workbookViewId="0">
      <selection activeCell="H35" sqref="H35"/>
    </sheetView>
  </sheetViews>
  <sheetFormatPr baseColWidth="10" defaultColWidth="11.44140625" defaultRowHeight="13.2" x14ac:dyDescent="0.25"/>
  <cols>
    <col min="1" max="1" width="13.5546875" style="2" customWidth="1"/>
    <col min="2" max="2" width="11.33203125" style="2" customWidth="1"/>
    <col min="3" max="3" width="8.5546875" style="2" customWidth="1"/>
    <col min="4" max="4" width="18.6640625" style="2" customWidth="1"/>
    <col min="5" max="5" width="13.6640625" style="2" customWidth="1"/>
    <col min="6" max="6" width="13.33203125" style="2" customWidth="1"/>
    <col min="7" max="7" width="13.109375" style="2" customWidth="1"/>
    <col min="8" max="8" width="17.109375" style="2" customWidth="1"/>
    <col min="9" max="9" width="14.44140625" style="2" bestFit="1" customWidth="1"/>
    <col min="10" max="10" width="3.88671875" style="2" customWidth="1"/>
    <col min="11" max="11" width="10.6640625" style="2" customWidth="1"/>
    <col min="12" max="12" width="14.88671875" style="2" customWidth="1"/>
    <col min="13" max="13" width="15.88671875" style="2" customWidth="1"/>
    <col min="14" max="14" width="10.109375" style="2" customWidth="1"/>
    <col min="15" max="15" width="9.88671875" style="2" customWidth="1"/>
    <col min="16" max="16384" width="11.44140625" style="2"/>
  </cols>
  <sheetData>
    <row r="1" spans="1:92" customFormat="1" ht="15.6" x14ac:dyDescent="0.3">
      <c r="A1" s="100" t="s">
        <v>23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92" customFormat="1" ht="15.6" x14ac:dyDescent="0.3">
      <c r="A2" s="100" t="s">
        <v>25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</row>
    <row r="3" spans="1:92" customFormat="1" ht="16.2" thickBot="1" x14ac:dyDescent="0.35">
      <c r="A3" s="101" t="s">
        <v>24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</row>
    <row r="4" spans="1:92" s="20" customFormat="1" ht="78" customHeight="1" thickBot="1" x14ac:dyDescent="0.3">
      <c r="A4" s="102" t="s">
        <v>0</v>
      </c>
      <c r="B4" s="104" t="s">
        <v>1</v>
      </c>
      <c r="C4" s="105"/>
      <c r="D4" s="31" t="s">
        <v>2</v>
      </c>
      <c r="E4" s="32" t="s">
        <v>3</v>
      </c>
      <c r="F4" s="32" t="s">
        <v>4</v>
      </c>
      <c r="G4" s="32" t="s">
        <v>5</v>
      </c>
      <c r="H4" s="106" t="s">
        <v>6</v>
      </c>
      <c r="I4" s="96" t="s">
        <v>7</v>
      </c>
      <c r="J4" s="4"/>
      <c r="K4" s="102" t="s">
        <v>0</v>
      </c>
      <c r="L4" s="96" t="s">
        <v>8</v>
      </c>
      <c r="M4" s="96" t="s">
        <v>9</v>
      </c>
      <c r="N4" s="96" t="s">
        <v>10</v>
      </c>
      <c r="O4" s="96" t="s">
        <v>11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</row>
    <row r="5" spans="1:92" s="20" customFormat="1" ht="18" customHeight="1" thickBot="1" x14ac:dyDescent="0.35">
      <c r="A5" s="103"/>
      <c r="B5" s="16" t="s">
        <v>12</v>
      </c>
      <c r="C5" s="16" t="s">
        <v>13</v>
      </c>
      <c r="D5" s="16" t="s">
        <v>14</v>
      </c>
      <c r="E5" s="16" t="s">
        <v>15</v>
      </c>
      <c r="F5" s="16" t="s">
        <v>16</v>
      </c>
      <c r="G5" s="16" t="s">
        <v>17</v>
      </c>
      <c r="H5" s="107"/>
      <c r="I5" s="97"/>
      <c r="J5" s="5"/>
      <c r="K5" s="103"/>
      <c r="L5" s="97"/>
      <c r="M5" s="97"/>
      <c r="N5" s="97"/>
      <c r="O5" s="97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</row>
    <row r="6" spans="1:92" s="20" customFormat="1" ht="18" customHeight="1" thickBot="1" x14ac:dyDescent="0.35">
      <c r="A6" s="12">
        <v>1</v>
      </c>
      <c r="B6" s="13">
        <f>10654+16</f>
        <v>10670</v>
      </c>
      <c r="C6" s="13">
        <v>5</v>
      </c>
      <c r="D6" s="13">
        <v>580</v>
      </c>
      <c r="E6" s="13">
        <v>27</v>
      </c>
      <c r="F6" s="13">
        <v>37</v>
      </c>
      <c r="G6" s="13">
        <v>67</v>
      </c>
      <c r="H6" s="14">
        <f t="shared" ref="H6:H20" si="0">SUM(B6:G6)</f>
        <v>11386</v>
      </c>
      <c r="I6" s="15">
        <v>0</v>
      </c>
      <c r="J6" s="5"/>
      <c r="K6" s="16">
        <v>1</v>
      </c>
      <c r="L6" s="13">
        <v>0</v>
      </c>
      <c r="M6" s="13">
        <v>2</v>
      </c>
      <c r="N6" s="13">
        <v>1</v>
      </c>
      <c r="O6" s="13">
        <f t="shared" ref="O6:O20" si="1">SUM(L6:N6)</f>
        <v>3</v>
      </c>
      <c r="P6" s="18">
        <v>5871</v>
      </c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</row>
    <row r="7" spans="1:92" s="20" customFormat="1" ht="18" customHeight="1" thickBot="1" x14ac:dyDescent="0.35">
      <c r="A7" s="12">
        <v>2</v>
      </c>
      <c r="B7" s="13">
        <f>10246+20</f>
        <v>10266</v>
      </c>
      <c r="C7" s="13">
        <v>12</v>
      </c>
      <c r="D7" s="13">
        <v>1040</v>
      </c>
      <c r="E7" s="13">
        <v>72</v>
      </c>
      <c r="F7" s="13">
        <v>106</v>
      </c>
      <c r="G7" s="13">
        <v>152</v>
      </c>
      <c r="H7" s="14">
        <f t="shared" si="0"/>
        <v>11648</v>
      </c>
      <c r="I7" s="15">
        <v>0</v>
      </c>
      <c r="J7" s="5"/>
      <c r="K7" s="16">
        <v>2</v>
      </c>
      <c r="L7" s="13">
        <v>0</v>
      </c>
      <c r="M7" s="13">
        <v>2</v>
      </c>
      <c r="N7" s="13">
        <v>0</v>
      </c>
      <c r="O7" s="13">
        <f t="shared" si="1"/>
        <v>2</v>
      </c>
      <c r="P7" s="18">
        <f t="shared" ref="P7:P20" si="2">+P6</f>
        <v>5871</v>
      </c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</row>
    <row r="8" spans="1:92" s="20" customFormat="1" ht="18" customHeight="1" thickBot="1" x14ac:dyDescent="0.35">
      <c r="A8" s="12">
        <v>3</v>
      </c>
      <c r="B8" s="13">
        <f>8232+19</f>
        <v>8251</v>
      </c>
      <c r="C8" s="13">
        <v>8</v>
      </c>
      <c r="D8" s="13">
        <v>1269</v>
      </c>
      <c r="E8" s="13">
        <v>115</v>
      </c>
      <c r="F8" s="13">
        <v>142</v>
      </c>
      <c r="G8" s="13">
        <v>191</v>
      </c>
      <c r="H8" s="14">
        <f t="shared" si="0"/>
        <v>9976</v>
      </c>
      <c r="I8" s="15">
        <v>0</v>
      </c>
      <c r="J8" s="5"/>
      <c r="K8" s="16">
        <v>3</v>
      </c>
      <c r="L8" s="13">
        <v>0</v>
      </c>
      <c r="M8" s="13">
        <v>2</v>
      </c>
      <c r="N8" s="13">
        <v>2</v>
      </c>
      <c r="O8" s="13">
        <f t="shared" si="1"/>
        <v>4</v>
      </c>
      <c r="P8" s="18">
        <f t="shared" si="2"/>
        <v>5871</v>
      </c>
      <c r="Q8" s="19"/>
      <c r="R8" s="19"/>
      <c r="S8" s="33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</row>
    <row r="9" spans="1:92" s="20" customFormat="1" ht="18" customHeight="1" thickBot="1" x14ac:dyDescent="0.35">
      <c r="A9" s="12">
        <v>4</v>
      </c>
      <c r="B9" s="13">
        <f>8497+15</f>
        <v>8512</v>
      </c>
      <c r="C9" s="13">
        <v>13</v>
      </c>
      <c r="D9" s="13">
        <v>1172</v>
      </c>
      <c r="E9" s="13">
        <v>126</v>
      </c>
      <c r="F9" s="13">
        <v>156</v>
      </c>
      <c r="G9" s="13">
        <v>216</v>
      </c>
      <c r="H9" s="14">
        <f t="shared" si="0"/>
        <v>10195</v>
      </c>
      <c r="I9" s="15">
        <v>0</v>
      </c>
      <c r="J9" s="5"/>
      <c r="K9" s="16">
        <v>4</v>
      </c>
      <c r="L9" s="13">
        <v>0</v>
      </c>
      <c r="M9" s="13">
        <v>10</v>
      </c>
      <c r="N9" s="13">
        <v>2</v>
      </c>
      <c r="O9" s="13">
        <f t="shared" si="1"/>
        <v>12</v>
      </c>
      <c r="P9" s="18">
        <f t="shared" si="2"/>
        <v>5871</v>
      </c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</row>
    <row r="10" spans="1:92" s="20" customFormat="1" ht="18" customHeight="1" thickBot="1" x14ac:dyDescent="0.35">
      <c r="A10" s="12">
        <v>5</v>
      </c>
      <c r="B10" s="13">
        <f>9898+9</f>
        <v>9907</v>
      </c>
      <c r="C10" s="13">
        <v>8</v>
      </c>
      <c r="D10" s="13">
        <v>925</v>
      </c>
      <c r="E10" s="13">
        <v>63</v>
      </c>
      <c r="F10" s="13">
        <v>114</v>
      </c>
      <c r="G10" s="13">
        <v>118</v>
      </c>
      <c r="H10" s="14">
        <f t="shared" si="0"/>
        <v>11135</v>
      </c>
      <c r="I10" s="15">
        <v>0</v>
      </c>
      <c r="J10" s="5"/>
      <c r="K10" s="16">
        <v>5</v>
      </c>
      <c r="L10" s="13">
        <v>0</v>
      </c>
      <c r="M10" s="13">
        <v>2</v>
      </c>
      <c r="N10" s="13">
        <v>2</v>
      </c>
      <c r="O10" s="13">
        <f t="shared" si="1"/>
        <v>4</v>
      </c>
      <c r="P10" s="18">
        <f t="shared" si="2"/>
        <v>5871</v>
      </c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</row>
    <row r="11" spans="1:92" s="20" customFormat="1" ht="18" customHeight="1" thickBot="1" x14ac:dyDescent="0.35">
      <c r="A11" s="12">
        <v>6</v>
      </c>
      <c r="B11" s="13">
        <f>11730+12</f>
        <v>11742</v>
      </c>
      <c r="C11" s="13">
        <v>14</v>
      </c>
      <c r="D11" s="13">
        <v>923</v>
      </c>
      <c r="E11" s="13">
        <v>73</v>
      </c>
      <c r="F11" s="13">
        <v>115</v>
      </c>
      <c r="G11" s="13">
        <v>116</v>
      </c>
      <c r="H11" s="14">
        <f t="shared" si="0"/>
        <v>12983</v>
      </c>
      <c r="I11" s="15">
        <v>0</v>
      </c>
      <c r="J11" s="5"/>
      <c r="K11" s="16">
        <v>6</v>
      </c>
      <c r="L11" s="13">
        <v>0</v>
      </c>
      <c r="M11" s="13">
        <v>0</v>
      </c>
      <c r="N11" s="13">
        <v>1</v>
      </c>
      <c r="O11" s="13">
        <f t="shared" si="1"/>
        <v>1</v>
      </c>
      <c r="P11" s="18">
        <f t="shared" si="2"/>
        <v>5871</v>
      </c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</row>
    <row r="12" spans="1:92" s="20" customFormat="1" ht="18" customHeight="1" thickBot="1" x14ac:dyDescent="0.35">
      <c r="A12" s="12">
        <v>7</v>
      </c>
      <c r="B12" s="13">
        <f>12168+23</f>
        <v>12191</v>
      </c>
      <c r="C12" s="13">
        <v>10</v>
      </c>
      <c r="D12" s="13">
        <v>913</v>
      </c>
      <c r="E12" s="13">
        <v>51</v>
      </c>
      <c r="F12" s="13">
        <v>52</v>
      </c>
      <c r="G12" s="13">
        <v>71</v>
      </c>
      <c r="H12" s="14">
        <f t="shared" si="0"/>
        <v>13288</v>
      </c>
      <c r="I12" s="13">
        <v>0</v>
      </c>
      <c r="J12" s="17"/>
      <c r="K12" s="13">
        <v>7</v>
      </c>
      <c r="L12" s="13">
        <v>0</v>
      </c>
      <c r="M12" s="13">
        <v>2</v>
      </c>
      <c r="N12" s="13">
        <v>2</v>
      </c>
      <c r="O12" s="13">
        <f t="shared" si="1"/>
        <v>4</v>
      </c>
      <c r="P12" s="18">
        <f t="shared" si="2"/>
        <v>5871</v>
      </c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</row>
    <row r="13" spans="1:92" s="20" customFormat="1" ht="18" customHeight="1" thickBot="1" x14ac:dyDescent="0.35">
      <c r="A13" s="12">
        <v>8</v>
      </c>
      <c r="B13" s="13">
        <f>6697+12</f>
        <v>6709</v>
      </c>
      <c r="C13" s="13">
        <v>8</v>
      </c>
      <c r="D13" s="13">
        <v>1254</v>
      </c>
      <c r="E13" s="13">
        <v>131</v>
      </c>
      <c r="F13" s="13">
        <v>172</v>
      </c>
      <c r="G13" s="13">
        <v>258</v>
      </c>
      <c r="H13" s="14">
        <f t="shared" si="0"/>
        <v>8532</v>
      </c>
      <c r="I13" s="13">
        <v>0</v>
      </c>
      <c r="J13" s="17"/>
      <c r="K13" s="13">
        <v>8</v>
      </c>
      <c r="L13" s="13">
        <v>0</v>
      </c>
      <c r="M13" s="13">
        <v>6</v>
      </c>
      <c r="N13" s="13">
        <v>3</v>
      </c>
      <c r="O13" s="13">
        <f t="shared" si="1"/>
        <v>9</v>
      </c>
      <c r="P13" s="18">
        <f t="shared" si="2"/>
        <v>5871</v>
      </c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</row>
    <row r="14" spans="1:92" s="20" customFormat="1" ht="18" customHeight="1" thickBot="1" x14ac:dyDescent="0.35">
      <c r="A14" s="12">
        <v>9</v>
      </c>
      <c r="B14" s="13">
        <f>5462+22</f>
        <v>5484</v>
      </c>
      <c r="C14" s="13">
        <v>11</v>
      </c>
      <c r="D14" s="13">
        <v>1368</v>
      </c>
      <c r="E14" s="13">
        <v>153</v>
      </c>
      <c r="F14" s="13">
        <v>163</v>
      </c>
      <c r="G14" s="13">
        <v>221</v>
      </c>
      <c r="H14" s="14">
        <f t="shared" si="0"/>
        <v>7400</v>
      </c>
      <c r="I14" s="13">
        <v>0</v>
      </c>
      <c r="J14" s="17"/>
      <c r="K14" s="13">
        <v>9</v>
      </c>
      <c r="L14" s="13">
        <v>0</v>
      </c>
      <c r="M14" s="13">
        <v>16</v>
      </c>
      <c r="N14" s="13">
        <v>0</v>
      </c>
      <c r="O14" s="13">
        <f t="shared" si="1"/>
        <v>16</v>
      </c>
      <c r="P14" s="18">
        <f t="shared" si="2"/>
        <v>5871</v>
      </c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</row>
    <row r="15" spans="1:92" s="20" customFormat="1" ht="18" customHeight="1" thickBot="1" x14ac:dyDescent="0.35">
      <c r="A15" s="12">
        <v>10</v>
      </c>
      <c r="B15" s="13">
        <f>4900+12</f>
        <v>4912</v>
      </c>
      <c r="C15" s="13">
        <v>13</v>
      </c>
      <c r="D15" s="13">
        <v>1329</v>
      </c>
      <c r="E15" s="13">
        <v>169</v>
      </c>
      <c r="F15" s="13">
        <v>157</v>
      </c>
      <c r="G15" s="13">
        <v>276</v>
      </c>
      <c r="H15" s="14">
        <f t="shared" si="0"/>
        <v>6856</v>
      </c>
      <c r="I15" s="13">
        <v>0</v>
      </c>
      <c r="J15" s="17"/>
      <c r="K15" s="13">
        <v>10</v>
      </c>
      <c r="L15" s="13">
        <v>2</v>
      </c>
      <c r="M15" s="13">
        <v>4</v>
      </c>
      <c r="N15" s="13">
        <v>1</v>
      </c>
      <c r="O15" s="13">
        <f t="shared" si="1"/>
        <v>7</v>
      </c>
      <c r="P15" s="18">
        <f t="shared" si="2"/>
        <v>5871</v>
      </c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</row>
    <row r="16" spans="1:92" s="20" customFormat="1" ht="18" customHeight="1" thickBot="1" x14ac:dyDescent="0.35">
      <c r="A16" s="12">
        <v>11</v>
      </c>
      <c r="B16" s="13">
        <f>5432+18</f>
        <v>5450</v>
      </c>
      <c r="C16" s="13">
        <v>11</v>
      </c>
      <c r="D16" s="13">
        <v>1271</v>
      </c>
      <c r="E16" s="13">
        <v>177</v>
      </c>
      <c r="F16" s="13">
        <v>172</v>
      </c>
      <c r="G16" s="13">
        <v>232</v>
      </c>
      <c r="H16" s="14">
        <f t="shared" si="0"/>
        <v>7313</v>
      </c>
      <c r="I16" s="13">
        <v>0</v>
      </c>
      <c r="J16" s="17"/>
      <c r="K16" s="13">
        <v>11</v>
      </c>
      <c r="L16" s="13">
        <v>0</v>
      </c>
      <c r="M16" s="13">
        <v>6</v>
      </c>
      <c r="N16" s="13">
        <v>0</v>
      </c>
      <c r="O16" s="13">
        <f t="shared" si="1"/>
        <v>6</v>
      </c>
      <c r="P16" s="18">
        <f t="shared" si="2"/>
        <v>5871</v>
      </c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</row>
    <row r="17" spans="1:92" s="20" customFormat="1" ht="18" customHeight="1" thickBot="1" x14ac:dyDescent="0.35">
      <c r="A17" s="12">
        <v>12</v>
      </c>
      <c r="B17" s="13">
        <f>6228+10</f>
        <v>6238</v>
      </c>
      <c r="C17" s="13">
        <v>10</v>
      </c>
      <c r="D17" s="13">
        <v>1056</v>
      </c>
      <c r="E17" s="13">
        <v>132</v>
      </c>
      <c r="F17" s="13">
        <v>185</v>
      </c>
      <c r="G17" s="13">
        <v>209</v>
      </c>
      <c r="H17" s="14">
        <f t="shared" si="0"/>
        <v>7830</v>
      </c>
      <c r="I17" s="13">
        <v>0</v>
      </c>
      <c r="J17" s="17"/>
      <c r="K17" s="13">
        <v>12</v>
      </c>
      <c r="L17" s="13">
        <v>0</v>
      </c>
      <c r="M17" s="13">
        <v>20</v>
      </c>
      <c r="N17" s="13">
        <v>3</v>
      </c>
      <c r="O17" s="13">
        <f t="shared" si="1"/>
        <v>23</v>
      </c>
      <c r="P17" s="18">
        <f t="shared" si="2"/>
        <v>5871</v>
      </c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</row>
    <row r="18" spans="1:92" s="20" customFormat="1" ht="18" customHeight="1" thickBot="1" x14ac:dyDescent="0.35">
      <c r="A18" s="12">
        <v>13</v>
      </c>
      <c r="B18" s="13">
        <f>7515+8</f>
        <v>7523</v>
      </c>
      <c r="C18" s="13">
        <v>9</v>
      </c>
      <c r="D18" s="13">
        <v>951</v>
      </c>
      <c r="E18" s="13">
        <v>84</v>
      </c>
      <c r="F18" s="13">
        <v>116</v>
      </c>
      <c r="G18" s="13">
        <v>149</v>
      </c>
      <c r="H18" s="14">
        <f t="shared" si="0"/>
        <v>8832</v>
      </c>
      <c r="I18" s="13">
        <v>0</v>
      </c>
      <c r="J18" s="17"/>
      <c r="K18" s="13">
        <v>13</v>
      </c>
      <c r="L18" s="13">
        <v>0</v>
      </c>
      <c r="M18" s="13">
        <v>3</v>
      </c>
      <c r="N18" s="13">
        <v>3</v>
      </c>
      <c r="O18" s="13">
        <f t="shared" si="1"/>
        <v>6</v>
      </c>
      <c r="P18" s="18">
        <f t="shared" si="2"/>
        <v>5871</v>
      </c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</row>
    <row r="19" spans="1:92" s="20" customFormat="1" ht="18" customHeight="1" thickBot="1" x14ac:dyDescent="0.35">
      <c r="A19" s="12">
        <v>14</v>
      </c>
      <c r="B19" s="13">
        <f>3690+13</f>
        <v>3703</v>
      </c>
      <c r="C19" s="13">
        <v>10</v>
      </c>
      <c r="D19" s="13">
        <v>1088</v>
      </c>
      <c r="E19" s="13">
        <v>188</v>
      </c>
      <c r="F19" s="13">
        <v>184</v>
      </c>
      <c r="G19" s="13">
        <v>272</v>
      </c>
      <c r="H19" s="14">
        <f t="shared" si="0"/>
        <v>5445</v>
      </c>
      <c r="I19" s="13">
        <v>0</v>
      </c>
      <c r="J19" s="17"/>
      <c r="K19" s="13">
        <v>14</v>
      </c>
      <c r="L19" s="13">
        <v>0</v>
      </c>
      <c r="M19" s="13">
        <v>26</v>
      </c>
      <c r="N19" s="13">
        <v>2</v>
      </c>
      <c r="O19" s="13">
        <f t="shared" si="1"/>
        <v>28</v>
      </c>
      <c r="P19" s="18">
        <f t="shared" si="2"/>
        <v>5871</v>
      </c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</row>
    <row r="20" spans="1:92" s="20" customFormat="1" ht="18" customHeight="1" thickBot="1" x14ac:dyDescent="0.35">
      <c r="A20" s="12">
        <v>15</v>
      </c>
      <c r="B20" s="13">
        <f>3183+18</f>
        <v>3201</v>
      </c>
      <c r="C20" s="13">
        <v>12</v>
      </c>
      <c r="D20" s="13">
        <v>1204</v>
      </c>
      <c r="E20" s="13">
        <v>163</v>
      </c>
      <c r="F20" s="13">
        <v>168</v>
      </c>
      <c r="G20" s="13">
        <v>234</v>
      </c>
      <c r="H20" s="14">
        <f t="shared" si="0"/>
        <v>4982</v>
      </c>
      <c r="I20" s="13">
        <v>0</v>
      </c>
      <c r="J20" s="17"/>
      <c r="K20" s="13">
        <v>15</v>
      </c>
      <c r="L20" s="13">
        <v>1</v>
      </c>
      <c r="M20" s="13">
        <v>3</v>
      </c>
      <c r="N20" s="13">
        <v>3</v>
      </c>
      <c r="O20" s="13">
        <f t="shared" si="1"/>
        <v>7</v>
      </c>
      <c r="P20" s="18">
        <f t="shared" si="2"/>
        <v>5871</v>
      </c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</row>
    <row r="21" spans="1:92" s="20" customFormat="1" ht="18" customHeight="1" thickBot="1" x14ac:dyDescent="0.35">
      <c r="A21" s="12">
        <v>16</v>
      </c>
      <c r="B21" s="13">
        <f>2839+19</f>
        <v>2858</v>
      </c>
      <c r="C21" s="13">
        <v>10</v>
      </c>
      <c r="D21" s="13">
        <v>1171</v>
      </c>
      <c r="E21" s="13">
        <v>217</v>
      </c>
      <c r="F21" s="13">
        <v>200</v>
      </c>
      <c r="G21" s="13">
        <v>273</v>
      </c>
      <c r="H21" s="14">
        <f t="shared" ref="H21:H36" si="3">SUM(B21:G21)</f>
        <v>4729</v>
      </c>
      <c r="I21" s="13">
        <v>0</v>
      </c>
      <c r="J21" s="17"/>
      <c r="K21" s="13">
        <v>16</v>
      </c>
      <c r="L21" s="13"/>
      <c r="M21" s="13">
        <v>42</v>
      </c>
      <c r="N21" s="13"/>
      <c r="O21" s="13">
        <f t="shared" ref="O21:O36" si="4">SUM(L21:N21)</f>
        <v>42</v>
      </c>
      <c r="P21" s="18">
        <f>+P20</f>
        <v>5871</v>
      </c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</row>
    <row r="22" spans="1:92" s="20" customFormat="1" ht="18" customHeight="1" thickBot="1" x14ac:dyDescent="0.35">
      <c r="A22" s="12">
        <v>17</v>
      </c>
      <c r="B22" s="13">
        <f>2860+12</f>
        <v>2872</v>
      </c>
      <c r="C22" s="13">
        <v>8</v>
      </c>
      <c r="D22" s="13">
        <v>1263</v>
      </c>
      <c r="E22" s="13">
        <v>195</v>
      </c>
      <c r="F22" s="13">
        <v>227</v>
      </c>
      <c r="G22" s="13">
        <v>264</v>
      </c>
      <c r="H22" s="14">
        <f t="shared" si="3"/>
        <v>4829</v>
      </c>
      <c r="I22" s="13">
        <v>0</v>
      </c>
      <c r="J22" s="17"/>
      <c r="K22" s="13">
        <v>17</v>
      </c>
      <c r="L22" s="13">
        <v>1</v>
      </c>
      <c r="M22" s="13">
        <v>32</v>
      </c>
      <c r="N22" s="13">
        <v>3</v>
      </c>
      <c r="O22" s="13">
        <f t="shared" si="4"/>
        <v>36</v>
      </c>
      <c r="P22" s="18">
        <f t="shared" ref="P22:P36" si="5">+P21</f>
        <v>5871</v>
      </c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</row>
    <row r="23" spans="1:92" s="20" customFormat="1" ht="18" customHeight="1" thickBot="1" x14ac:dyDescent="0.35">
      <c r="A23" s="12">
        <v>18</v>
      </c>
      <c r="B23" s="13">
        <f>4066+27</f>
        <v>4093</v>
      </c>
      <c r="C23" s="13">
        <v>9</v>
      </c>
      <c r="D23" s="13">
        <v>1189</v>
      </c>
      <c r="E23" s="13">
        <v>244</v>
      </c>
      <c r="F23" s="13">
        <v>200</v>
      </c>
      <c r="G23" s="13">
        <v>249</v>
      </c>
      <c r="H23" s="14">
        <f t="shared" si="3"/>
        <v>5984</v>
      </c>
      <c r="I23" s="13">
        <v>0</v>
      </c>
      <c r="J23" s="17"/>
      <c r="K23" s="13">
        <v>18</v>
      </c>
      <c r="L23" s="13">
        <v>2</v>
      </c>
      <c r="M23" s="13">
        <v>48</v>
      </c>
      <c r="N23" s="13">
        <v>1</v>
      </c>
      <c r="O23" s="13">
        <f t="shared" si="4"/>
        <v>51</v>
      </c>
      <c r="P23" s="18">
        <f t="shared" si="5"/>
        <v>5871</v>
      </c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</row>
    <row r="24" spans="1:92" s="20" customFormat="1" ht="18" customHeight="1" thickBot="1" x14ac:dyDescent="0.35">
      <c r="A24" s="12">
        <v>19</v>
      </c>
      <c r="B24" s="13">
        <f>5017+14</f>
        <v>5031</v>
      </c>
      <c r="C24" s="13">
        <v>12</v>
      </c>
      <c r="D24" s="13">
        <v>1063</v>
      </c>
      <c r="E24" s="13">
        <v>144</v>
      </c>
      <c r="F24" s="13">
        <v>190</v>
      </c>
      <c r="G24" s="13">
        <v>188</v>
      </c>
      <c r="H24" s="14">
        <f t="shared" si="3"/>
        <v>6628</v>
      </c>
      <c r="I24" s="13">
        <v>0</v>
      </c>
      <c r="J24" s="17"/>
      <c r="K24" s="13">
        <v>19</v>
      </c>
      <c r="L24" s="13">
        <v>1</v>
      </c>
      <c r="M24" s="13">
        <v>8</v>
      </c>
      <c r="N24" s="13">
        <v>1</v>
      </c>
      <c r="O24" s="13">
        <f t="shared" si="4"/>
        <v>10</v>
      </c>
      <c r="P24" s="18">
        <f t="shared" si="5"/>
        <v>5871</v>
      </c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</row>
    <row r="25" spans="1:92" s="20" customFormat="1" ht="18" customHeight="1" thickBot="1" x14ac:dyDescent="0.35">
      <c r="A25" s="12">
        <v>20</v>
      </c>
      <c r="B25" s="13">
        <f>6365+2</f>
        <v>6367</v>
      </c>
      <c r="C25" s="13">
        <v>14</v>
      </c>
      <c r="D25" s="13">
        <v>861</v>
      </c>
      <c r="E25" s="13">
        <v>88</v>
      </c>
      <c r="F25" s="13">
        <v>132</v>
      </c>
      <c r="G25" s="13">
        <v>155</v>
      </c>
      <c r="H25" s="14">
        <f t="shared" si="3"/>
        <v>7617</v>
      </c>
      <c r="I25" s="13">
        <v>0</v>
      </c>
      <c r="J25" s="17"/>
      <c r="K25" s="13">
        <v>20</v>
      </c>
      <c r="L25" s="13"/>
      <c r="M25" s="13">
        <v>7</v>
      </c>
      <c r="N25" s="13"/>
      <c r="O25" s="13">
        <f t="shared" si="4"/>
        <v>7</v>
      </c>
      <c r="P25" s="18">
        <f t="shared" si="5"/>
        <v>5871</v>
      </c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</row>
    <row r="26" spans="1:92" s="20" customFormat="1" ht="18" customHeight="1" thickBot="1" x14ac:dyDescent="0.35">
      <c r="A26" s="12">
        <v>21</v>
      </c>
      <c r="B26" s="13">
        <f>2778+20</f>
        <v>2798</v>
      </c>
      <c r="C26" s="13">
        <v>9</v>
      </c>
      <c r="D26" s="13">
        <v>1029</v>
      </c>
      <c r="E26" s="13">
        <v>245</v>
      </c>
      <c r="F26" s="13">
        <v>175</v>
      </c>
      <c r="G26" s="13">
        <v>247</v>
      </c>
      <c r="H26" s="14">
        <f t="shared" si="3"/>
        <v>4503</v>
      </c>
      <c r="I26" s="13">
        <v>0</v>
      </c>
      <c r="J26" s="17"/>
      <c r="K26" s="13">
        <v>21</v>
      </c>
      <c r="L26" s="13"/>
      <c r="M26" s="13">
        <v>28</v>
      </c>
      <c r="N26" s="13"/>
      <c r="O26" s="13">
        <f t="shared" si="4"/>
        <v>28</v>
      </c>
      <c r="P26" s="18">
        <f t="shared" si="5"/>
        <v>5871</v>
      </c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</row>
    <row r="27" spans="1:92" s="20" customFormat="1" ht="18" customHeight="1" thickBot="1" x14ac:dyDescent="0.35">
      <c r="A27" s="12">
        <v>22</v>
      </c>
      <c r="B27" s="13">
        <f>2295+14</f>
        <v>2309</v>
      </c>
      <c r="C27" s="13">
        <v>14</v>
      </c>
      <c r="D27" s="13">
        <v>1105</v>
      </c>
      <c r="E27" s="13">
        <v>177</v>
      </c>
      <c r="F27" s="13">
        <v>173</v>
      </c>
      <c r="G27" s="13">
        <v>255</v>
      </c>
      <c r="H27" s="14">
        <f t="shared" si="3"/>
        <v>4033</v>
      </c>
      <c r="I27" s="13">
        <v>0</v>
      </c>
      <c r="J27" s="17"/>
      <c r="K27" s="13">
        <v>22</v>
      </c>
      <c r="L27" s="13"/>
      <c r="M27" s="13">
        <v>4</v>
      </c>
      <c r="N27" s="13">
        <v>1</v>
      </c>
      <c r="O27" s="13">
        <f t="shared" si="4"/>
        <v>5</v>
      </c>
      <c r="P27" s="18">
        <f t="shared" si="5"/>
        <v>5871</v>
      </c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</row>
    <row r="28" spans="1:92" s="20" customFormat="1" ht="18" customHeight="1" thickBot="1" x14ac:dyDescent="0.35">
      <c r="A28" s="12">
        <v>23</v>
      </c>
      <c r="B28" s="13">
        <f>2246+16</f>
        <v>2262</v>
      </c>
      <c r="C28" s="13">
        <v>10</v>
      </c>
      <c r="D28" s="13">
        <v>1143</v>
      </c>
      <c r="E28" s="13">
        <v>194</v>
      </c>
      <c r="F28" s="13">
        <v>185</v>
      </c>
      <c r="G28" s="13">
        <v>284</v>
      </c>
      <c r="H28" s="14">
        <f t="shared" si="3"/>
        <v>4078</v>
      </c>
      <c r="I28" s="13">
        <v>0</v>
      </c>
      <c r="J28" s="17"/>
      <c r="K28" s="13">
        <v>23</v>
      </c>
      <c r="L28" s="13">
        <v>1</v>
      </c>
      <c r="M28" s="13">
        <v>23</v>
      </c>
      <c r="N28" s="13">
        <v>0</v>
      </c>
      <c r="O28" s="13">
        <f t="shared" si="4"/>
        <v>24</v>
      </c>
      <c r="P28" s="18">
        <f t="shared" si="5"/>
        <v>5871</v>
      </c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</row>
    <row r="29" spans="1:92" s="20" customFormat="1" ht="18" customHeight="1" thickBot="1" x14ac:dyDescent="0.35">
      <c r="A29" s="12">
        <v>24</v>
      </c>
      <c r="B29" s="13">
        <f>2297+18</f>
        <v>2315</v>
      </c>
      <c r="C29" s="13">
        <v>9</v>
      </c>
      <c r="D29" s="13">
        <v>1116</v>
      </c>
      <c r="E29" s="13">
        <v>210</v>
      </c>
      <c r="F29" s="13">
        <v>183</v>
      </c>
      <c r="G29" s="13">
        <v>282</v>
      </c>
      <c r="H29" s="14">
        <f t="shared" si="3"/>
        <v>4115</v>
      </c>
      <c r="I29" s="13">
        <v>0</v>
      </c>
      <c r="J29" s="17"/>
      <c r="K29" s="13">
        <v>24</v>
      </c>
      <c r="L29" s="13">
        <v>0</v>
      </c>
      <c r="M29" s="13">
        <v>24</v>
      </c>
      <c r="N29" s="13">
        <v>1</v>
      </c>
      <c r="O29" s="13">
        <f t="shared" si="4"/>
        <v>25</v>
      </c>
      <c r="P29" s="18">
        <f t="shared" si="5"/>
        <v>5871</v>
      </c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</row>
    <row r="30" spans="1:92" s="20" customFormat="1" ht="18" customHeight="1" thickBot="1" x14ac:dyDescent="0.35">
      <c r="A30" s="12">
        <v>25</v>
      </c>
      <c r="B30" s="13">
        <v>3323</v>
      </c>
      <c r="C30" s="13">
        <v>12</v>
      </c>
      <c r="D30" s="13">
        <v>1173</v>
      </c>
      <c r="E30" s="13">
        <v>180</v>
      </c>
      <c r="F30" s="13">
        <v>183</v>
      </c>
      <c r="G30" s="13">
        <v>235</v>
      </c>
      <c r="H30" s="14">
        <f t="shared" si="3"/>
        <v>5106</v>
      </c>
      <c r="I30" s="13">
        <v>0</v>
      </c>
      <c r="J30" s="17"/>
      <c r="K30" s="13">
        <v>25</v>
      </c>
      <c r="L30" s="13">
        <v>1</v>
      </c>
      <c r="M30" s="13">
        <v>6</v>
      </c>
      <c r="N30" s="13">
        <v>1</v>
      </c>
      <c r="O30" s="13">
        <f t="shared" si="4"/>
        <v>8</v>
      </c>
      <c r="P30" s="18">
        <f t="shared" si="5"/>
        <v>5871</v>
      </c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</row>
    <row r="31" spans="1:92" s="20" customFormat="1" ht="18" customHeight="1" thickBot="1" x14ac:dyDescent="0.35">
      <c r="A31" s="12">
        <v>26</v>
      </c>
      <c r="B31" s="13">
        <f>3845</f>
        <v>3845</v>
      </c>
      <c r="C31" s="13">
        <v>11</v>
      </c>
      <c r="D31" s="13">
        <v>960</v>
      </c>
      <c r="E31" s="13">
        <v>173</v>
      </c>
      <c r="F31" s="13">
        <v>204</v>
      </c>
      <c r="G31" s="13">
        <v>219</v>
      </c>
      <c r="H31" s="14">
        <f t="shared" si="3"/>
        <v>5412</v>
      </c>
      <c r="I31" s="13">
        <v>0</v>
      </c>
      <c r="J31" s="17"/>
      <c r="K31" s="13">
        <v>26</v>
      </c>
      <c r="L31" s="13">
        <v>1</v>
      </c>
      <c r="M31" s="13">
        <v>4</v>
      </c>
      <c r="N31" s="13">
        <v>2</v>
      </c>
      <c r="O31" s="13">
        <f t="shared" si="4"/>
        <v>7</v>
      </c>
      <c r="P31" s="18">
        <f t="shared" si="5"/>
        <v>5871</v>
      </c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</row>
    <row r="32" spans="1:92" s="20" customFormat="1" ht="18" customHeight="1" thickBot="1" x14ac:dyDescent="0.35">
      <c r="A32" s="12">
        <v>27</v>
      </c>
      <c r="B32" s="13">
        <v>4912</v>
      </c>
      <c r="C32" s="13">
        <v>9</v>
      </c>
      <c r="D32" s="13">
        <v>762</v>
      </c>
      <c r="E32" s="13">
        <v>84</v>
      </c>
      <c r="F32" s="13">
        <v>102</v>
      </c>
      <c r="G32" s="13">
        <v>115</v>
      </c>
      <c r="H32" s="14">
        <f t="shared" si="3"/>
        <v>5984</v>
      </c>
      <c r="I32" s="13">
        <v>0</v>
      </c>
      <c r="J32" s="17"/>
      <c r="K32" s="13">
        <v>27</v>
      </c>
      <c r="L32" s="13"/>
      <c r="M32" s="13"/>
      <c r="N32" s="13">
        <v>2</v>
      </c>
      <c r="O32" s="13">
        <f t="shared" si="4"/>
        <v>2</v>
      </c>
      <c r="P32" s="18">
        <f t="shared" si="5"/>
        <v>5871</v>
      </c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</row>
    <row r="33" spans="1:92" s="20" customFormat="1" ht="15.75" customHeight="1" thickBot="1" x14ac:dyDescent="0.35">
      <c r="A33" s="12">
        <v>28</v>
      </c>
      <c r="B33" s="13">
        <v>2227</v>
      </c>
      <c r="C33" s="13">
        <v>11</v>
      </c>
      <c r="D33" s="13">
        <v>940</v>
      </c>
      <c r="E33" s="13">
        <v>176</v>
      </c>
      <c r="F33" s="13">
        <v>184</v>
      </c>
      <c r="G33" s="13">
        <v>211</v>
      </c>
      <c r="H33" s="14">
        <f t="shared" si="3"/>
        <v>3749</v>
      </c>
      <c r="I33" s="13">
        <v>0</v>
      </c>
      <c r="J33" s="17"/>
      <c r="K33" s="13">
        <v>28</v>
      </c>
      <c r="L33" s="13"/>
      <c r="M33" s="13">
        <v>16</v>
      </c>
      <c r="N33" s="13"/>
      <c r="O33" s="13">
        <f t="shared" si="4"/>
        <v>16</v>
      </c>
      <c r="P33" s="18">
        <f t="shared" si="5"/>
        <v>5871</v>
      </c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</row>
    <row r="34" spans="1:92" s="20" customFormat="1" ht="17.25" customHeight="1" thickBot="1" x14ac:dyDescent="0.35">
      <c r="A34" s="22">
        <v>29</v>
      </c>
      <c r="B34" s="13">
        <f>1980+25</f>
        <v>2005</v>
      </c>
      <c r="C34" s="13">
        <v>8</v>
      </c>
      <c r="D34" s="13">
        <v>1053</v>
      </c>
      <c r="E34" s="13">
        <v>197</v>
      </c>
      <c r="F34" s="13">
        <v>199</v>
      </c>
      <c r="G34" s="13">
        <v>193</v>
      </c>
      <c r="H34" s="14">
        <f t="shared" si="3"/>
        <v>3655</v>
      </c>
      <c r="I34" s="23">
        <v>0</v>
      </c>
      <c r="J34" s="24"/>
      <c r="K34" s="13">
        <v>29</v>
      </c>
      <c r="L34" s="13">
        <v>0</v>
      </c>
      <c r="M34" s="13">
        <v>17</v>
      </c>
      <c r="N34" s="13">
        <v>1</v>
      </c>
      <c r="O34" s="13">
        <f t="shared" si="4"/>
        <v>18</v>
      </c>
      <c r="P34" s="18">
        <f t="shared" si="5"/>
        <v>5871</v>
      </c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</row>
    <row r="35" spans="1:92" s="20" customFormat="1" ht="17.25" customHeight="1" thickBot="1" x14ac:dyDescent="0.35">
      <c r="A35" s="22">
        <v>30</v>
      </c>
      <c r="B35" s="13">
        <f>2012+16</f>
        <v>2028</v>
      </c>
      <c r="C35" s="13">
        <v>10</v>
      </c>
      <c r="D35" s="13">
        <v>1101</v>
      </c>
      <c r="E35" s="13">
        <v>194</v>
      </c>
      <c r="F35" s="13">
        <v>255</v>
      </c>
      <c r="G35" s="13">
        <v>250</v>
      </c>
      <c r="H35" s="14">
        <f t="shared" si="3"/>
        <v>3838</v>
      </c>
      <c r="I35" s="23">
        <v>0</v>
      </c>
      <c r="J35" s="24"/>
      <c r="K35" s="13">
        <v>30</v>
      </c>
      <c r="L35" s="13">
        <v>1</v>
      </c>
      <c r="M35" s="13">
        <v>30</v>
      </c>
      <c r="N35" s="13">
        <v>1</v>
      </c>
      <c r="O35" s="13">
        <f t="shared" si="4"/>
        <v>32</v>
      </c>
      <c r="P35" s="18">
        <f t="shared" si="5"/>
        <v>5871</v>
      </c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</row>
    <row r="36" spans="1:92" s="20" customFormat="1" ht="17.25" customHeight="1" thickBot="1" x14ac:dyDescent="0.35">
      <c r="A36" s="22">
        <v>31</v>
      </c>
      <c r="B36" s="13">
        <f>2150+13</f>
        <v>2163</v>
      </c>
      <c r="C36" s="13">
        <v>8</v>
      </c>
      <c r="D36" s="13">
        <v>1103</v>
      </c>
      <c r="E36" s="13">
        <v>228</v>
      </c>
      <c r="F36" s="13">
        <v>196</v>
      </c>
      <c r="G36" s="13">
        <v>238</v>
      </c>
      <c r="H36" s="14">
        <f t="shared" si="3"/>
        <v>3936</v>
      </c>
      <c r="I36" s="23">
        <v>0</v>
      </c>
      <c r="J36" s="24"/>
      <c r="K36" s="13">
        <v>31</v>
      </c>
      <c r="L36" s="13"/>
      <c r="M36" s="13">
        <v>9</v>
      </c>
      <c r="N36" s="13">
        <v>4</v>
      </c>
      <c r="O36" s="13">
        <f t="shared" si="4"/>
        <v>13</v>
      </c>
      <c r="P36" s="18">
        <f t="shared" si="5"/>
        <v>5871</v>
      </c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</row>
    <row r="37" spans="1:92" s="20" customFormat="1" ht="18" customHeight="1" thickBot="1" x14ac:dyDescent="0.35">
      <c r="A37" s="16" t="s">
        <v>18</v>
      </c>
      <c r="B37" s="35" t="e">
        <f>#REF!+#REF!</f>
        <v>#REF!</v>
      </c>
      <c r="C37" s="35" t="e">
        <f>#REF!+#REF!</f>
        <v>#REF!</v>
      </c>
      <c r="D37" s="35" t="e">
        <f>#REF!+#REF!</f>
        <v>#REF!</v>
      </c>
      <c r="E37" s="35" t="e">
        <f>#REF!+#REF!</f>
        <v>#REF!</v>
      </c>
      <c r="F37" s="35" t="e">
        <f>#REF!+#REF!</f>
        <v>#REF!</v>
      </c>
      <c r="G37" s="35" t="e">
        <f>#REF!+#REF!</f>
        <v>#REF!</v>
      </c>
      <c r="H37" s="35" t="e">
        <f>#REF!+#REF!</f>
        <v>#REF!</v>
      </c>
      <c r="I37" s="35">
        <f>SUM(I6:I33)</f>
        <v>0</v>
      </c>
      <c r="J37" s="24"/>
      <c r="K37" s="16" t="s">
        <v>19</v>
      </c>
      <c r="L37" s="36" t="e">
        <f>#REF!+#REF!</f>
        <v>#REF!</v>
      </c>
      <c r="M37" s="36" t="e">
        <f>#REF!+#REF!</f>
        <v>#REF!</v>
      </c>
      <c r="N37" s="36" t="e">
        <f>#REF!+#REF!</f>
        <v>#REF!</v>
      </c>
      <c r="O37" s="36" t="e">
        <f>#REF!+#REF!</f>
        <v>#REF!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</row>
    <row r="38" spans="1:92" s="20" customFormat="1" ht="18" customHeight="1" thickBot="1" x14ac:dyDescent="0.35">
      <c r="A38" s="16" t="s">
        <v>19</v>
      </c>
      <c r="B38" s="98" t="e">
        <f>+B37+C37</f>
        <v>#REF!</v>
      </c>
      <c r="C38" s="99"/>
      <c r="D38" s="36" t="e">
        <f t="shared" ref="D38:I38" si="6">+D37</f>
        <v>#REF!</v>
      </c>
      <c r="E38" s="36" t="e">
        <f t="shared" si="6"/>
        <v>#REF!</v>
      </c>
      <c r="F38" s="36" t="e">
        <f t="shared" si="6"/>
        <v>#REF!</v>
      </c>
      <c r="G38" s="36" t="e">
        <f t="shared" si="6"/>
        <v>#REF!</v>
      </c>
      <c r="H38" s="36" t="e">
        <f t="shared" si="6"/>
        <v>#REF!</v>
      </c>
      <c r="I38" s="36">
        <f t="shared" si="6"/>
        <v>0</v>
      </c>
      <c r="J38" s="24"/>
      <c r="K38" s="16" t="s">
        <v>20</v>
      </c>
      <c r="L38" s="28" t="s">
        <v>21</v>
      </c>
      <c r="M38" s="28" t="s">
        <v>22</v>
      </c>
      <c r="N38" s="28" t="s">
        <v>21</v>
      </c>
      <c r="O38" s="28" t="s">
        <v>22</v>
      </c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</row>
    <row r="39" spans="1:92" ht="15" x14ac:dyDescent="0.25">
      <c r="A39" s="30"/>
      <c r="I39" s="3"/>
      <c r="J39" s="3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</row>
    <row r="40" spans="1:92" x14ac:dyDescent="0.25"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</row>
    <row r="41" spans="1:92" x14ac:dyDescent="0.25"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</row>
    <row r="42" spans="1:92" x14ac:dyDescent="0.25"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</row>
    <row r="43" spans="1:92" x14ac:dyDescent="0.25"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</row>
    <row r="44" spans="1:92" x14ac:dyDescent="0.25"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</row>
    <row r="45" spans="1:92" x14ac:dyDescent="0.25"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</row>
    <row r="46" spans="1:92" x14ac:dyDescent="0.25"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</row>
    <row r="47" spans="1:92" x14ac:dyDescent="0.25"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</row>
    <row r="48" spans="1:92" x14ac:dyDescent="0.25"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</row>
    <row r="49" spans="17:92" x14ac:dyDescent="0.25"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</row>
    <row r="50" spans="17:92" x14ac:dyDescent="0.25"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</row>
    <row r="51" spans="17:92" x14ac:dyDescent="0.25"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</row>
    <row r="52" spans="17:92" x14ac:dyDescent="0.25"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</row>
    <row r="53" spans="17:92" x14ac:dyDescent="0.25"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</row>
    <row r="54" spans="17:92" x14ac:dyDescent="0.25"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</row>
    <row r="55" spans="17:92" x14ac:dyDescent="0.25"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</row>
    <row r="56" spans="17:92" x14ac:dyDescent="0.25"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</row>
    <row r="57" spans="17:92" x14ac:dyDescent="0.25"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</row>
  </sheetData>
  <mergeCells count="13">
    <mergeCell ref="M4:M5"/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5F4D3-439E-4EF9-9FA8-A4DCF3325EBA}">
  <dimension ref="A1:CN49"/>
  <sheetViews>
    <sheetView workbookViewId="0">
      <selection activeCell="E4" sqref="E4"/>
    </sheetView>
  </sheetViews>
  <sheetFormatPr baseColWidth="10" defaultColWidth="11.44140625" defaultRowHeight="13.2" x14ac:dyDescent="0.25"/>
  <cols>
    <col min="1" max="1" width="13.5546875" style="2" customWidth="1"/>
    <col min="2" max="2" width="11.33203125" style="2" customWidth="1"/>
    <col min="3" max="3" width="8.5546875" style="2" customWidth="1"/>
    <col min="4" max="4" width="18.6640625" style="2" customWidth="1"/>
    <col min="5" max="5" width="13.6640625" style="2" customWidth="1"/>
    <col min="6" max="6" width="13.33203125" style="2" customWidth="1"/>
    <col min="7" max="7" width="13.109375" style="2" customWidth="1"/>
    <col min="8" max="8" width="17.109375" style="2" customWidth="1"/>
    <col min="9" max="9" width="14.44140625" style="2" bestFit="1" customWidth="1"/>
    <col min="10" max="10" width="3.88671875" style="2" customWidth="1"/>
    <col min="11" max="11" width="10.6640625" style="2" customWidth="1"/>
    <col min="12" max="12" width="14.88671875" style="2" customWidth="1"/>
    <col min="13" max="13" width="15.88671875" style="2" customWidth="1"/>
    <col min="14" max="14" width="10.109375" style="2" customWidth="1"/>
    <col min="15" max="15" width="9.88671875" style="2" customWidth="1"/>
    <col min="16" max="16384" width="11.44140625" style="2"/>
  </cols>
  <sheetData>
    <row r="1" spans="1:92" customFormat="1" ht="15.6" x14ac:dyDescent="0.3">
      <c r="A1" s="100" t="s">
        <v>23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92" customFormat="1" ht="15.6" x14ac:dyDescent="0.3">
      <c r="A2" s="100" t="s">
        <v>25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</row>
    <row r="3" spans="1:92" customFormat="1" ht="16.2" thickBot="1" x14ac:dyDescent="0.35">
      <c r="A3" s="101" t="s">
        <v>26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</row>
    <row r="4" spans="1:92" s="20" customFormat="1" ht="78" customHeight="1" thickBot="1" x14ac:dyDescent="0.3">
      <c r="A4" s="102" t="s">
        <v>0</v>
      </c>
      <c r="B4" s="104" t="s">
        <v>1</v>
      </c>
      <c r="C4" s="105"/>
      <c r="D4" s="31" t="s">
        <v>2</v>
      </c>
      <c r="E4" s="32" t="s">
        <v>3</v>
      </c>
      <c r="F4" s="32" t="s">
        <v>4</v>
      </c>
      <c r="G4" s="32" t="s">
        <v>5</v>
      </c>
      <c r="H4" s="106" t="s">
        <v>6</v>
      </c>
      <c r="I4" s="96" t="s">
        <v>7</v>
      </c>
      <c r="J4" s="4"/>
      <c r="K4" s="102" t="s">
        <v>0</v>
      </c>
      <c r="L4" s="96" t="s">
        <v>8</v>
      </c>
      <c r="M4" s="96" t="s">
        <v>9</v>
      </c>
      <c r="N4" s="96" t="s">
        <v>10</v>
      </c>
      <c r="O4" s="96" t="s">
        <v>11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</row>
    <row r="5" spans="1:92" s="20" customFormat="1" ht="18" customHeight="1" thickBot="1" x14ac:dyDescent="0.35">
      <c r="A5" s="103"/>
      <c r="B5" s="16" t="s">
        <v>12</v>
      </c>
      <c r="C5" s="16" t="s">
        <v>13</v>
      </c>
      <c r="D5" s="16" t="s">
        <v>14</v>
      </c>
      <c r="E5" s="16" t="s">
        <v>15</v>
      </c>
      <c r="F5" s="16" t="s">
        <v>16</v>
      </c>
      <c r="G5" s="16" t="s">
        <v>17</v>
      </c>
      <c r="H5" s="107"/>
      <c r="I5" s="97"/>
      <c r="J5" s="5"/>
      <c r="K5" s="103"/>
      <c r="L5" s="97"/>
      <c r="M5" s="97"/>
      <c r="N5" s="97"/>
      <c r="O5" s="97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</row>
    <row r="6" spans="1:92" ht="18" customHeight="1" thickBot="1" x14ac:dyDescent="0.35">
      <c r="A6" s="6">
        <v>1</v>
      </c>
      <c r="B6" s="7">
        <f>3032+17</f>
        <v>3049</v>
      </c>
      <c r="C6" s="7">
        <v>7</v>
      </c>
      <c r="D6" s="7">
        <v>1028</v>
      </c>
      <c r="E6" s="7">
        <v>201</v>
      </c>
      <c r="F6" s="7">
        <v>208</v>
      </c>
      <c r="G6" s="7">
        <v>242</v>
      </c>
      <c r="H6" s="8">
        <f t="shared" ref="H6:H36" si="0">SUM(B6:G6)</f>
        <v>4735</v>
      </c>
      <c r="I6" s="9">
        <v>0</v>
      </c>
      <c r="J6" s="5"/>
      <c r="K6" s="10">
        <v>1</v>
      </c>
      <c r="L6" s="7">
        <v>2</v>
      </c>
      <c r="M6" s="7">
        <v>10</v>
      </c>
      <c r="N6" s="7">
        <v>2</v>
      </c>
      <c r="O6" s="7">
        <f t="shared" ref="O6:O36" si="1">SUM(L6:N6)</f>
        <v>14</v>
      </c>
      <c r="P6" s="11">
        <v>5871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</row>
    <row r="7" spans="1:92" ht="18" customHeight="1" thickBot="1" x14ac:dyDescent="0.35">
      <c r="A7" s="12">
        <v>2</v>
      </c>
      <c r="B7" s="13">
        <f>3481+11</f>
        <v>3492</v>
      </c>
      <c r="C7" s="13">
        <v>11</v>
      </c>
      <c r="D7" s="13">
        <v>877</v>
      </c>
      <c r="E7" s="13">
        <v>210</v>
      </c>
      <c r="F7" s="13">
        <v>221</v>
      </c>
      <c r="G7" s="13">
        <v>213</v>
      </c>
      <c r="H7" s="14">
        <f t="shared" si="0"/>
        <v>5024</v>
      </c>
      <c r="I7" s="15">
        <v>0</v>
      </c>
      <c r="J7" s="5"/>
      <c r="K7" s="16">
        <v>2</v>
      </c>
      <c r="L7" s="13">
        <v>0</v>
      </c>
      <c r="M7" s="13">
        <v>4</v>
      </c>
      <c r="N7" s="13">
        <v>1</v>
      </c>
      <c r="O7" s="13">
        <f t="shared" si="1"/>
        <v>5</v>
      </c>
      <c r="P7" s="11">
        <f t="shared" ref="P7:P36" si="2">+P6</f>
        <v>5871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</row>
    <row r="8" spans="1:92" ht="18" customHeight="1" thickBot="1" x14ac:dyDescent="0.35">
      <c r="A8" s="12">
        <v>3</v>
      </c>
      <c r="B8" s="13">
        <f>4581+4</f>
        <v>4585</v>
      </c>
      <c r="C8" s="13">
        <v>11</v>
      </c>
      <c r="D8" s="13">
        <v>681</v>
      </c>
      <c r="E8" s="13">
        <v>90</v>
      </c>
      <c r="F8" s="13">
        <v>123</v>
      </c>
      <c r="G8" s="13">
        <v>131</v>
      </c>
      <c r="H8" s="14">
        <f t="shared" si="0"/>
        <v>5621</v>
      </c>
      <c r="I8" s="15">
        <v>0</v>
      </c>
      <c r="J8" s="5"/>
      <c r="K8" s="16">
        <v>3</v>
      </c>
      <c r="L8" s="13">
        <v>0</v>
      </c>
      <c r="M8" s="13">
        <v>2</v>
      </c>
      <c r="N8" s="13">
        <v>3</v>
      </c>
      <c r="O8" s="13">
        <f t="shared" si="1"/>
        <v>5</v>
      </c>
      <c r="P8" s="11">
        <f t="shared" si="2"/>
        <v>5871</v>
      </c>
      <c r="Q8" s="1"/>
      <c r="R8" s="1"/>
      <c r="S8" s="3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</row>
    <row r="9" spans="1:92" ht="18" customHeight="1" thickBot="1" x14ac:dyDescent="0.35">
      <c r="A9" s="12">
        <v>4</v>
      </c>
      <c r="B9" s="13">
        <f>2040+15</f>
        <v>2055</v>
      </c>
      <c r="C9" s="13">
        <v>16</v>
      </c>
      <c r="D9" s="13">
        <v>906</v>
      </c>
      <c r="E9" s="13">
        <v>230</v>
      </c>
      <c r="F9" s="13">
        <v>185</v>
      </c>
      <c r="G9" s="13">
        <v>257</v>
      </c>
      <c r="H9" s="14">
        <f t="shared" si="0"/>
        <v>3649</v>
      </c>
      <c r="I9" s="15">
        <v>0</v>
      </c>
      <c r="J9" s="5"/>
      <c r="K9" s="16">
        <v>4</v>
      </c>
      <c r="L9" s="13">
        <v>4</v>
      </c>
      <c r="M9" s="13">
        <v>11</v>
      </c>
      <c r="N9" s="13">
        <v>0</v>
      </c>
      <c r="O9" s="13">
        <f t="shared" si="1"/>
        <v>15</v>
      </c>
      <c r="P9" s="11">
        <f t="shared" si="2"/>
        <v>5871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</row>
    <row r="10" spans="1:92" ht="18" customHeight="1" thickBot="1" x14ac:dyDescent="0.35">
      <c r="A10" s="12">
        <v>5</v>
      </c>
      <c r="B10" s="13">
        <f>1771+16</f>
        <v>1787</v>
      </c>
      <c r="C10" s="13">
        <v>10</v>
      </c>
      <c r="D10" s="13">
        <v>989</v>
      </c>
      <c r="E10" s="13">
        <v>223</v>
      </c>
      <c r="F10" s="13">
        <v>171</v>
      </c>
      <c r="G10" s="13">
        <v>202</v>
      </c>
      <c r="H10" s="14">
        <f t="shared" si="0"/>
        <v>3382</v>
      </c>
      <c r="I10" s="15">
        <v>0</v>
      </c>
      <c r="J10" s="5"/>
      <c r="K10" s="16">
        <v>5</v>
      </c>
      <c r="L10" s="13">
        <v>2</v>
      </c>
      <c r="M10" s="13">
        <v>8</v>
      </c>
      <c r="N10" s="13">
        <v>3</v>
      </c>
      <c r="O10" s="13">
        <f t="shared" si="1"/>
        <v>13</v>
      </c>
      <c r="P10" s="11">
        <f t="shared" si="2"/>
        <v>5871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</row>
    <row r="11" spans="1:92" ht="18" customHeight="1" thickBot="1" x14ac:dyDescent="0.35">
      <c r="A11" s="12">
        <v>6</v>
      </c>
      <c r="B11" s="13">
        <f>1937+19</f>
        <v>1956</v>
      </c>
      <c r="C11" s="13">
        <v>10</v>
      </c>
      <c r="D11" s="13">
        <v>1115</v>
      </c>
      <c r="E11" s="13">
        <v>232</v>
      </c>
      <c r="F11" s="13">
        <v>227</v>
      </c>
      <c r="G11" s="13">
        <v>234</v>
      </c>
      <c r="H11" s="14">
        <f t="shared" si="0"/>
        <v>3774</v>
      </c>
      <c r="I11" s="15">
        <v>0</v>
      </c>
      <c r="J11" s="5"/>
      <c r="K11" s="16">
        <v>6</v>
      </c>
      <c r="L11" s="13">
        <v>0</v>
      </c>
      <c r="M11" s="13">
        <v>18</v>
      </c>
      <c r="N11" s="13">
        <v>1</v>
      </c>
      <c r="O11" s="13">
        <f t="shared" si="1"/>
        <v>19</v>
      </c>
      <c r="P11" s="11">
        <f t="shared" si="2"/>
        <v>5871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</row>
    <row r="12" spans="1:92" ht="18" customHeight="1" thickBot="1" x14ac:dyDescent="0.35">
      <c r="A12" s="12">
        <v>7</v>
      </c>
      <c r="B12" s="13">
        <f>1697+19</f>
        <v>1716</v>
      </c>
      <c r="C12" s="13">
        <v>12</v>
      </c>
      <c r="D12" s="13">
        <v>1056</v>
      </c>
      <c r="E12" s="13">
        <v>232</v>
      </c>
      <c r="F12" s="13">
        <v>182</v>
      </c>
      <c r="G12" s="13">
        <v>236</v>
      </c>
      <c r="H12" s="14">
        <f t="shared" si="0"/>
        <v>3434</v>
      </c>
      <c r="I12" s="13">
        <v>0</v>
      </c>
      <c r="J12" s="17"/>
      <c r="K12" s="13">
        <v>7</v>
      </c>
      <c r="L12" s="13">
        <v>1</v>
      </c>
      <c r="M12" s="13">
        <v>10</v>
      </c>
      <c r="N12" s="13">
        <v>2</v>
      </c>
      <c r="O12" s="13">
        <f t="shared" si="1"/>
        <v>13</v>
      </c>
      <c r="P12" s="11">
        <f t="shared" si="2"/>
        <v>5871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</row>
    <row r="13" spans="1:92" ht="18" customHeight="1" thickBot="1" x14ac:dyDescent="0.35">
      <c r="A13" s="12">
        <v>8</v>
      </c>
      <c r="B13" s="13">
        <f>2812+22</f>
        <v>2834</v>
      </c>
      <c r="C13" s="13">
        <v>8</v>
      </c>
      <c r="D13" s="13">
        <v>1049</v>
      </c>
      <c r="E13" s="13">
        <v>241</v>
      </c>
      <c r="F13" s="13">
        <v>219</v>
      </c>
      <c r="G13" s="13">
        <v>216</v>
      </c>
      <c r="H13" s="14">
        <f t="shared" si="0"/>
        <v>4567</v>
      </c>
      <c r="I13" s="13">
        <v>0</v>
      </c>
      <c r="J13" s="17"/>
      <c r="K13" s="13">
        <v>8</v>
      </c>
      <c r="L13" s="13">
        <v>2</v>
      </c>
      <c r="M13" s="13">
        <v>22</v>
      </c>
      <c r="N13" s="13">
        <v>1</v>
      </c>
      <c r="O13" s="13">
        <f t="shared" si="1"/>
        <v>25</v>
      </c>
      <c r="P13" s="11">
        <f t="shared" si="2"/>
        <v>5871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</row>
    <row r="14" spans="1:92" s="20" customFormat="1" ht="18" customHeight="1" thickBot="1" x14ac:dyDescent="0.35">
      <c r="A14" s="12">
        <v>9</v>
      </c>
      <c r="B14" s="13">
        <f>3031+17</f>
        <v>3048</v>
      </c>
      <c r="C14" s="13">
        <v>9</v>
      </c>
      <c r="D14" s="13">
        <v>900</v>
      </c>
      <c r="E14" s="13">
        <v>137</v>
      </c>
      <c r="F14" s="13">
        <v>242</v>
      </c>
      <c r="G14" s="13">
        <v>222</v>
      </c>
      <c r="H14" s="14">
        <f t="shared" si="0"/>
        <v>4558</v>
      </c>
      <c r="I14" s="13">
        <v>0</v>
      </c>
      <c r="J14" s="17"/>
      <c r="K14" s="13">
        <v>9</v>
      </c>
      <c r="L14" s="13">
        <v>1</v>
      </c>
      <c r="M14" s="13">
        <v>4</v>
      </c>
      <c r="N14" s="13">
        <v>1</v>
      </c>
      <c r="O14" s="13">
        <f t="shared" si="1"/>
        <v>6</v>
      </c>
      <c r="P14" s="18">
        <f t="shared" si="2"/>
        <v>5871</v>
      </c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</row>
    <row r="15" spans="1:92" ht="18" customHeight="1" thickBot="1" x14ac:dyDescent="0.35">
      <c r="A15" s="12">
        <v>10</v>
      </c>
      <c r="B15" s="13">
        <f>4131+8</f>
        <v>4139</v>
      </c>
      <c r="C15" s="13">
        <v>9</v>
      </c>
      <c r="D15" s="13">
        <v>642</v>
      </c>
      <c r="E15" s="13">
        <v>103</v>
      </c>
      <c r="F15" s="13">
        <v>80</v>
      </c>
      <c r="G15" s="13">
        <v>127</v>
      </c>
      <c r="H15" s="14">
        <f t="shared" si="0"/>
        <v>5100</v>
      </c>
      <c r="I15" s="13">
        <v>0</v>
      </c>
      <c r="J15" s="17"/>
      <c r="K15" s="13">
        <v>10</v>
      </c>
      <c r="L15" s="13">
        <v>0</v>
      </c>
      <c r="M15" s="13">
        <v>5</v>
      </c>
      <c r="N15" s="13">
        <v>0</v>
      </c>
      <c r="O15" s="13">
        <f t="shared" si="1"/>
        <v>5</v>
      </c>
      <c r="P15" s="11">
        <f t="shared" si="2"/>
        <v>5871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</row>
    <row r="16" spans="1:92" ht="18" customHeight="1" thickBot="1" x14ac:dyDescent="0.35">
      <c r="A16" s="12">
        <v>11</v>
      </c>
      <c r="B16" s="13">
        <f>1762+19</f>
        <v>1781</v>
      </c>
      <c r="C16" s="13">
        <v>8</v>
      </c>
      <c r="D16" s="13">
        <v>992</v>
      </c>
      <c r="E16" s="13">
        <v>193</v>
      </c>
      <c r="F16" s="13">
        <v>167</v>
      </c>
      <c r="G16" s="13">
        <v>235</v>
      </c>
      <c r="H16" s="14">
        <f t="shared" si="0"/>
        <v>3376</v>
      </c>
      <c r="I16" s="13">
        <v>0</v>
      </c>
      <c r="J16" s="17"/>
      <c r="K16" s="13">
        <v>11</v>
      </c>
      <c r="L16" s="13">
        <v>0</v>
      </c>
      <c r="M16" s="13">
        <v>14</v>
      </c>
      <c r="N16" s="13">
        <v>0</v>
      </c>
      <c r="O16" s="13">
        <f t="shared" si="1"/>
        <v>14</v>
      </c>
      <c r="P16" s="11">
        <f t="shared" si="2"/>
        <v>5871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</row>
    <row r="17" spans="1:92" ht="18" customHeight="1" thickBot="1" x14ac:dyDescent="0.35">
      <c r="A17" s="12">
        <v>12</v>
      </c>
      <c r="B17" s="13">
        <f>1815+23</f>
        <v>1838</v>
      </c>
      <c r="C17" s="13">
        <v>8</v>
      </c>
      <c r="D17" s="13">
        <v>852</v>
      </c>
      <c r="E17" s="13">
        <v>259</v>
      </c>
      <c r="F17" s="13">
        <v>183</v>
      </c>
      <c r="G17" s="13">
        <v>235</v>
      </c>
      <c r="H17" s="14">
        <f t="shared" si="0"/>
        <v>3375</v>
      </c>
      <c r="I17" s="13">
        <v>0</v>
      </c>
      <c r="J17" s="17"/>
      <c r="K17" s="13">
        <v>12</v>
      </c>
      <c r="L17" s="13">
        <v>0</v>
      </c>
      <c r="M17" s="13">
        <v>6</v>
      </c>
      <c r="N17" s="13">
        <v>0</v>
      </c>
      <c r="O17" s="13">
        <f t="shared" si="1"/>
        <v>6</v>
      </c>
      <c r="P17" s="11">
        <f t="shared" si="2"/>
        <v>5871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</row>
    <row r="18" spans="1:92" ht="18" customHeight="1" thickBot="1" x14ac:dyDescent="0.35">
      <c r="A18" s="12">
        <v>13</v>
      </c>
      <c r="B18" s="13">
        <f>1818+15</f>
        <v>1833</v>
      </c>
      <c r="C18" s="13">
        <v>10</v>
      </c>
      <c r="D18" s="13">
        <v>1046</v>
      </c>
      <c r="E18" s="13">
        <v>261</v>
      </c>
      <c r="F18" s="13">
        <v>221</v>
      </c>
      <c r="G18" s="13">
        <v>200</v>
      </c>
      <c r="H18" s="14">
        <f t="shared" si="0"/>
        <v>3571</v>
      </c>
      <c r="I18" s="13">
        <v>0</v>
      </c>
      <c r="J18" s="17"/>
      <c r="K18" s="13">
        <v>13</v>
      </c>
      <c r="L18" s="13">
        <v>1</v>
      </c>
      <c r="M18" s="13">
        <v>7</v>
      </c>
      <c r="N18" s="13">
        <v>0</v>
      </c>
      <c r="O18" s="13">
        <f t="shared" si="1"/>
        <v>8</v>
      </c>
      <c r="P18" s="11">
        <f t="shared" si="2"/>
        <v>5871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</row>
    <row r="19" spans="1:92" ht="18" customHeight="1" thickBot="1" x14ac:dyDescent="0.35">
      <c r="A19" s="12">
        <v>14</v>
      </c>
      <c r="B19" s="13">
        <f>1943+13</f>
        <v>1956</v>
      </c>
      <c r="C19" s="13">
        <v>15</v>
      </c>
      <c r="D19" s="13">
        <v>1100</v>
      </c>
      <c r="E19" s="13">
        <v>219</v>
      </c>
      <c r="F19" s="13">
        <v>210</v>
      </c>
      <c r="G19" s="13">
        <v>278</v>
      </c>
      <c r="H19" s="14">
        <f t="shared" si="0"/>
        <v>3778</v>
      </c>
      <c r="I19" s="13">
        <v>0</v>
      </c>
      <c r="J19" s="17"/>
      <c r="K19" s="13">
        <v>14</v>
      </c>
      <c r="L19" s="13">
        <v>2</v>
      </c>
      <c r="M19" s="13">
        <v>15</v>
      </c>
      <c r="N19" s="13">
        <v>1</v>
      </c>
      <c r="O19" s="13">
        <f t="shared" si="1"/>
        <v>18</v>
      </c>
      <c r="P19" s="11">
        <f t="shared" si="2"/>
        <v>5871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</row>
    <row r="20" spans="1:92" ht="18" customHeight="1" thickBot="1" x14ac:dyDescent="0.35">
      <c r="A20" s="12">
        <v>15</v>
      </c>
      <c r="B20" s="13">
        <f>2714+33</f>
        <v>2747</v>
      </c>
      <c r="C20" s="13">
        <v>11</v>
      </c>
      <c r="D20" s="13">
        <v>1080</v>
      </c>
      <c r="E20" s="13">
        <v>221</v>
      </c>
      <c r="F20" s="13">
        <v>229</v>
      </c>
      <c r="G20" s="13">
        <v>260</v>
      </c>
      <c r="H20" s="14">
        <f t="shared" si="0"/>
        <v>4548</v>
      </c>
      <c r="I20" s="13">
        <v>0</v>
      </c>
      <c r="J20" s="17"/>
      <c r="K20" s="13">
        <v>15</v>
      </c>
      <c r="L20" s="13">
        <v>3</v>
      </c>
      <c r="M20" s="13">
        <v>10</v>
      </c>
      <c r="N20" s="13">
        <v>1</v>
      </c>
      <c r="O20" s="13">
        <f t="shared" si="1"/>
        <v>14</v>
      </c>
      <c r="P20" s="11">
        <f t="shared" si="2"/>
        <v>5871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</row>
    <row r="21" spans="1:92" ht="18" customHeight="1" thickBot="1" x14ac:dyDescent="0.35">
      <c r="A21" s="12">
        <v>16</v>
      </c>
      <c r="B21" s="13">
        <f>3251+29</f>
        <v>3280</v>
      </c>
      <c r="C21" s="13">
        <v>9</v>
      </c>
      <c r="D21" s="13">
        <v>832</v>
      </c>
      <c r="E21" s="13">
        <v>172</v>
      </c>
      <c r="F21" s="13">
        <v>227</v>
      </c>
      <c r="G21" s="13">
        <v>213</v>
      </c>
      <c r="H21" s="14">
        <f t="shared" si="0"/>
        <v>4733</v>
      </c>
      <c r="I21" s="13">
        <v>0</v>
      </c>
      <c r="J21" s="17"/>
      <c r="K21" s="13">
        <v>16</v>
      </c>
      <c r="L21" s="13">
        <v>1</v>
      </c>
      <c r="M21" s="13">
        <v>13</v>
      </c>
      <c r="N21" s="13">
        <v>0</v>
      </c>
      <c r="O21" s="13">
        <f t="shared" si="1"/>
        <v>14</v>
      </c>
      <c r="P21" s="11">
        <f t="shared" si="2"/>
        <v>5871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</row>
    <row r="22" spans="1:92" ht="18" customHeight="1" thickBot="1" x14ac:dyDescent="0.35">
      <c r="A22" s="12">
        <v>17</v>
      </c>
      <c r="B22" s="13">
        <f>4365+46</f>
        <v>4411</v>
      </c>
      <c r="C22" s="13">
        <v>11</v>
      </c>
      <c r="D22" s="13">
        <v>693</v>
      </c>
      <c r="E22" s="13">
        <v>112</v>
      </c>
      <c r="F22" s="13">
        <v>87</v>
      </c>
      <c r="G22" s="13">
        <v>125</v>
      </c>
      <c r="H22" s="14">
        <f t="shared" si="0"/>
        <v>5439</v>
      </c>
      <c r="I22" s="13">
        <v>0</v>
      </c>
      <c r="J22" s="17"/>
      <c r="K22" s="13">
        <v>17</v>
      </c>
      <c r="L22" s="13">
        <v>0</v>
      </c>
      <c r="M22" s="13">
        <v>16</v>
      </c>
      <c r="N22" s="13">
        <v>0</v>
      </c>
      <c r="O22" s="13">
        <f t="shared" si="1"/>
        <v>16</v>
      </c>
      <c r="P22" s="11">
        <f t="shared" si="2"/>
        <v>5871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</row>
    <row r="23" spans="1:92" ht="18" customHeight="1" thickBot="1" x14ac:dyDescent="0.35">
      <c r="A23" s="12">
        <v>18</v>
      </c>
      <c r="B23" s="13">
        <f>1768+7</f>
        <v>1775</v>
      </c>
      <c r="C23" s="13">
        <v>10</v>
      </c>
      <c r="D23" s="13">
        <v>896</v>
      </c>
      <c r="E23" s="13">
        <v>269</v>
      </c>
      <c r="F23" s="13">
        <v>200</v>
      </c>
      <c r="G23" s="13">
        <v>223</v>
      </c>
      <c r="H23" s="14">
        <f t="shared" si="0"/>
        <v>3373</v>
      </c>
      <c r="I23" s="13">
        <v>0</v>
      </c>
      <c r="J23" s="17"/>
      <c r="K23" s="13">
        <v>18</v>
      </c>
      <c r="L23" s="13">
        <v>6</v>
      </c>
      <c r="M23" s="13">
        <v>9</v>
      </c>
      <c r="N23" s="13">
        <v>2</v>
      </c>
      <c r="O23" s="13">
        <f t="shared" si="1"/>
        <v>17</v>
      </c>
      <c r="P23" s="11">
        <f t="shared" si="2"/>
        <v>5871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</row>
    <row r="24" spans="1:92" ht="18" customHeight="1" thickBot="1" x14ac:dyDescent="0.35">
      <c r="A24" s="12">
        <v>19</v>
      </c>
      <c r="B24" s="13">
        <f>1673+15</f>
        <v>1688</v>
      </c>
      <c r="C24" s="13">
        <v>8</v>
      </c>
      <c r="D24" s="13">
        <v>1021</v>
      </c>
      <c r="E24" s="13">
        <v>204</v>
      </c>
      <c r="F24" s="13">
        <v>199</v>
      </c>
      <c r="G24" s="13">
        <v>225</v>
      </c>
      <c r="H24" s="14">
        <f t="shared" si="0"/>
        <v>3345</v>
      </c>
      <c r="I24" s="13">
        <v>0</v>
      </c>
      <c r="J24" s="17"/>
      <c r="K24" s="13">
        <v>19</v>
      </c>
      <c r="L24" s="13">
        <v>0</v>
      </c>
      <c r="M24" s="13">
        <v>24</v>
      </c>
      <c r="N24" s="13">
        <v>0</v>
      </c>
      <c r="O24" s="13">
        <f t="shared" si="1"/>
        <v>24</v>
      </c>
      <c r="P24" s="11">
        <f t="shared" si="2"/>
        <v>5871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</row>
    <row r="25" spans="1:92" ht="18" customHeight="1" thickBot="1" x14ac:dyDescent="0.35">
      <c r="A25" s="12">
        <v>20</v>
      </c>
      <c r="B25" s="13">
        <f>1761+23</f>
        <v>1784</v>
      </c>
      <c r="C25" s="13">
        <v>8</v>
      </c>
      <c r="D25" s="13">
        <v>1065</v>
      </c>
      <c r="E25" s="13">
        <v>219</v>
      </c>
      <c r="F25" s="13">
        <v>190</v>
      </c>
      <c r="G25" s="13">
        <v>255</v>
      </c>
      <c r="H25" s="14">
        <f t="shared" si="0"/>
        <v>3521</v>
      </c>
      <c r="I25" s="13">
        <v>0</v>
      </c>
      <c r="J25" s="17"/>
      <c r="K25" s="13">
        <v>20</v>
      </c>
      <c r="L25" s="13">
        <v>3</v>
      </c>
      <c r="M25" s="13">
        <v>10</v>
      </c>
      <c r="N25" s="13">
        <v>3</v>
      </c>
      <c r="O25" s="13">
        <f t="shared" si="1"/>
        <v>16</v>
      </c>
      <c r="P25" s="11">
        <f t="shared" si="2"/>
        <v>5871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</row>
    <row r="26" spans="1:92" ht="18" customHeight="1" thickBot="1" x14ac:dyDescent="0.35">
      <c r="A26" s="12">
        <v>21</v>
      </c>
      <c r="B26" s="13">
        <f>1832+14</f>
        <v>1846</v>
      </c>
      <c r="C26" s="13">
        <v>10</v>
      </c>
      <c r="D26" s="13">
        <v>1059</v>
      </c>
      <c r="E26" s="13">
        <v>201</v>
      </c>
      <c r="F26" s="13">
        <v>195</v>
      </c>
      <c r="G26" s="13">
        <v>239</v>
      </c>
      <c r="H26" s="14">
        <f t="shared" si="0"/>
        <v>3550</v>
      </c>
      <c r="I26" s="13">
        <v>0</v>
      </c>
      <c r="J26" s="17"/>
      <c r="K26" s="13">
        <v>21</v>
      </c>
      <c r="L26" s="13">
        <v>2</v>
      </c>
      <c r="M26" s="13">
        <v>15</v>
      </c>
      <c r="N26" s="13">
        <v>1</v>
      </c>
      <c r="O26" s="13">
        <f t="shared" si="1"/>
        <v>18</v>
      </c>
      <c r="P26" s="11">
        <f t="shared" si="2"/>
        <v>5871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</row>
    <row r="27" spans="1:92" ht="18" customHeight="1" thickBot="1" x14ac:dyDescent="0.35">
      <c r="A27" s="12">
        <v>22</v>
      </c>
      <c r="B27" s="13">
        <f>2813+15</f>
        <v>2828</v>
      </c>
      <c r="C27" s="13">
        <v>10</v>
      </c>
      <c r="D27" s="13">
        <v>998</v>
      </c>
      <c r="E27" s="13">
        <v>242</v>
      </c>
      <c r="F27" s="13">
        <v>215</v>
      </c>
      <c r="G27" s="13">
        <v>273</v>
      </c>
      <c r="H27" s="14">
        <f t="shared" si="0"/>
        <v>4566</v>
      </c>
      <c r="I27" s="13">
        <v>0</v>
      </c>
      <c r="J27" s="17"/>
      <c r="K27" s="13">
        <v>22</v>
      </c>
      <c r="L27" s="13">
        <v>0</v>
      </c>
      <c r="M27" s="13">
        <v>28</v>
      </c>
      <c r="N27" s="13">
        <v>0</v>
      </c>
      <c r="O27" s="13">
        <f t="shared" si="1"/>
        <v>28</v>
      </c>
      <c r="P27" s="11">
        <f t="shared" si="2"/>
        <v>5871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</row>
    <row r="28" spans="1:92" ht="18" customHeight="1" thickBot="1" x14ac:dyDescent="0.35">
      <c r="A28" s="12">
        <v>23</v>
      </c>
      <c r="B28" s="13">
        <f>2977+10</f>
        <v>2987</v>
      </c>
      <c r="C28" s="13">
        <v>9</v>
      </c>
      <c r="D28" s="13">
        <v>850</v>
      </c>
      <c r="E28" s="13">
        <v>180</v>
      </c>
      <c r="F28" s="13">
        <v>179</v>
      </c>
      <c r="G28" s="13">
        <v>187</v>
      </c>
      <c r="H28" s="14">
        <f t="shared" si="0"/>
        <v>4392</v>
      </c>
      <c r="I28" s="13">
        <v>0</v>
      </c>
      <c r="J28" s="17"/>
      <c r="K28" s="13">
        <v>23</v>
      </c>
      <c r="L28" s="13">
        <v>0</v>
      </c>
      <c r="M28" s="13">
        <v>4</v>
      </c>
      <c r="N28" s="13">
        <v>0</v>
      </c>
      <c r="O28" s="13">
        <f t="shared" si="1"/>
        <v>4</v>
      </c>
      <c r="P28" s="11">
        <f t="shared" si="2"/>
        <v>5871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</row>
    <row r="29" spans="1:92" ht="18" customHeight="1" thickBot="1" x14ac:dyDescent="0.35">
      <c r="A29" s="12">
        <v>24</v>
      </c>
      <c r="B29" s="13">
        <f>4240+4</f>
        <v>4244</v>
      </c>
      <c r="C29" s="13">
        <v>11</v>
      </c>
      <c r="D29" s="13">
        <v>682</v>
      </c>
      <c r="E29" s="13">
        <v>88</v>
      </c>
      <c r="F29" s="13">
        <v>122</v>
      </c>
      <c r="G29" s="13">
        <v>160</v>
      </c>
      <c r="H29" s="14">
        <f t="shared" si="0"/>
        <v>5307</v>
      </c>
      <c r="I29" s="13">
        <v>0</v>
      </c>
      <c r="J29" s="17"/>
      <c r="K29" s="13">
        <v>24</v>
      </c>
      <c r="L29" s="13">
        <v>1</v>
      </c>
      <c r="M29" s="13">
        <v>0</v>
      </c>
      <c r="N29" s="13">
        <v>0</v>
      </c>
      <c r="O29" s="13">
        <f t="shared" si="1"/>
        <v>1</v>
      </c>
      <c r="P29" s="11">
        <f t="shared" si="2"/>
        <v>5871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</row>
    <row r="30" spans="1:92" ht="18" customHeight="1" thickBot="1" x14ac:dyDescent="0.35">
      <c r="A30" s="12">
        <v>25</v>
      </c>
      <c r="B30" s="13">
        <f>1747+14</f>
        <v>1761</v>
      </c>
      <c r="C30" s="13">
        <v>8</v>
      </c>
      <c r="D30" s="13">
        <v>930</v>
      </c>
      <c r="E30" s="13">
        <v>226</v>
      </c>
      <c r="F30" s="13">
        <v>188</v>
      </c>
      <c r="G30" s="13">
        <v>210</v>
      </c>
      <c r="H30" s="14">
        <f t="shared" si="0"/>
        <v>3323</v>
      </c>
      <c r="I30" s="13">
        <v>0</v>
      </c>
      <c r="J30" s="17"/>
      <c r="K30" s="13">
        <v>25</v>
      </c>
      <c r="L30" s="13">
        <v>0</v>
      </c>
      <c r="M30" s="13">
        <v>23</v>
      </c>
      <c r="N30" s="13">
        <v>0</v>
      </c>
      <c r="O30" s="13">
        <f t="shared" si="1"/>
        <v>23</v>
      </c>
      <c r="P30" s="11">
        <f t="shared" si="2"/>
        <v>5871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</row>
    <row r="31" spans="1:92" ht="18" customHeight="1" thickBot="1" x14ac:dyDescent="0.35">
      <c r="A31" s="12">
        <v>26</v>
      </c>
      <c r="B31" s="13">
        <f>1677+12</f>
        <v>1689</v>
      </c>
      <c r="C31" s="13">
        <v>8</v>
      </c>
      <c r="D31" s="13">
        <v>1047</v>
      </c>
      <c r="E31" s="13">
        <v>248</v>
      </c>
      <c r="F31" s="13">
        <v>182</v>
      </c>
      <c r="G31" s="13">
        <v>229</v>
      </c>
      <c r="H31" s="14">
        <f t="shared" si="0"/>
        <v>3403</v>
      </c>
      <c r="I31" s="13">
        <v>0</v>
      </c>
      <c r="J31" s="17"/>
      <c r="K31" s="13">
        <v>26</v>
      </c>
      <c r="L31" s="13">
        <v>3</v>
      </c>
      <c r="M31" s="13">
        <v>31</v>
      </c>
      <c r="N31" s="13">
        <v>2</v>
      </c>
      <c r="O31" s="13">
        <f t="shared" si="1"/>
        <v>36</v>
      </c>
      <c r="P31" s="11">
        <f t="shared" si="2"/>
        <v>5871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</row>
    <row r="32" spans="1:92" ht="18" customHeight="1" thickBot="1" x14ac:dyDescent="0.35">
      <c r="A32" s="12">
        <v>27</v>
      </c>
      <c r="B32" s="13">
        <f>1846+17</f>
        <v>1863</v>
      </c>
      <c r="C32" s="13">
        <v>10</v>
      </c>
      <c r="D32" s="13">
        <v>1111</v>
      </c>
      <c r="E32" s="13">
        <v>266</v>
      </c>
      <c r="F32" s="13">
        <v>196</v>
      </c>
      <c r="G32" s="13">
        <v>226</v>
      </c>
      <c r="H32" s="14">
        <f t="shared" si="0"/>
        <v>3672</v>
      </c>
      <c r="I32" s="13">
        <v>0</v>
      </c>
      <c r="J32" s="17"/>
      <c r="K32" s="13">
        <v>27</v>
      </c>
      <c r="L32" s="13">
        <v>1</v>
      </c>
      <c r="M32" s="13">
        <v>25</v>
      </c>
      <c r="N32" s="13">
        <v>1</v>
      </c>
      <c r="O32" s="13">
        <f t="shared" si="1"/>
        <v>27</v>
      </c>
      <c r="P32" s="11">
        <f t="shared" si="2"/>
        <v>5871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</row>
    <row r="33" spans="1:92" ht="15.75" customHeight="1" thickBot="1" x14ac:dyDescent="0.35">
      <c r="A33" s="12">
        <v>28</v>
      </c>
      <c r="B33" s="13">
        <f>1937+22</f>
        <v>1959</v>
      </c>
      <c r="C33" s="13">
        <v>12</v>
      </c>
      <c r="D33" s="13">
        <v>1068</v>
      </c>
      <c r="E33" s="13">
        <v>249</v>
      </c>
      <c r="F33" s="13">
        <v>201</v>
      </c>
      <c r="G33" s="13">
        <v>253</v>
      </c>
      <c r="H33" s="14">
        <f t="shared" si="0"/>
        <v>3742</v>
      </c>
      <c r="I33" s="13">
        <v>0</v>
      </c>
      <c r="J33" s="17"/>
      <c r="K33" s="13">
        <v>28</v>
      </c>
      <c r="L33" s="13">
        <v>1</v>
      </c>
      <c r="M33" s="13">
        <v>34</v>
      </c>
      <c r="N33" s="13">
        <v>1</v>
      </c>
      <c r="O33" s="13">
        <f t="shared" si="1"/>
        <v>36</v>
      </c>
      <c r="P33" s="11">
        <f t="shared" si="2"/>
        <v>5871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</row>
    <row r="34" spans="1:92" ht="17.25" hidden="1" customHeight="1" x14ac:dyDescent="0.3">
      <c r="A34" s="22">
        <v>29</v>
      </c>
      <c r="B34" s="13"/>
      <c r="C34" s="13"/>
      <c r="D34" s="13"/>
      <c r="E34" s="13"/>
      <c r="F34" s="13"/>
      <c r="G34" s="13"/>
      <c r="H34" s="14">
        <f t="shared" si="0"/>
        <v>0</v>
      </c>
      <c r="I34" s="23">
        <v>0</v>
      </c>
      <c r="J34" s="24"/>
      <c r="K34" s="13">
        <v>29</v>
      </c>
      <c r="L34" s="13"/>
      <c r="M34" s="13"/>
      <c r="N34" s="13"/>
      <c r="O34" s="13">
        <f t="shared" si="1"/>
        <v>0</v>
      </c>
      <c r="P34" s="11">
        <f t="shared" si="2"/>
        <v>5871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</row>
    <row r="35" spans="1:92" ht="17.25" hidden="1" customHeight="1" x14ac:dyDescent="0.3">
      <c r="A35" s="22">
        <v>30</v>
      </c>
      <c r="B35" s="13"/>
      <c r="C35" s="13"/>
      <c r="D35" s="13"/>
      <c r="E35" s="13"/>
      <c r="F35" s="13"/>
      <c r="G35" s="13"/>
      <c r="H35" s="14">
        <f t="shared" si="0"/>
        <v>0</v>
      </c>
      <c r="I35" s="23">
        <v>0</v>
      </c>
      <c r="J35" s="24"/>
      <c r="K35" s="13">
        <v>30</v>
      </c>
      <c r="L35" s="13"/>
      <c r="M35" s="13"/>
      <c r="N35" s="13"/>
      <c r="O35" s="13">
        <f t="shared" si="1"/>
        <v>0</v>
      </c>
      <c r="P35" s="11">
        <f t="shared" si="2"/>
        <v>5871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</row>
    <row r="36" spans="1:92" ht="17.25" hidden="1" customHeight="1" x14ac:dyDescent="0.3">
      <c r="A36" s="22">
        <v>31</v>
      </c>
      <c r="B36" s="13"/>
      <c r="C36" s="13"/>
      <c r="D36" s="13"/>
      <c r="E36" s="13"/>
      <c r="F36" s="13"/>
      <c r="G36" s="13"/>
      <c r="H36" s="14">
        <f t="shared" si="0"/>
        <v>0</v>
      </c>
      <c r="I36" s="23">
        <v>0</v>
      </c>
      <c r="J36" s="24"/>
      <c r="K36" s="13">
        <v>31</v>
      </c>
      <c r="L36" s="13"/>
      <c r="M36" s="13"/>
      <c r="N36" s="13"/>
      <c r="O36" s="13">
        <f t="shared" si="1"/>
        <v>0</v>
      </c>
      <c r="P36" s="11">
        <f t="shared" si="2"/>
        <v>5871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</row>
    <row r="37" spans="1:92" s="20" customFormat="1" ht="18" customHeight="1" thickBot="1" x14ac:dyDescent="0.35">
      <c r="A37" s="16" t="s">
        <v>18</v>
      </c>
      <c r="B37" s="35">
        <f>SUM(B6:B36)</f>
        <v>70931</v>
      </c>
      <c r="C37" s="35">
        <f t="shared" ref="C37:H37" si="3">SUM(C6:C36)</f>
        <v>279</v>
      </c>
      <c r="D37" s="35">
        <f t="shared" si="3"/>
        <v>26565</v>
      </c>
      <c r="E37" s="35">
        <f t="shared" si="3"/>
        <v>5728</v>
      </c>
      <c r="F37" s="35">
        <f t="shared" si="3"/>
        <v>5249</v>
      </c>
      <c r="G37" s="35">
        <f t="shared" si="3"/>
        <v>6106</v>
      </c>
      <c r="H37" s="35">
        <f t="shared" si="3"/>
        <v>114858</v>
      </c>
      <c r="I37" s="35">
        <f>SUM(I6:I33)</f>
        <v>0</v>
      </c>
      <c r="J37" s="24"/>
      <c r="K37" s="16" t="s">
        <v>19</v>
      </c>
      <c r="L37" s="36">
        <f>SUM(L6:L36)</f>
        <v>36</v>
      </c>
      <c r="M37" s="36">
        <f>SUM(M6:M36)</f>
        <v>378</v>
      </c>
      <c r="N37" s="36">
        <f>SUM(N6:N36)</f>
        <v>26</v>
      </c>
      <c r="O37" s="36">
        <f>SUM(O6:O36)</f>
        <v>440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</row>
    <row r="38" spans="1:92" s="20" customFormat="1" ht="18" customHeight="1" thickBot="1" x14ac:dyDescent="0.35">
      <c r="A38" s="16" t="s">
        <v>19</v>
      </c>
      <c r="B38" s="98">
        <f>+B37+C37</f>
        <v>71210</v>
      </c>
      <c r="C38" s="99"/>
      <c r="D38" s="36">
        <f t="shared" ref="D38:I38" si="4">+D37</f>
        <v>26565</v>
      </c>
      <c r="E38" s="36">
        <f t="shared" si="4"/>
        <v>5728</v>
      </c>
      <c r="F38" s="36">
        <f t="shared" si="4"/>
        <v>5249</v>
      </c>
      <c r="G38" s="36">
        <f t="shared" si="4"/>
        <v>6106</v>
      </c>
      <c r="H38" s="36">
        <f t="shared" si="4"/>
        <v>114858</v>
      </c>
      <c r="I38" s="36">
        <f t="shared" si="4"/>
        <v>0</v>
      </c>
      <c r="J38" s="24"/>
      <c r="K38" s="16" t="s">
        <v>20</v>
      </c>
      <c r="L38" s="28" t="s">
        <v>21</v>
      </c>
      <c r="M38" s="28" t="s">
        <v>22</v>
      </c>
      <c r="N38" s="28" t="s">
        <v>21</v>
      </c>
      <c r="O38" s="28" t="s">
        <v>22</v>
      </c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</row>
    <row r="39" spans="1:92" x14ac:dyDescent="0.25"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</row>
    <row r="40" spans="1:92" x14ac:dyDescent="0.25"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</row>
    <row r="41" spans="1:92" x14ac:dyDescent="0.25"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</row>
    <row r="42" spans="1:92" x14ac:dyDescent="0.25"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</row>
    <row r="43" spans="1:92" x14ac:dyDescent="0.25"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</row>
    <row r="44" spans="1:92" x14ac:dyDescent="0.25"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</row>
    <row r="45" spans="1:92" x14ac:dyDescent="0.25"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</row>
    <row r="46" spans="1:92" x14ac:dyDescent="0.25"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</row>
    <row r="47" spans="1:92" x14ac:dyDescent="0.25"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</row>
    <row r="48" spans="1:92" x14ac:dyDescent="0.25"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</row>
    <row r="49" spans="17:92" x14ac:dyDescent="0.25"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</row>
  </sheetData>
  <mergeCells count="13">
    <mergeCell ref="M4:M5"/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0B15C-E288-426D-9AC1-8CD645CB9671}">
  <dimension ref="A1:Z38"/>
  <sheetViews>
    <sheetView topLeftCell="A17" workbookViewId="0">
      <selection activeCell="E10" sqref="E10"/>
    </sheetView>
  </sheetViews>
  <sheetFormatPr baseColWidth="10" defaultColWidth="11.44140625" defaultRowHeight="14.4" x14ac:dyDescent="0.3"/>
  <cols>
    <col min="1" max="1" width="13.5546875" customWidth="1"/>
    <col min="2" max="2" width="11.33203125" customWidth="1"/>
    <col min="3" max="3" width="8.5546875" customWidth="1"/>
    <col min="4" max="4" width="18.6640625" customWidth="1"/>
    <col min="5" max="5" width="13.6640625" customWidth="1"/>
    <col min="6" max="6" width="13.33203125" customWidth="1"/>
    <col min="7" max="7" width="13.109375" customWidth="1"/>
    <col min="8" max="8" width="17.109375" customWidth="1"/>
    <col min="9" max="9" width="14.44140625" bestFit="1" customWidth="1"/>
    <col min="10" max="10" width="3.88671875" customWidth="1"/>
    <col min="11" max="11" width="10.6640625" customWidth="1"/>
    <col min="12" max="12" width="14.88671875" customWidth="1"/>
    <col min="13" max="13" width="15.88671875" customWidth="1"/>
    <col min="14" max="14" width="10.109375" customWidth="1"/>
    <col min="15" max="15" width="9.88671875" customWidth="1"/>
  </cols>
  <sheetData>
    <row r="1" spans="1:19" ht="15.6" x14ac:dyDescent="0.3">
      <c r="A1" s="100" t="s">
        <v>23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19" ht="15.6" x14ac:dyDescent="0.3">
      <c r="A2" s="100" t="s">
        <v>25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</row>
    <row r="3" spans="1:19" ht="16.2" thickBot="1" x14ac:dyDescent="0.35">
      <c r="A3" s="101" t="s">
        <v>27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</row>
    <row r="4" spans="1:19" s="51" customFormat="1" ht="78" customHeight="1" thickBot="1" x14ac:dyDescent="0.35">
      <c r="A4" s="64" t="s">
        <v>0</v>
      </c>
      <c r="B4" s="112" t="s">
        <v>1</v>
      </c>
      <c r="C4" s="113"/>
      <c r="D4" s="65" t="s">
        <v>2</v>
      </c>
      <c r="E4" s="66" t="s">
        <v>3</v>
      </c>
      <c r="F4" s="66" t="s">
        <v>4</v>
      </c>
      <c r="G4" s="66" t="s">
        <v>5</v>
      </c>
      <c r="H4" s="114" t="s">
        <v>6</v>
      </c>
      <c r="I4" s="108" t="s">
        <v>7</v>
      </c>
      <c r="J4" s="39"/>
      <c r="K4" s="116" t="s">
        <v>0</v>
      </c>
      <c r="L4" s="108" t="s">
        <v>8</v>
      </c>
      <c r="M4" s="108" t="s">
        <v>9</v>
      </c>
      <c r="N4" s="108" t="s">
        <v>10</v>
      </c>
      <c r="O4" s="108" t="s">
        <v>11</v>
      </c>
    </row>
    <row r="5" spans="1:19" s="51" customFormat="1" ht="18" customHeight="1" thickBot="1" x14ac:dyDescent="0.35">
      <c r="B5" s="49" t="s">
        <v>12</v>
      </c>
      <c r="C5" s="49" t="s">
        <v>13</v>
      </c>
      <c r="D5" s="49" t="s">
        <v>14</v>
      </c>
      <c r="E5" s="49" t="s">
        <v>15</v>
      </c>
      <c r="F5" s="49" t="s">
        <v>16</v>
      </c>
      <c r="G5" s="49" t="s">
        <v>17</v>
      </c>
      <c r="H5" s="115"/>
      <c r="I5" s="109"/>
      <c r="J5" s="40"/>
      <c r="K5" s="117"/>
      <c r="L5" s="109"/>
      <c r="M5" s="109"/>
      <c r="N5" s="109"/>
      <c r="O5" s="109"/>
    </row>
    <row r="6" spans="1:19" ht="18" customHeight="1" thickBot="1" x14ac:dyDescent="0.35">
      <c r="A6" s="41">
        <v>1</v>
      </c>
      <c r="B6" s="7">
        <f>2860+13</f>
        <v>2873</v>
      </c>
      <c r="C6" s="7">
        <v>9</v>
      </c>
      <c r="D6" s="7">
        <v>989</v>
      </c>
      <c r="E6" s="7">
        <v>220</v>
      </c>
      <c r="F6" s="7">
        <v>183</v>
      </c>
      <c r="G6" s="7">
        <v>173</v>
      </c>
      <c r="H6" s="42">
        <f>SUM(B6:G6)</f>
        <v>4447</v>
      </c>
      <c r="I6" s="43">
        <v>0</v>
      </c>
      <c r="J6" s="40"/>
      <c r="K6" s="44">
        <v>1</v>
      </c>
      <c r="L6" s="7">
        <v>4</v>
      </c>
      <c r="M6" s="7">
        <v>35</v>
      </c>
      <c r="N6" s="7">
        <v>0</v>
      </c>
      <c r="O6" s="7">
        <f>SUM(L6:N6)</f>
        <v>39</v>
      </c>
      <c r="P6" s="45">
        <v>5871</v>
      </c>
    </row>
    <row r="7" spans="1:19" ht="18" customHeight="1" thickBot="1" x14ac:dyDescent="0.35">
      <c r="A7" s="46">
        <v>2</v>
      </c>
      <c r="B7" s="13">
        <f>3182+15</f>
        <v>3197</v>
      </c>
      <c r="C7" s="13">
        <v>9</v>
      </c>
      <c r="D7" s="13">
        <v>853</v>
      </c>
      <c r="E7" s="13">
        <v>121</v>
      </c>
      <c r="F7" s="13">
        <v>201</v>
      </c>
      <c r="G7" s="13">
        <v>203</v>
      </c>
      <c r="H7" s="47">
        <f>SUM(B7:G7)</f>
        <v>4584</v>
      </c>
      <c r="I7" s="48">
        <v>0</v>
      </c>
      <c r="J7" s="40"/>
      <c r="K7" s="49">
        <v>2</v>
      </c>
      <c r="L7" s="13">
        <v>0</v>
      </c>
      <c r="M7" s="13">
        <v>4</v>
      </c>
      <c r="N7" s="13">
        <v>1</v>
      </c>
      <c r="O7" s="13">
        <f t="shared" ref="O7:O33" si="0">SUM(L7:N7)</f>
        <v>5</v>
      </c>
      <c r="P7" s="45">
        <f>+P6</f>
        <v>5871</v>
      </c>
    </row>
    <row r="8" spans="1:19" ht="18" customHeight="1" thickBot="1" x14ac:dyDescent="0.35">
      <c r="A8" s="46">
        <v>3</v>
      </c>
      <c r="B8" s="13">
        <f>4055+14</f>
        <v>4069</v>
      </c>
      <c r="C8" s="13">
        <v>11</v>
      </c>
      <c r="D8" s="13">
        <v>672</v>
      </c>
      <c r="E8" s="13">
        <v>95</v>
      </c>
      <c r="F8" s="13">
        <v>82</v>
      </c>
      <c r="G8" s="13">
        <v>127</v>
      </c>
      <c r="H8" s="47">
        <f t="shared" ref="H8:H36" si="1">SUM(B8:G8)</f>
        <v>5056</v>
      </c>
      <c r="I8" s="48">
        <v>0</v>
      </c>
      <c r="J8" s="40"/>
      <c r="K8" s="49">
        <v>3</v>
      </c>
      <c r="L8" s="13">
        <v>0</v>
      </c>
      <c r="M8" s="13">
        <v>1</v>
      </c>
      <c r="N8" s="13">
        <v>0</v>
      </c>
      <c r="O8" s="13">
        <f t="shared" si="0"/>
        <v>1</v>
      </c>
      <c r="P8" s="45">
        <f t="shared" ref="P8:P36" si="2">+P7</f>
        <v>5871</v>
      </c>
      <c r="S8" s="37"/>
    </row>
    <row r="9" spans="1:19" ht="18" customHeight="1" thickBot="1" x14ac:dyDescent="0.35">
      <c r="A9" s="46">
        <v>4</v>
      </c>
      <c r="B9" s="13">
        <f>1799+21</f>
        <v>1820</v>
      </c>
      <c r="C9" s="13">
        <v>10</v>
      </c>
      <c r="D9" s="13">
        <v>852</v>
      </c>
      <c r="E9" s="13">
        <v>170</v>
      </c>
      <c r="F9" s="13">
        <v>173</v>
      </c>
      <c r="G9" s="13">
        <v>252</v>
      </c>
      <c r="H9" s="47">
        <f t="shared" si="1"/>
        <v>3277</v>
      </c>
      <c r="I9" s="48">
        <v>0</v>
      </c>
      <c r="J9" s="40"/>
      <c r="K9" s="49">
        <v>4</v>
      </c>
      <c r="L9" s="13">
        <v>0</v>
      </c>
      <c r="M9" s="13">
        <v>8</v>
      </c>
      <c r="N9" s="13">
        <v>1</v>
      </c>
      <c r="O9" s="13">
        <f t="shared" si="0"/>
        <v>9</v>
      </c>
      <c r="P9" s="45">
        <f t="shared" si="2"/>
        <v>5871</v>
      </c>
    </row>
    <row r="10" spans="1:19" ht="18" customHeight="1" thickBot="1" x14ac:dyDescent="0.35">
      <c r="A10" s="46">
        <v>5</v>
      </c>
      <c r="B10" s="13">
        <f>1610+8</f>
        <v>1618</v>
      </c>
      <c r="C10" s="13">
        <v>8</v>
      </c>
      <c r="D10" s="13">
        <v>981</v>
      </c>
      <c r="E10" s="13">
        <v>202</v>
      </c>
      <c r="F10" s="13">
        <v>171</v>
      </c>
      <c r="G10" s="13">
        <v>205</v>
      </c>
      <c r="H10" s="47">
        <f t="shared" si="1"/>
        <v>3185</v>
      </c>
      <c r="I10" s="48">
        <v>0</v>
      </c>
      <c r="J10" s="40"/>
      <c r="K10" s="49">
        <v>5</v>
      </c>
      <c r="L10" s="13">
        <v>0</v>
      </c>
      <c r="M10" s="13">
        <v>6</v>
      </c>
      <c r="N10" s="13">
        <v>0</v>
      </c>
      <c r="O10" s="13">
        <f t="shared" si="0"/>
        <v>6</v>
      </c>
      <c r="P10" s="45">
        <f t="shared" si="2"/>
        <v>5871</v>
      </c>
    </row>
    <row r="11" spans="1:19" ht="18" customHeight="1" thickBot="1" x14ac:dyDescent="0.35">
      <c r="A11" s="46">
        <v>6</v>
      </c>
      <c r="B11" s="13">
        <f>1716+15</f>
        <v>1731</v>
      </c>
      <c r="C11" s="13">
        <v>8</v>
      </c>
      <c r="D11" s="13">
        <v>1079</v>
      </c>
      <c r="E11" s="13">
        <v>182</v>
      </c>
      <c r="F11" s="13">
        <v>179</v>
      </c>
      <c r="G11" s="13">
        <v>258</v>
      </c>
      <c r="H11" s="47">
        <f t="shared" si="1"/>
        <v>3437</v>
      </c>
      <c r="I11" s="48">
        <v>0</v>
      </c>
      <c r="J11" s="40"/>
      <c r="K11" s="49">
        <v>6</v>
      </c>
      <c r="L11" s="13">
        <v>0</v>
      </c>
      <c r="M11" s="13">
        <v>10</v>
      </c>
      <c r="N11" s="13">
        <v>0</v>
      </c>
      <c r="O11" s="13">
        <f t="shared" si="0"/>
        <v>10</v>
      </c>
      <c r="P11" s="45">
        <f t="shared" si="2"/>
        <v>5871</v>
      </c>
    </row>
    <row r="12" spans="1:19" ht="18" customHeight="1" thickBot="1" x14ac:dyDescent="0.35">
      <c r="A12" s="46">
        <v>7</v>
      </c>
      <c r="B12" s="13">
        <f>1866+25</f>
        <v>1891</v>
      </c>
      <c r="C12" s="13">
        <v>10</v>
      </c>
      <c r="D12" s="13">
        <v>1079</v>
      </c>
      <c r="E12" s="13">
        <v>189</v>
      </c>
      <c r="F12" s="13">
        <v>178</v>
      </c>
      <c r="G12" s="13">
        <v>252</v>
      </c>
      <c r="H12" s="47">
        <f t="shared" si="1"/>
        <v>3599</v>
      </c>
      <c r="I12" s="13">
        <v>0</v>
      </c>
      <c r="J12" s="17"/>
      <c r="K12" s="13">
        <v>7</v>
      </c>
      <c r="L12" s="13">
        <v>1</v>
      </c>
      <c r="M12" s="13">
        <v>2</v>
      </c>
      <c r="N12" s="13">
        <v>1</v>
      </c>
      <c r="O12" s="13">
        <f t="shared" si="0"/>
        <v>4</v>
      </c>
      <c r="P12" s="45">
        <f t="shared" si="2"/>
        <v>5871</v>
      </c>
    </row>
    <row r="13" spans="1:19" ht="18" customHeight="1" thickBot="1" x14ac:dyDescent="0.35">
      <c r="A13" s="46">
        <v>8</v>
      </c>
      <c r="B13" s="13">
        <f>2513+28</f>
        <v>2541</v>
      </c>
      <c r="C13" s="13">
        <v>10</v>
      </c>
      <c r="D13" s="13">
        <v>995</v>
      </c>
      <c r="E13" s="13">
        <v>189</v>
      </c>
      <c r="F13" s="13">
        <v>204</v>
      </c>
      <c r="G13" s="13">
        <v>241</v>
      </c>
      <c r="H13" s="47">
        <f t="shared" si="1"/>
        <v>4180</v>
      </c>
      <c r="I13" s="13">
        <v>0</v>
      </c>
      <c r="J13" s="17"/>
      <c r="K13" s="13">
        <v>8</v>
      </c>
      <c r="L13" s="13">
        <v>1</v>
      </c>
      <c r="M13" s="13">
        <v>8</v>
      </c>
      <c r="N13" s="13">
        <v>1</v>
      </c>
      <c r="O13" s="13">
        <f t="shared" si="0"/>
        <v>10</v>
      </c>
      <c r="P13" s="45">
        <f t="shared" si="2"/>
        <v>5871</v>
      </c>
    </row>
    <row r="14" spans="1:19" s="51" customFormat="1" ht="18" customHeight="1" thickBot="1" x14ac:dyDescent="0.35">
      <c r="A14" s="46">
        <v>9</v>
      </c>
      <c r="B14" s="13">
        <f>2881+13</f>
        <v>2894</v>
      </c>
      <c r="C14" s="13">
        <v>11</v>
      </c>
      <c r="D14" s="13">
        <v>870</v>
      </c>
      <c r="E14" s="13">
        <v>158</v>
      </c>
      <c r="F14" s="13">
        <v>220</v>
      </c>
      <c r="G14" s="13">
        <v>224</v>
      </c>
      <c r="H14" s="47">
        <f t="shared" si="1"/>
        <v>4377</v>
      </c>
      <c r="I14" s="13">
        <v>0</v>
      </c>
      <c r="J14" s="17"/>
      <c r="K14" s="13">
        <v>9</v>
      </c>
      <c r="L14" s="13">
        <v>0</v>
      </c>
      <c r="M14" s="13">
        <v>8</v>
      </c>
      <c r="N14" s="13">
        <v>2</v>
      </c>
      <c r="O14" s="13">
        <f t="shared" si="0"/>
        <v>10</v>
      </c>
      <c r="P14" s="50">
        <f t="shared" si="2"/>
        <v>5871</v>
      </c>
    </row>
    <row r="15" spans="1:19" ht="18" customHeight="1" thickBot="1" x14ac:dyDescent="0.35">
      <c r="A15" s="46">
        <v>10</v>
      </c>
      <c r="B15" s="13">
        <f>3873+6</f>
        <v>3879</v>
      </c>
      <c r="C15" s="13">
        <v>7</v>
      </c>
      <c r="D15" s="13">
        <v>674</v>
      </c>
      <c r="E15" s="13">
        <v>105</v>
      </c>
      <c r="F15" s="13">
        <v>112</v>
      </c>
      <c r="G15" s="13">
        <v>172</v>
      </c>
      <c r="H15" s="47">
        <f t="shared" si="1"/>
        <v>4949</v>
      </c>
      <c r="I15" s="13">
        <v>0</v>
      </c>
      <c r="J15" s="17"/>
      <c r="K15" s="13">
        <v>10</v>
      </c>
      <c r="L15" s="13">
        <v>0</v>
      </c>
      <c r="M15" s="13">
        <v>0</v>
      </c>
      <c r="N15" s="13">
        <v>2</v>
      </c>
      <c r="O15" s="13">
        <f t="shared" si="0"/>
        <v>2</v>
      </c>
      <c r="P15" s="45">
        <f t="shared" si="2"/>
        <v>5871</v>
      </c>
    </row>
    <row r="16" spans="1:19" ht="18" customHeight="1" thickBot="1" x14ac:dyDescent="0.35">
      <c r="A16" s="46">
        <v>11</v>
      </c>
      <c r="B16" s="13">
        <f>1744+25</f>
        <v>1769</v>
      </c>
      <c r="C16" s="13">
        <v>12</v>
      </c>
      <c r="D16" s="13">
        <v>884</v>
      </c>
      <c r="E16" s="13">
        <v>174</v>
      </c>
      <c r="F16" s="13">
        <v>182</v>
      </c>
      <c r="G16" s="13">
        <v>243</v>
      </c>
      <c r="H16" s="47">
        <f t="shared" si="1"/>
        <v>3264</v>
      </c>
      <c r="I16" s="13">
        <v>0</v>
      </c>
      <c r="J16" s="17"/>
      <c r="K16" s="13">
        <v>11</v>
      </c>
      <c r="L16" s="13">
        <v>0</v>
      </c>
      <c r="M16" s="13">
        <v>6</v>
      </c>
      <c r="N16" s="13">
        <v>0</v>
      </c>
      <c r="O16" s="13">
        <f t="shared" si="0"/>
        <v>6</v>
      </c>
      <c r="P16" s="45">
        <f t="shared" si="2"/>
        <v>5871</v>
      </c>
      <c r="Q16" s="38"/>
    </row>
    <row r="17" spans="1:26" ht="18" customHeight="1" thickBot="1" x14ac:dyDescent="0.35">
      <c r="A17" s="46">
        <v>12</v>
      </c>
      <c r="B17" s="13">
        <f>1613+14</f>
        <v>1627</v>
      </c>
      <c r="C17" s="13">
        <v>10</v>
      </c>
      <c r="D17" s="13">
        <v>978</v>
      </c>
      <c r="E17" s="13">
        <v>172</v>
      </c>
      <c r="F17" s="13">
        <v>171</v>
      </c>
      <c r="G17" s="13">
        <v>241</v>
      </c>
      <c r="H17" s="47">
        <f t="shared" si="1"/>
        <v>3199</v>
      </c>
      <c r="I17" s="13">
        <v>0</v>
      </c>
      <c r="J17" s="17"/>
      <c r="K17" s="13">
        <v>12</v>
      </c>
      <c r="L17" s="13">
        <v>0</v>
      </c>
      <c r="M17" s="13">
        <v>2</v>
      </c>
      <c r="N17" s="13">
        <v>0</v>
      </c>
      <c r="O17" s="13">
        <f t="shared" si="0"/>
        <v>2</v>
      </c>
      <c r="P17" s="45">
        <f t="shared" si="2"/>
        <v>5871</v>
      </c>
    </row>
    <row r="18" spans="1:26" ht="18" customHeight="1" thickBot="1" x14ac:dyDescent="0.35">
      <c r="A18" s="46">
        <v>13</v>
      </c>
      <c r="B18" s="13">
        <f>1206+13</f>
        <v>1219</v>
      </c>
      <c r="C18" s="13">
        <v>12</v>
      </c>
      <c r="D18" s="13">
        <v>758</v>
      </c>
      <c r="E18" s="13">
        <v>176</v>
      </c>
      <c r="F18" s="13">
        <v>108</v>
      </c>
      <c r="G18" s="13">
        <v>163</v>
      </c>
      <c r="H18" s="47">
        <f t="shared" si="1"/>
        <v>2436</v>
      </c>
      <c r="I18" s="13">
        <v>0</v>
      </c>
      <c r="J18" s="17"/>
      <c r="K18" s="13">
        <v>13</v>
      </c>
      <c r="L18" s="13">
        <v>2</v>
      </c>
      <c r="M18" s="13">
        <v>15</v>
      </c>
      <c r="N18" s="13">
        <v>0</v>
      </c>
      <c r="O18" s="13">
        <f t="shared" si="0"/>
        <v>17</v>
      </c>
      <c r="P18" s="45">
        <f t="shared" si="2"/>
        <v>5871</v>
      </c>
    </row>
    <row r="19" spans="1:26" ht="18" customHeight="1" thickBot="1" x14ac:dyDescent="0.35">
      <c r="A19" s="46">
        <v>14</v>
      </c>
      <c r="B19" s="13">
        <f>1685+9</f>
        <v>1694</v>
      </c>
      <c r="C19" s="13">
        <v>14</v>
      </c>
      <c r="D19" s="13">
        <v>972</v>
      </c>
      <c r="E19" s="13">
        <v>199</v>
      </c>
      <c r="F19" s="13">
        <v>168</v>
      </c>
      <c r="G19" s="13">
        <v>220</v>
      </c>
      <c r="H19" s="47">
        <f t="shared" si="1"/>
        <v>3267</v>
      </c>
      <c r="I19" s="13">
        <v>0</v>
      </c>
      <c r="J19" s="17"/>
      <c r="K19" s="13">
        <v>14</v>
      </c>
      <c r="L19" s="13">
        <v>1</v>
      </c>
      <c r="M19" s="13">
        <v>14</v>
      </c>
      <c r="N19" s="13">
        <v>1</v>
      </c>
      <c r="O19" s="13">
        <f t="shared" si="0"/>
        <v>16</v>
      </c>
      <c r="P19" s="45">
        <f t="shared" si="2"/>
        <v>5871</v>
      </c>
    </row>
    <row r="20" spans="1:26" ht="18" customHeight="1" thickBot="1" x14ac:dyDescent="0.35">
      <c r="A20" s="46">
        <v>15</v>
      </c>
      <c r="B20" s="13">
        <v>2368</v>
      </c>
      <c r="C20" s="13">
        <v>10</v>
      </c>
      <c r="D20" s="13">
        <v>951</v>
      </c>
      <c r="E20" s="13">
        <v>180</v>
      </c>
      <c r="F20" s="13">
        <v>230</v>
      </c>
      <c r="G20" s="13">
        <v>219</v>
      </c>
      <c r="H20" s="47">
        <f t="shared" si="1"/>
        <v>3958</v>
      </c>
      <c r="I20" s="13">
        <v>0</v>
      </c>
      <c r="J20" s="17"/>
      <c r="K20" s="13">
        <v>15</v>
      </c>
      <c r="L20" s="13">
        <v>2</v>
      </c>
      <c r="M20" s="13">
        <v>8</v>
      </c>
      <c r="N20" s="13">
        <v>0</v>
      </c>
      <c r="O20" s="13">
        <f t="shared" si="0"/>
        <v>10</v>
      </c>
      <c r="P20" s="45">
        <f t="shared" si="2"/>
        <v>5871</v>
      </c>
    </row>
    <row r="21" spans="1:26" ht="18" customHeight="1" thickBot="1" x14ac:dyDescent="0.35">
      <c r="A21" s="46">
        <v>16</v>
      </c>
      <c r="B21" s="13">
        <f>2679+12</f>
        <v>2691</v>
      </c>
      <c r="C21" s="13">
        <v>11</v>
      </c>
      <c r="D21" s="13">
        <v>792</v>
      </c>
      <c r="E21" s="13">
        <v>171</v>
      </c>
      <c r="F21" s="13">
        <v>209</v>
      </c>
      <c r="G21" s="13">
        <v>169</v>
      </c>
      <c r="H21" s="47">
        <f t="shared" si="1"/>
        <v>4043</v>
      </c>
      <c r="I21" s="13">
        <v>0</v>
      </c>
      <c r="J21" s="17"/>
      <c r="K21" s="13">
        <v>16</v>
      </c>
      <c r="L21" s="13">
        <v>1</v>
      </c>
      <c r="M21" s="13">
        <v>9</v>
      </c>
      <c r="N21" s="13">
        <v>2</v>
      </c>
      <c r="O21" s="13">
        <f t="shared" si="0"/>
        <v>12</v>
      </c>
      <c r="P21" s="45">
        <f>+P20</f>
        <v>5871</v>
      </c>
    </row>
    <row r="22" spans="1:26" ht="18" customHeight="1" thickBot="1" x14ac:dyDescent="0.35">
      <c r="A22" s="46">
        <v>17</v>
      </c>
      <c r="B22" s="13">
        <v>3023</v>
      </c>
      <c r="C22" s="13">
        <v>16</v>
      </c>
      <c r="D22" s="13">
        <v>669</v>
      </c>
      <c r="E22" s="13">
        <v>98</v>
      </c>
      <c r="F22" s="13">
        <v>125</v>
      </c>
      <c r="G22" s="13">
        <v>129</v>
      </c>
      <c r="H22" s="47">
        <f>SUM(B22:G22)</f>
        <v>4060</v>
      </c>
      <c r="I22" s="13">
        <v>0</v>
      </c>
      <c r="J22" s="17"/>
      <c r="K22" s="13">
        <v>17</v>
      </c>
      <c r="L22" s="13">
        <v>0</v>
      </c>
      <c r="M22" s="13">
        <v>5</v>
      </c>
      <c r="N22" s="13">
        <v>1</v>
      </c>
      <c r="O22" s="13">
        <f t="shared" si="0"/>
        <v>6</v>
      </c>
      <c r="P22" s="45">
        <f t="shared" si="2"/>
        <v>5871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8" customHeight="1" thickBot="1" x14ac:dyDescent="0.35">
      <c r="A23" s="46">
        <v>18</v>
      </c>
      <c r="B23" s="13">
        <f>1566+13</f>
        <v>1579</v>
      </c>
      <c r="C23" s="13">
        <v>9</v>
      </c>
      <c r="D23" s="13">
        <v>851</v>
      </c>
      <c r="E23" s="13">
        <v>174</v>
      </c>
      <c r="F23" s="13">
        <v>165</v>
      </c>
      <c r="G23" s="13">
        <v>245</v>
      </c>
      <c r="H23" s="47">
        <f t="shared" si="1"/>
        <v>3023</v>
      </c>
      <c r="I23" s="13">
        <v>0</v>
      </c>
      <c r="J23" s="17"/>
      <c r="K23" s="13">
        <v>18</v>
      </c>
      <c r="L23" s="13">
        <v>0</v>
      </c>
      <c r="M23" s="13">
        <v>10</v>
      </c>
      <c r="N23" s="13">
        <v>0</v>
      </c>
      <c r="O23" s="13">
        <f t="shared" si="0"/>
        <v>10</v>
      </c>
      <c r="P23" s="45">
        <f t="shared" si="2"/>
        <v>5871</v>
      </c>
    </row>
    <row r="24" spans="1:26" s="38" customFormat="1" ht="18" customHeight="1" thickBot="1" x14ac:dyDescent="0.35">
      <c r="A24" s="46">
        <v>19</v>
      </c>
      <c r="B24" s="13">
        <f>1547+18</f>
        <v>1565</v>
      </c>
      <c r="C24" s="13">
        <v>10</v>
      </c>
      <c r="D24" s="13">
        <v>989</v>
      </c>
      <c r="E24" s="13">
        <v>213</v>
      </c>
      <c r="F24" s="13">
        <v>166</v>
      </c>
      <c r="G24" s="13">
        <v>214</v>
      </c>
      <c r="H24" s="47">
        <f t="shared" si="1"/>
        <v>3157</v>
      </c>
      <c r="I24" s="13">
        <v>0</v>
      </c>
      <c r="J24" s="17"/>
      <c r="K24" s="13">
        <v>19</v>
      </c>
      <c r="L24" s="13">
        <v>0</v>
      </c>
      <c r="M24" s="13">
        <v>22</v>
      </c>
      <c r="N24" s="13">
        <v>1</v>
      </c>
      <c r="O24" s="13">
        <f t="shared" si="0"/>
        <v>23</v>
      </c>
      <c r="P24" s="45">
        <f t="shared" si="2"/>
        <v>5871</v>
      </c>
    </row>
    <row r="25" spans="1:26" ht="18" customHeight="1" thickBot="1" x14ac:dyDescent="0.35">
      <c r="A25" s="46">
        <v>20</v>
      </c>
      <c r="B25" s="13">
        <f>1740+18</f>
        <v>1758</v>
      </c>
      <c r="C25" s="13">
        <v>14</v>
      </c>
      <c r="D25" s="13">
        <v>1047</v>
      </c>
      <c r="E25" s="13">
        <v>236</v>
      </c>
      <c r="F25" s="13">
        <v>186</v>
      </c>
      <c r="G25" s="13">
        <v>259</v>
      </c>
      <c r="H25" s="47">
        <f t="shared" si="1"/>
        <v>3500</v>
      </c>
      <c r="I25" s="13">
        <v>0</v>
      </c>
      <c r="J25" s="17"/>
      <c r="K25" s="13">
        <v>20</v>
      </c>
      <c r="L25" s="13">
        <v>1</v>
      </c>
      <c r="M25" s="13">
        <v>14</v>
      </c>
      <c r="N25" s="13">
        <v>1</v>
      </c>
      <c r="O25" s="13">
        <f t="shared" si="0"/>
        <v>16</v>
      </c>
      <c r="P25" s="45">
        <f t="shared" si="2"/>
        <v>5871</v>
      </c>
    </row>
    <row r="26" spans="1:26" ht="18" customHeight="1" thickBot="1" x14ac:dyDescent="0.35">
      <c r="A26" s="46">
        <v>21</v>
      </c>
      <c r="B26" s="13">
        <f>2218+24</f>
        <v>2242</v>
      </c>
      <c r="C26" s="13">
        <v>10</v>
      </c>
      <c r="D26" s="13">
        <v>1099</v>
      </c>
      <c r="E26" s="13">
        <v>220</v>
      </c>
      <c r="F26" s="13">
        <v>206</v>
      </c>
      <c r="G26" s="13">
        <v>284</v>
      </c>
      <c r="H26" s="47">
        <f t="shared" si="1"/>
        <v>4061</v>
      </c>
      <c r="I26" s="13">
        <v>0</v>
      </c>
      <c r="J26" s="17"/>
      <c r="K26" s="13">
        <v>21</v>
      </c>
      <c r="L26" s="13">
        <v>2</v>
      </c>
      <c r="M26" s="13">
        <v>14</v>
      </c>
      <c r="N26" s="13">
        <v>1</v>
      </c>
      <c r="O26" s="13">
        <f t="shared" si="0"/>
        <v>17</v>
      </c>
      <c r="P26" s="45">
        <f t="shared" si="2"/>
        <v>5871</v>
      </c>
    </row>
    <row r="27" spans="1:26" ht="18" customHeight="1" thickBot="1" x14ac:dyDescent="0.35">
      <c r="A27" s="46">
        <v>22</v>
      </c>
      <c r="B27" s="13">
        <f>5235+16</f>
        <v>5251</v>
      </c>
      <c r="C27" s="13">
        <v>6</v>
      </c>
      <c r="D27" s="13">
        <v>1160</v>
      </c>
      <c r="E27" s="13">
        <v>152</v>
      </c>
      <c r="F27" s="13">
        <v>209</v>
      </c>
      <c r="G27" s="13">
        <v>236</v>
      </c>
      <c r="H27" s="47">
        <f t="shared" si="1"/>
        <v>7014</v>
      </c>
      <c r="I27" s="13">
        <v>0</v>
      </c>
      <c r="J27" s="17"/>
      <c r="K27" s="13">
        <v>22</v>
      </c>
      <c r="L27" s="13">
        <v>0</v>
      </c>
      <c r="M27" s="13">
        <v>13</v>
      </c>
      <c r="N27" s="13">
        <v>0</v>
      </c>
      <c r="O27" s="13">
        <f t="shared" si="0"/>
        <v>13</v>
      </c>
      <c r="P27" s="45">
        <f t="shared" si="2"/>
        <v>5871</v>
      </c>
    </row>
    <row r="28" spans="1:26" ht="18" customHeight="1" thickBot="1" x14ac:dyDescent="0.35">
      <c r="A28" s="46">
        <v>23</v>
      </c>
      <c r="B28" s="13">
        <f>7662+28</f>
        <v>7690</v>
      </c>
      <c r="C28" s="13">
        <v>11</v>
      </c>
      <c r="D28" s="13">
        <v>916</v>
      </c>
      <c r="E28" s="13">
        <v>54</v>
      </c>
      <c r="F28" s="13">
        <v>118</v>
      </c>
      <c r="G28" s="13">
        <v>116</v>
      </c>
      <c r="H28" s="47">
        <f t="shared" si="1"/>
        <v>8905</v>
      </c>
      <c r="I28" s="13">
        <v>0</v>
      </c>
      <c r="J28" s="17"/>
      <c r="K28" s="13">
        <v>23</v>
      </c>
      <c r="L28" s="13">
        <v>0</v>
      </c>
      <c r="M28" s="13">
        <v>7</v>
      </c>
      <c r="N28" s="13">
        <v>1</v>
      </c>
      <c r="O28" s="13">
        <f t="shared" si="0"/>
        <v>8</v>
      </c>
      <c r="P28" s="45">
        <f t="shared" si="2"/>
        <v>5871</v>
      </c>
    </row>
    <row r="29" spans="1:26" ht="18" customHeight="1" thickBot="1" x14ac:dyDescent="0.35">
      <c r="A29" s="46">
        <v>24</v>
      </c>
      <c r="B29" s="13">
        <f>6138+19</f>
        <v>6157</v>
      </c>
      <c r="C29" s="13">
        <v>12</v>
      </c>
      <c r="D29" s="13">
        <v>894</v>
      </c>
      <c r="E29" s="13">
        <v>96</v>
      </c>
      <c r="F29" s="13">
        <v>219</v>
      </c>
      <c r="G29" s="13">
        <v>206</v>
      </c>
      <c r="H29" s="47">
        <f t="shared" si="1"/>
        <v>7584</v>
      </c>
      <c r="I29" s="13">
        <v>0</v>
      </c>
      <c r="J29" s="17"/>
      <c r="K29" s="13">
        <v>24</v>
      </c>
      <c r="L29" s="13">
        <v>0</v>
      </c>
      <c r="M29" s="13">
        <v>4</v>
      </c>
      <c r="N29" s="13">
        <v>0</v>
      </c>
      <c r="O29" s="13">
        <f t="shared" si="0"/>
        <v>4</v>
      </c>
      <c r="P29" s="45">
        <f t="shared" si="2"/>
        <v>5871</v>
      </c>
    </row>
    <row r="30" spans="1:26" s="38" customFormat="1" ht="18" customHeight="1" thickBot="1" x14ac:dyDescent="0.35">
      <c r="A30" s="46">
        <v>25</v>
      </c>
      <c r="B30" s="13">
        <f>5841+21</f>
        <v>5862</v>
      </c>
      <c r="C30" s="13">
        <v>6</v>
      </c>
      <c r="D30" s="13">
        <v>652</v>
      </c>
      <c r="E30" s="13">
        <v>55</v>
      </c>
      <c r="F30" s="13">
        <v>94</v>
      </c>
      <c r="G30" s="13">
        <v>127</v>
      </c>
      <c r="H30" s="47">
        <f t="shared" si="1"/>
        <v>6796</v>
      </c>
      <c r="I30" s="13">
        <v>0</v>
      </c>
      <c r="J30" s="17"/>
      <c r="K30" s="13">
        <v>25</v>
      </c>
      <c r="L30" s="13">
        <v>0</v>
      </c>
      <c r="M30" s="13">
        <v>8</v>
      </c>
      <c r="N30" s="13">
        <v>1</v>
      </c>
      <c r="O30" s="13">
        <f t="shared" si="0"/>
        <v>9</v>
      </c>
      <c r="P30" s="45">
        <f t="shared" si="2"/>
        <v>5871</v>
      </c>
    </row>
    <row r="31" spans="1:26" ht="18" customHeight="1" thickBot="1" x14ac:dyDescent="0.35">
      <c r="A31" s="46">
        <v>26</v>
      </c>
      <c r="B31" s="13">
        <f>3808+25</f>
        <v>3833</v>
      </c>
      <c r="C31" s="13">
        <v>12</v>
      </c>
      <c r="D31" s="13">
        <v>893</v>
      </c>
      <c r="E31" s="13">
        <v>114</v>
      </c>
      <c r="F31" s="13">
        <v>186</v>
      </c>
      <c r="G31" s="13">
        <v>155</v>
      </c>
      <c r="H31" s="47">
        <f t="shared" si="1"/>
        <v>5193</v>
      </c>
      <c r="I31" s="13">
        <v>0</v>
      </c>
      <c r="J31" s="17"/>
      <c r="K31" s="13">
        <v>26</v>
      </c>
      <c r="L31" s="13">
        <v>0</v>
      </c>
      <c r="M31" s="13">
        <v>5</v>
      </c>
      <c r="N31" s="13">
        <v>1</v>
      </c>
      <c r="O31" s="13">
        <f t="shared" si="0"/>
        <v>6</v>
      </c>
      <c r="P31" s="45">
        <f t="shared" si="2"/>
        <v>5871</v>
      </c>
    </row>
    <row r="32" spans="1:26" ht="18" customHeight="1" thickBot="1" x14ac:dyDescent="0.35">
      <c r="A32" s="46">
        <v>27</v>
      </c>
      <c r="B32" s="13">
        <f>8029+22</f>
        <v>8051</v>
      </c>
      <c r="C32" s="13">
        <v>10</v>
      </c>
      <c r="D32" s="13">
        <v>823</v>
      </c>
      <c r="E32" s="13">
        <v>61</v>
      </c>
      <c r="F32" s="13">
        <v>144</v>
      </c>
      <c r="G32" s="13">
        <v>84</v>
      </c>
      <c r="H32" s="47">
        <f t="shared" si="1"/>
        <v>9173</v>
      </c>
      <c r="I32" s="13">
        <v>0</v>
      </c>
      <c r="J32" s="17"/>
      <c r="K32" s="13">
        <v>27</v>
      </c>
      <c r="L32" s="13">
        <v>0</v>
      </c>
      <c r="M32" s="13">
        <v>4</v>
      </c>
      <c r="N32" s="13">
        <v>1</v>
      </c>
      <c r="O32" s="13">
        <f t="shared" si="0"/>
        <v>5</v>
      </c>
      <c r="P32" s="45">
        <f t="shared" si="2"/>
        <v>5871</v>
      </c>
    </row>
    <row r="33" spans="1:17" ht="15.75" customHeight="1" thickBot="1" x14ac:dyDescent="0.35">
      <c r="A33" s="46">
        <v>28</v>
      </c>
      <c r="B33" s="13">
        <f>6942+24</f>
        <v>6966</v>
      </c>
      <c r="C33" s="13">
        <v>4</v>
      </c>
      <c r="D33" s="13">
        <v>650</v>
      </c>
      <c r="E33" s="13">
        <v>81</v>
      </c>
      <c r="F33" s="13">
        <v>119</v>
      </c>
      <c r="G33" s="13">
        <v>85</v>
      </c>
      <c r="H33" s="47">
        <f t="shared" si="1"/>
        <v>7905</v>
      </c>
      <c r="I33" s="13">
        <v>0</v>
      </c>
      <c r="J33" s="17"/>
      <c r="K33" s="13">
        <v>28</v>
      </c>
      <c r="L33" s="13">
        <v>0</v>
      </c>
      <c r="M33" s="13">
        <v>0</v>
      </c>
      <c r="N33" s="13">
        <v>2</v>
      </c>
      <c r="O33" s="13">
        <f t="shared" si="0"/>
        <v>2</v>
      </c>
      <c r="P33" s="45">
        <f t="shared" si="2"/>
        <v>5871</v>
      </c>
    </row>
    <row r="34" spans="1:17" s="38" customFormat="1" ht="17.25" customHeight="1" thickBot="1" x14ac:dyDescent="0.35">
      <c r="A34" s="52">
        <v>29</v>
      </c>
      <c r="B34" s="13">
        <f>4715+23</f>
        <v>4738</v>
      </c>
      <c r="C34" s="13">
        <v>4</v>
      </c>
      <c r="D34" s="13">
        <v>353</v>
      </c>
      <c r="E34" s="13">
        <v>45</v>
      </c>
      <c r="F34" s="13">
        <v>96</v>
      </c>
      <c r="G34" s="13">
        <v>74</v>
      </c>
      <c r="H34" s="47">
        <f t="shared" si="1"/>
        <v>5310</v>
      </c>
      <c r="I34" s="53">
        <v>0</v>
      </c>
      <c r="J34" s="54"/>
      <c r="K34" s="13">
        <v>29</v>
      </c>
      <c r="L34" s="13">
        <v>0</v>
      </c>
      <c r="M34" s="13">
        <v>0</v>
      </c>
      <c r="N34" s="13">
        <v>0</v>
      </c>
      <c r="O34" s="13">
        <f>SUM(L34:N34)</f>
        <v>0</v>
      </c>
      <c r="P34" s="45">
        <f t="shared" si="2"/>
        <v>5871</v>
      </c>
    </row>
    <row r="35" spans="1:17" s="38" customFormat="1" ht="17.25" customHeight="1" thickBot="1" x14ac:dyDescent="0.35">
      <c r="A35" s="52">
        <v>30</v>
      </c>
      <c r="B35" s="13">
        <f>10751+22</f>
        <v>10773</v>
      </c>
      <c r="C35" s="13">
        <v>10</v>
      </c>
      <c r="D35" s="13">
        <v>591</v>
      </c>
      <c r="E35" s="13">
        <v>36</v>
      </c>
      <c r="F35" s="13">
        <v>88</v>
      </c>
      <c r="G35" s="13">
        <v>62</v>
      </c>
      <c r="H35" s="47">
        <f t="shared" si="1"/>
        <v>11560</v>
      </c>
      <c r="I35" s="53">
        <v>0</v>
      </c>
      <c r="J35" s="54"/>
      <c r="K35" s="13">
        <v>30</v>
      </c>
      <c r="L35" s="13">
        <v>0</v>
      </c>
      <c r="M35" s="13">
        <v>4</v>
      </c>
      <c r="N35" s="13">
        <v>0</v>
      </c>
      <c r="O35" s="13">
        <f>SUM(L35:N35)</f>
        <v>4</v>
      </c>
      <c r="P35" s="45">
        <f t="shared" si="2"/>
        <v>5871</v>
      </c>
    </row>
    <row r="36" spans="1:17" s="38" customFormat="1" ht="17.25" customHeight="1" thickBot="1" x14ac:dyDescent="0.35">
      <c r="A36" s="52">
        <v>31</v>
      </c>
      <c r="B36" s="13">
        <f>13007+19</f>
        <v>13026</v>
      </c>
      <c r="C36" s="13">
        <v>11</v>
      </c>
      <c r="D36" s="13">
        <v>726</v>
      </c>
      <c r="E36" s="13">
        <v>47</v>
      </c>
      <c r="F36" s="13">
        <v>83</v>
      </c>
      <c r="G36" s="13">
        <v>84</v>
      </c>
      <c r="H36" s="47">
        <f t="shared" si="1"/>
        <v>13977</v>
      </c>
      <c r="I36" s="53">
        <v>0</v>
      </c>
      <c r="J36" s="54"/>
      <c r="K36" s="13">
        <v>31</v>
      </c>
      <c r="L36" s="13">
        <v>0</v>
      </c>
      <c r="M36" s="13">
        <v>5</v>
      </c>
      <c r="N36" s="13">
        <v>3</v>
      </c>
      <c r="O36" s="13">
        <f t="shared" ref="O36" si="3">SUM(L36:N36)</f>
        <v>8</v>
      </c>
      <c r="P36" s="45">
        <f t="shared" si="2"/>
        <v>5871</v>
      </c>
    </row>
    <row r="37" spans="1:17" s="51" customFormat="1" ht="18" customHeight="1" thickBot="1" x14ac:dyDescent="0.35">
      <c r="A37" s="49" t="s">
        <v>18</v>
      </c>
      <c r="B37" s="67">
        <f>SUM(B6:B36)</f>
        <v>120395</v>
      </c>
      <c r="C37" s="67">
        <f t="shared" ref="C37:H37" si="4">SUM(C6:C36)</f>
        <v>307</v>
      </c>
      <c r="D37" s="67">
        <f t="shared" si="4"/>
        <v>26692</v>
      </c>
      <c r="E37" s="67">
        <f t="shared" si="4"/>
        <v>4385</v>
      </c>
      <c r="F37" s="67">
        <f t="shared" si="4"/>
        <v>4975</v>
      </c>
      <c r="G37" s="67">
        <f t="shared" si="4"/>
        <v>5722</v>
      </c>
      <c r="H37" s="67">
        <f t="shared" si="4"/>
        <v>162476</v>
      </c>
      <c r="I37" s="67">
        <f>SUM(I6:I33)</f>
        <v>0</v>
      </c>
      <c r="J37" s="54"/>
      <c r="K37" s="49" t="s">
        <v>19</v>
      </c>
      <c r="L37" s="68">
        <f>SUM(L6:L36)</f>
        <v>15</v>
      </c>
      <c r="M37" s="68">
        <f t="shared" ref="M37:O37" si="5">SUM(M6:M36)</f>
        <v>251</v>
      </c>
      <c r="N37" s="68">
        <f t="shared" si="5"/>
        <v>24</v>
      </c>
      <c r="O37" s="68">
        <f t="shared" si="5"/>
        <v>290</v>
      </c>
      <c r="P37" s="69"/>
      <c r="Q37" s="69"/>
    </row>
    <row r="38" spans="1:17" s="51" customFormat="1" ht="18" customHeight="1" thickBot="1" x14ac:dyDescent="0.35">
      <c r="A38" s="49" t="s">
        <v>19</v>
      </c>
      <c r="B38" s="110">
        <f>+B37+C37</f>
        <v>120702</v>
      </c>
      <c r="C38" s="111"/>
      <c r="D38" s="68">
        <f t="shared" ref="D38:I38" si="6">+D37</f>
        <v>26692</v>
      </c>
      <c r="E38" s="68">
        <f t="shared" si="6"/>
        <v>4385</v>
      </c>
      <c r="F38" s="68">
        <f t="shared" si="6"/>
        <v>4975</v>
      </c>
      <c r="G38" s="68">
        <f t="shared" si="6"/>
        <v>5722</v>
      </c>
      <c r="H38" s="68">
        <f t="shared" si="6"/>
        <v>162476</v>
      </c>
      <c r="I38" s="68">
        <f t="shared" si="6"/>
        <v>0</v>
      </c>
      <c r="J38" s="54"/>
      <c r="K38" s="49" t="s">
        <v>20</v>
      </c>
      <c r="L38" s="55" t="s">
        <v>21</v>
      </c>
      <c r="M38" s="55" t="s">
        <v>22</v>
      </c>
      <c r="N38" s="55" t="s">
        <v>21</v>
      </c>
      <c r="O38" s="55" t="s">
        <v>22</v>
      </c>
      <c r="P38" s="69"/>
      <c r="Q38" s="69"/>
    </row>
  </sheetData>
  <mergeCells count="12">
    <mergeCell ref="N4:N5"/>
    <mergeCell ref="O4:O5"/>
    <mergeCell ref="B38:C38"/>
    <mergeCell ref="A1:O1"/>
    <mergeCell ref="A2:O2"/>
    <mergeCell ref="A3:O3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6CDE-E3B9-4D9E-9ECC-DB02752F6488}">
  <dimension ref="A1:Z38"/>
  <sheetViews>
    <sheetView workbookViewId="0">
      <selection activeCell="G10" sqref="G10"/>
    </sheetView>
  </sheetViews>
  <sheetFormatPr baseColWidth="10" defaultColWidth="11.44140625" defaultRowHeight="14.4" x14ac:dyDescent="0.3"/>
  <cols>
    <col min="1" max="1" width="13.5546875" customWidth="1"/>
    <col min="2" max="2" width="11.33203125" customWidth="1"/>
    <col min="3" max="3" width="8.5546875" customWidth="1"/>
    <col min="4" max="4" width="18.6640625" customWidth="1"/>
    <col min="5" max="5" width="13.6640625" customWidth="1"/>
    <col min="6" max="6" width="13.33203125" customWidth="1"/>
    <col min="7" max="7" width="13.109375" customWidth="1"/>
    <col min="8" max="8" width="17.109375" customWidth="1"/>
    <col min="9" max="9" width="14.44140625" bestFit="1" customWidth="1"/>
    <col min="10" max="10" width="3.88671875" customWidth="1"/>
    <col min="11" max="11" width="10.6640625" customWidth="1"/>
    <col min="12" max="12" width="14.88671875" customWidth="1"/>
    <col min="13" max="13" width="15.88671875" customWidth="1"/>
    <col min="14" max="14" width="10.109375" customWidth="1"/>
    <col min="15" max="15" width="9.88671875" customWidth="1"/>
  </cols>
  <sheetData>
    <row r="1" spans="1:19" ht="15.6" x14ac:dyDescent="0.3">
      <c r="A1" s="100" t="s">
        <v>23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19" ht="15.6" x14ac:dyDescent="0.3">
      <c r="A2" s="100" t="s">
        <v>25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</row>
    <row r="3" spans="1:19" ht="16.2" thickBot="1" x14ac:dyDescent="0.35">
      <c r="A3" s="101" t="s">
        <v>28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</row>
    <row r="4" spans="1:19" s="51" customFormat="1" ht="78" customHeight="1" thickBot="1" x14ac:dyDescent="0.35">
      <c r="A4" s="64" t="s">
        <v>0</v>
      </c>
      <c r="B4" s="112" t="s">
        <v>1</v>
      </c>
      <c r="C4" s="113"/>
      <c r="D4" s="65" t="s">
        <v>2</v>
      </c>
      <c r="E4" s="66" t="s">
        <v>3</v>
      </c>
      <c r="F4" s="66" t="s">
        <v>4</v>
      </c>
      <c r="G4" s="66" t="s">
        <v>5</v>
      </c>
      <c r="H4" s="114" t="s">
        <v>6</v>
      </c>
      <c r="I4" s="108" t="s">
        <v>7</v>
      </c>
      <c r="J4" s="39"/>
      <c r="K4" s="116" t="s">
        <v>0</v>
      </c>
      <c r="L4" s="108" t="s">
        <v>8</v>
      </c>
      <c r="M4" s="108" t="s">
        <v>9</v>
      </c>
      <c r="N4" s="108" t="s">
        <v>10</v>
      </c>
      <c r="O4" s="108" t="s">
        <v>11</v>
      </c>
    </row>
    <row r="5" spans="1:19" s="51" customFormat="1" ht="18" customHeight="1" thickBot="1" x14ac:dyDescent="0.35">
      <c r="B5" s="49" t="s">
        <v>12</v>
      </c>
      <c r="C5" s="49" t="s">
        <v>13</v>
      </c>
      <c r="D5" s="49" t="s">
        <v>14</v>
      </c>
      <c r="E5" s="49" t="s">
        <v>15</v>
      </c>
      <c r="F5" s="49" t="s">
        <v>16</v>
      </c>
      <c r="G5" s="49" t="s">
        <v>17</v>
      </c>
      <c r="H5" s="115"/>
      <c r="I5" s="109"/>
      <c r="J5" s="40"/>
      <c r="K5" s="117"/>
      <c r="L5" s="109"/>
      <c r="M5" s="109"/>
      <c r="N5" s="109"/>
      <c r="O5" s="109"/>
    </row>
    <row r="6" spans="1:19" ht="18" customHeight="1" thickBot="1" x14ac:dyDescent="0.35">
      <c r="A6" s="41">
        <v>1</v>
      </c>
      <c r="B6" s="7">
        <f>2774+15</f>
        <v>2789</v>
      </c>
      <c r="C6" s="7">
        <v>8</v>
      </c>
      <c r="D6" s="7">
        <v>957</v>
      </c>
      <c r="E6" s="7">
        <v>121</v>
      </c>
      <c r="F6" s="7">
        <v>210</v>
      </c>
      <c r="G6" s="7">
        <v>260</v>
      </c>
      <c r="H6" s="42">
        <f>SUM(B6:G6)</f>
        <v>4345</v>
      </c>
      <c r="I6" s="43">
        <v>0</v>
      </c>
      <c r="J6" s="40"/>
      <c r="K6" s="44">
        <v>1</v>
      </c>
      <c r="L6" s="7">
        <v>4</v>
      </c>
      <c r="M6" s="7">
        <v>8</v>
      </c>
      <c r="N6" s="7">
        <v>7</v>
      </c>
      <c r="O6" s="7">
        <f>SUM(L6:N6)</f>
        <v>19</v>
      </c>
      <c r="P6" s="45">
        <v>5871</v>
      </c>
    </row>
    <row r="7" spans="1:19" ht="18" customHeight="1" thickBot="1" x14ac:dyDescent="0.35">
      <c r="A7" s="46">
        <v>2</v>
      </c>
      <c r="B7" s="13">
        <f>1731+17</f>
        <v>1748</v>
      </c>
      <c r="C7" s="13">
        <v>10</v>
      </c>
      <c r="D7" s="13">
        <v>965</v>
      </c>
      <c r="E7" s="13">
        <v>207</v>
      </c>
      <c r="F7" s="13">
        <v>181</v>
      </c>
      <c r="G7" s="13">
        <v>241</v>
      </c>
      <c r="H7" s="47">
        <f>SUM(B7:G7)</f>
        <v>3352</v>
      </c>
      <c r="I7" s="48">
        <v>0</v>
      </c>
      <c r="J7" s="40"/>
      <c r="K7" s="49">
        <v>2</v>
      </c>
      <c r="L7" s="13">
        <v>1</v>
      </c>
      <c r="M7" s="13">
        <v>4</v>
      </c>
      <c r="N7" s="13">
        <v>0</v>
      </c>
      <c r="O7" s="13">
        <f t="shared" ref="O7:O33" si="0">SUM(L7:N7)</f>
        <v>5</v>
      </c>
      <c r="P7" s="45">
        <f>+P6</f>
        <v>5871</v>
      </c>
    </row>
    <row r="8" spans="1:19" ht="18" customHeight="1" thickBot="1" x14ac:dyDescent="0.35">
      <c r="A8" s="46">
        <v>3</v>
      </c>
      <c r="B8" s="13">
        <f>1695+23</f>
        <v>1718</v>
      </c>
      <c r="C8" s="13">
        <v>14</v>
      </c>
      <c r="D8" s="13">
        <v>987</v>
      </c>
      <c r="E8" s="13">
        <v>199</v>
      </c>
      <c r="F8" s="13">
        <v>201</v>
      </c>
      <c r="G8" s="13">
        <v>270</v>
      </c>
      <c r="H8" s="47">
        <f t="shared" ref="H8:H36" si="1">SUM(B8:G8)</f>
        <v>3389</v>
      </c>
      <c r="I8" s="48">
        <v>0</v>
      </c>
      <c r="J8" s="40"/>
      <c r="K8" s="49">
        <v>3</v>
      </c>
      <c r="L8" s="13">
        <v>0</v>
      </c>
      <c r="M8" s="13">
        <v>6</v>
      </c>
      <c r="N8" s="13">
        <v>0</v>
      </c>
      <c r="O8" s="13">
        <f t="shared" si="0"/>
        <v>6</v>
      </c>
      <c r="P8" s="45">
        <f t="shared" ref="P8:P36" si="2">+P7</f>
        <v>5871</v>
      </c>
      <c r="S8" s="37"/>
    </row>
    <row r="9" spans="1:19" ht="18" customHeight="1" thickBot="1" x14ac:dyDescent="0.35">
      <c r="A9" s="46">
        <v>4</v>
      </c>
      <c r="B9" s="13">
        <f>1767+25</f>
        <v>1792</v>
      </c>
      <c r="C9" s="13">
        <v>8</v>
      </c>
      <c r="D9" s="13">
        <v>1030</v>
      </c>
      <c r="E9" s="13">
        <v>206</v>
      </c>
      <c r="F9" s="13">
        <v>197</v>
      </c>
      <c r="G9" s="13">
        <v>242</v>
      </c>
      <c r="H9" s="47">
        <f t="shared" si="1"/>
        <v>3475</v>
      </c>
      <c r="I9" s="48">
        <v>0</v>
      </c>
      <c r="J9" s="40"/>
      <c r="K9" s="49">
        <v>4</v>
      </c>
      <c r="L9" s="13">
        <v>0</v>
      </c>
      <c r="M9" s="13">
        <v>6</v>
      </c>
      <c r="N9" s="13">
        <v>1</v>
      </c>
      <c r="O9" s="13">
        <f t="shared" si="0"/>
        <v>7</v>
      </c>
      <c r="P9" s="45">
        <f t="shared" si="2"/>
        <v>5871</v>
      </c>
    </row>
    <row r="10" spans="1:19" ht="18" customHeight="1" thickBot="1" x14ac:dyDescent="0.35">
      <c r="A10" s="46">
        <v>5</v>
      </c>
      <c r="B10" s="13">
        <f>2455+19</f>
        <v>2474</v>
      </c>
      <c r="C10" s="13">
        <v>11</v>
      </c>
      <c r="D10" s="13">
        <v>982</v>
      </c>
      <c r="E10" s="13">
        <v>249</v>
      </c>
      <c r="F10" s="13">
        <v>196</v>
      </c>
      <c r="G10" s="13">
        <v>233</v>
      </c>
      <c r="H10" s="47">
        <f t="shared" si="1"/>
        <v>4145</v>
      </c>
      <c r="I10" s="48">
        <v>0</v>
      </c>
      <c r="J10" s="40"/>
      <c r="K10" s="49">
        <v>5</v>
      </c>
      <c r="L10" s="13">
        <v>0</v>
      </c>
      <c r="M10" s="13">
        <v>12</v>
      </c>
      <c r="N10" s="13">
        <v>4</v>
      </c>
      <c r="O10" s="13">
        <f t="shared" si="0"/>
        <v>16</v>
      </c>
      <c r="P10" s="45">
        <f t="shared" si="2"/>
        <v>5871</v>
      </c>
    </row>
    <row r="11" spans="1:19" ht="18" customHeight="1" thickBot="1" x14ac:dyDescent="0.35">
      <c r="A11" s="46">
        <v>6</v>
      </c>
      <c r="B11" s="13">
        <f>2687+17</f>
        <v>2704</v>
      </c>
      <c r="C11" s="13">
        <v>9</v>
      </c>
      <c r="D11" s="13">
        <v>914</v>
      </c>
      <c r="E11" s="13">
        <v>169</v>
      </c>
      <c r="F11" s="13">
        <v>217</v>
      </c>
      <c r="G11" s="13">
        <v>213</v>
      </c>
      <c r="H11" s="47">
        <f t="shared" si="1"/>
        <v>4226</v>
      </c>
      <c r="I11" s="48">
        <v>0</v>
      </c>
      <c r="J11" s="40"/>
      <c r="K11" s="49">
        <v>6</v>
      </c>
      <c r="L11" s="13">
        <v>1</v>
      </c>
      <c r="M11" s="13">
        <v>4</v>
      </c>
      <c r="N11" s="13">
        <v>1</v>
      </c>
      <c r="O11" s="13">
        <f t="shared" si="0"/>
        <v>6</v>
      </c>
      <c r="P11" s="45">
        <f t="shared" si="2"/>
        <v>5871</v>
      </c>
    </row>
    <row r="12" spans="1:19" ht="18" customHeight="1" thickBot="1" x14ac:dyDescent="0.35">
      <c r="A12" s="46">
        <v>7</v>
      </c>
      <c r="B12" s="13">
        <f>3265+9</f>
        <v>3274</v>
      </c>
      <c r="C12" s="13">
        <v>14</v>
      </c>
      <c r="D12" s="13">
        <v>678</v>
      </c>
      <c r="E12" s="13">
        <v>73</v>
      </c>
      <c r="F12" s="13">
        <v>115</v>
      </c>
      <c r="G12" s="13">
        <v>139</v>
      </c>
      <c r="H12" s="47">
        <f t="shared" si="1"/>
        <v>4293</v>
      </c>
      <c r="I12" s="13">
        <v>0</v>
      </c>
      <c r="J12" s="17"/>
      <c r="K12" s="13">
        <v>7</v>
      </c>
      <c r="L12" s="13">
        <v>0</v>
      </c>
      <c r="M12" s="13">
        <v>4</v>
      </c>
      <c r="N12" s="13">
        <v>0</v>
      </c>
      <c r="O12" s="13">
        <f t="shared" si="0"/>
        <v>4</v>
      </c>
      <c r="P12" s="45">
        <f t="shared" si="2"/>
        <v>5871</v>
      </c>
    </row>
    <row r="13" spans="1:19" ht="18" customHeight="1" thickBot="1" x14ac:dyDescent="0.35">
      <c r="A13" s="46">
        <v>8</v>
      </c>
      <c r="B13" s="13">
        <f>1600+25</f>
        <v>1625</v>
      </c>
      <c r="C13" s="13">
        <v>11</v>
      </c>
      <c r="D13" s="13">
        <v>1138</v>
      </c>
      <c r="E13" s="13">
        <v>188</v>
      </c>
      <c r="F13" s="13">
        <v>226</v>
      </c>
      <c r="G13" s="13">
        <v>239</v>
      </c>
      <c r="H13" s="47">
        <f t="shared" si="1"/>
        <v>3427</v>
      </c>
      <c r="I13" s="13">
        <v>0</v>
      </c>
      <c r="J13" s="17"/>
      <c r="K13" s="13">
        <v>8</v>
      </c>
      <c r="L13" s="13">
        <v>0</v>
      </c>
      <c r="M13" s="13">
        <v>15</v>
      </c>
      <c r="N13" s="13">
        <v>2</v>
      </c>
      <c r="O13" s="13">
        <f t="shared" si="0"/>
        <v>17</v>
      </c>
      <c r="P13" s="45">
        <f t="shared" si="2"/>
        <v>5871</v>
      </c>
    </row>
    <row r="14" spans="1:19" s="51" customFormat="1" ht="18" customHeight="1" thickBot="1" x14ac:dyDescent="0.35">
      <c r="A14" s="46">
        <v>9</v>
      </c>
      <c r="B14" s="13">
        <v>1628</v>
      </c>
      <c r="C14" s="13">
        <v>10</v>
      </c>
      <c r="D14" s="13">
        <v>1227</v>
      </c>
      <c r="E14" s="13">
        <v>211</v>
      </c>
      <c r="F14" s="13">
        <v>195</v>
      </c>
      <c r="G14" s="13">
        <v>218</v>
      </c>
      <c r="H14" s="47">
        <f t="shared" si="1"/>
        <v>3489</v>
      </c>
      <c r="I14" s="13">
        <v>0</v>
      </c>
      <c r="J14" s="17"/>
      <c r="K14" s="13">
        <v>9</v>
      </c>
      <c r="L14" s="13">
        <v>0</v>
      </c>
      <c r="M14" s="13">
        <v>12</v>
      </c>
      <c r="N14" s="13">
        <v>0</v>
      </c>
      <c r="O14" s="13">
        <f t="shared" si="0"/>
        <v>12</v>
      </c>
      <c r="P14" s="50">
        <f t="shared" si="2"/>
        <v>5871</v>
      </c>
    </row>
    <row r="15" spans="1:19" ht="18" customHeight="1" thickBot="1" x14ac:dyDescent="0.35">
      <c r="A15" s="46">
        <v>10</v>
      </c>
      <c r="B15" s="13">
        <v>1632</v>
      </c>
      <c r="C15" s="13">
        <v>8</v>
      </c>
      <c r="D15" s="13">
        <v>1015</v>
      </c>
      <c r="E15" s="13">
        <v>272</v>
      </c>
      <c r="F15" s="13">
        <v>225</v>
      </c>
      <c r="G15" s="13">
        <v>256</v>
      </c>
      <c r="H15" s="47">
        <f t="shared" si="1"/>
        <v>3408</v>
      </c>
      <c r="I15" s="13">
        <v>0</v>
      </c>
      <c r="J15" s="17"/>
      <c r="K15" s="13">
        <v>10</v>
      </c>
      <c r="L15" s="13">
        <v>3</v>
      </c>
      <c r="M15" s="13">
        <v>17</v>
      </c>
      <c r="N15" s="13">
        <v>0</v>
      </c>
      <c r="O15" s="13">
        <f t="shared" si="0"/>
        <v>20</v>
      </c>
      <c r="P15" s="45">
        <f t="shared" si="2"/>
        <v>5871</v>
      </c>
    </row>
    <row r="16" spans="1:19" ht="18" customHeight="1" thickBot="1" x14ac:dyDescent="0.35">
      <c r="A16" s="46">
        <v>11</v>
      </c>
      <c r="B16" s="13">
        <f>1811+18</f>
        <v>1829</v>
      </c>
      <c r="C16" s="13">
        <v>8</v>
      </c>
      <c r="D16" s="13">
        <v>992</v>
      </c>
      <c r="E16" s="13">
        <v>240</v>
      </c>
      <c r="F16" s="13">
        <v>215</v>
      </c>
      <c r="G16" s="13">
        <v>246</v>
      </c>
      <c r="H16" s="47">
        <f t="shared" si="1"/>
        <v>3530</v>
      </c>
      <c r="I16" s="13">
        <v>0</v>
      </c>
      <c r="J16" s="17"/>
      <c r="K16" s="13">
        <v>11</v>
      </c>
      <c r="L16" s="13">
        <v>2</v>
      </c>
      <c r="M16" s="13">
        <v>7</v>
      </c>
      <c r="N16" s="13">
        <v>2</v>
      </c>
      <c r="O16" s="13">
        <f t="shared" si="0"/>
        <v>11</v>
      </c>
      <c r="P16" s="45">
        <f t="shared" si="2"/>
        <v>5871</v>
      </c>
      <c r="Q16" s="38"/>
    </row>
    <row r="17" spans="1:26" ht="18" customHeight="1" thickBot="1" x14ac:dyDescent="0.35">
      <c r="A17" s="46">
        <v>12</v>
      </c>
      <c r="B17" s="13">
        <f>2395+19</f>
        <v>2414</v>
      </c>
      <c r="C17" s="13">
        <v>23</v>
      </c>
      <c r="D17" s="13">
        <v>982</v>
      </c>
      <c r="E17" s="13">
        <v>195</v>
      </c>
      <c r="F17" s="13">
        <v>207</v>
      </c>
      <c r="G17" s="13">
        <v>227</v>
      </c>
      <c r="H17" s="47">
        <f t="shared" si="1"/>
        <v>4048</v>
      </c>
      <c r="I17" s="13">
        <v>0</v>
      </c>
      <c r="J17" s="17"/>
      <c r="K17" s="13">
        <v>12</v>
      </c>
      <c r="L17" s="13">
        <v>1</v>
      </c>
      <c r="M17" s="13">
        <v>6</v>
      </c>
      <c r="N17" s="13">
        <v>0</v>
      </c>
      <c r="O17" s="13">
        <f t="shared" si="0"/>
        <v>7</v>
      </c>
      <c r="P17" s="45">
        <f t="shared" si="2"/>
        <v>5871</v>
      </c>
    </row>
    <row r="18" spans="1:26" ht="18" customHeight="1" thickBot="1" x14ac:dyDescent="0.35">
      <c r="A18" s="46">
        <v>13</v>
      </c>
      <c r="B18" s="13">
        <f>2840+12</f>
        <v>2852</v>
      </c>
      <c r="C18" s="13">
        <v>7</v>
      </c>
      <c r="D18" s="13">
        <v>859</v>
      </c>
      <c r="E18" s="13">
        <v>161</v>
      </c>
      <c r="F18" s="13">
        <v>218</v>
      </c>
      <c r="G18" s="13">
        <v>228</v>
      </c>
      <c r="H18" s="47">
        <f t="shared" si="1"/>
        <v>4325</v>
      </c>
      <c r="I18" s="13">
        <v>0</v>
      </c>
      <c r="J18" s="17"/>
      <c r="K18" s="13">
        <v>13</v>
      </c>
      <c r="L18" s="13">
        <v>3</v>
      </c>
      <c r="M18" s="13">
        <v>2</v>
      </c>
      <c r="N18" s="13">
        <v>2</v>
      </c>
      <c r="O18" s="13">
        <f t="shared" si="0"/>
        <v>7</v>
      </c>
      <c r="P18" s="45">
        <f t="shared" si="2"/>
        <v>5871</v>
      </c>
    </row>
    <row r="19" spans="1:26" ht="18" customHeight="1" thickBot="1" x14ac:dyDescent="0.35">
      <c r="A19" s="46">
        <v>14</v>
      </c>
      <c r="B19" s="13">
        <f>3749+6</f>
        <v>3755</v>
      </c>
      <c r="C19" s="13">
        <v>9</v>
      </c>
      <c r="D19" s="13">
        <v>651</v>
      </c>
      <c r="E19" s="13">
        <v>95</v>
      </c>
      <c r="F19" s="13">
        <v>126</v>
      </c>
      <c r="G19" s="13">
        <v>143</v>
      </c>
      <c r="H19" s="47">
        <f t="shared" si="1"/>
        <v>4779</v>
      </c>
      <c r="I19" s="13">
        <v>0</v>
      </c>
      <c r="J19" s="17"/>
      <c r="K19" s="13">
        <v>14</v>
      </c>
      <c r="L19" s="13">
        <v>1</v>
      </c>
      <c r="M19" s="13">
        <v>8</v>
      </c>
      <c r="N19" s="13">
        <v>1</v>
      </c>
      <c r="O19" s="13">
        <f t="shared" si="0"/>
        <v>10</v>
      </c>
      <c r="P19" s="45">
        <f t="shared" si="2"/>
        <v>5871</v>
      </c>
    </row>
    <row r="20" spans="1:26" ht="18" customHeight="1" thickBot="1" x14ac:dyDescent="0.35">
      <c r="A20" s="46">
        <v>15</v>
      </c>
      <c r="B20" s="13">
        <v>1531</v>
      </c>
      <c r="C20" s="13">
        <v>11</v>
      </c>
      <c r="D20" s="13">
        <v>805</v>
      </c>
      <c r="E20" s="13">
        <v>214</v>
      </c>
      <c r="F20" s="13">
        <v>190</v>
      </c>
      <c r="G20" s="13">
        <v>242</v>
      </c>
      <c r="H20" s="47">
        <f t="shared" si="1"/>
        <v>2993</v>
      </c>
      <c r="I20" s="13">
        <v>0</v>
      </c>
      <c r="J20" s="17"/>
      <c r="K20" s="13">
        <v>15</v>
      </c>
      <c r="L20" s="13">
        <v>1</v>
      </c>
      <c r="M20" s="13">
        <v>10</v>
      </c>
      <c r="N20" s="13">
        <v>1</v>
      </c>
      <c r="O20" s="13">
        <f t="shared" si="0"/>
        <v>12</v>
      </c>
      <c r="P20" s="45">
        <f t="shared" si="2"/>
        <v>5871</v>
      </c>
    </row>
    <row r="21" spans="1:26" ht="18" customHeight="1" thickBot="1" x14ac:dyDescent="0.35">
      <c r="A21" s="46">
        <v>16</v>
      </c>
      <c r="B21" s="13">
        <f>1534+16</f>
        <v>1550</v>
      </c>
      <c r="C21" s="13">
        <v>11</v>
      </c>
      <c r="D21" s="13">
        <v>1007</v>
      </c>
      <c r="E21" s="13">
        <v>206</v>
      </c>
      <c r="F21" s="13">
        <v>177</v>
      </c>
      <c r="G21" s="13">
        <v>226</v>
      </c>
      <c r="H21" s="47">
        <f t="shared" si="1"/>
        <v>3177</v>
      </c>
      <c r="I21" s="13">
        <v>0</v>
      </c>
      <c r="J21" s="17"/>
      <c r="K21" s="13">
        <v>16</v>
      </c>
      <c r="L21" s="13">
        <v>0</v>
      </c>
      <c r="M21" s="13">
        <v>10</v>
      </c>
      <c r="N21" s="13">
        <v>2</v>
      </c>
      <c r="O21" s="13">
        <f t="shared" si="0"/>
        <v>12</v>
      </c>
      <c r="P21" s="45">
        <f>+P20</f>
        <v>5871</v>
      </c>
    </row>
    <row r="22" spans="1:26" ht="18" customHeight="1" thickBot="1" x14ac:dyDescent="0.35">
      <c r="A22" s="46">
        <v>17</v>
      </c>
      <c r="B22" s="13">
        <v>1727</v>
      </c>
      <c r="C22" s="13">
        <v>8</v>
      </c>
      <c r="D22" s="13">
        <v>1015</v>
      </c>
      <c r="E22" s="13">
        <v>224</v>
      </c>
      <c r="F22" s="13">
        <v>168</v>
      </c>
      <c r="G22" s="13">
        <v>220</v>
      </c>
      <c r="H22" s="47">
        <f>SUM(B22:G22)</f>
        <v>3362</v>
      </c>
      <c r="I22" s="13">
        <v>0</v>
      </c>
      <c r="J22" s="17"/>
      <c r="K22" s="13">
        <v>17</v>
      </c>
      <c r="L22" s="13">
        <v>0</v>
      </c>
      <c r="M22" s="13">
        <v>5</v>
      </c>
      <c r="N22" s="13">
        <v>1</v>
      </c>
      <c r="O22" s="13">
        <f t="shared" si="0"/>
        <v>6</v>
      </c>
      <c r="P22" s="45">
        <f t="shared" si="2"/>
        <v>5871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8" customHeight="1" thickBot="1" x14ac:dyDescent="0.35">
      <c r="A23" s="46">
        <v>18</v>
      </c>
      <c r="B23" s="13">
        <f>1681+25</f>
        <v>1706</v>
      </c>
      <c r="C23" s="13">
        <v>8</v>
      </c>
      <c r="D23" s="13">
        <v>935</v>
      </c>
      <c r="E23" s="13">
        <v>268</v>
      </c>
      <c r="F23" s="13">
        <v>153</v>
      </c>
      <c r="G23" s="13">
        <v>234</v>
      </c>
      <c r="H23" s="47">
        <f t="shared" si="1"/>
        <v>3304</v>
      </c>
      <c r="I23" s="13">
        <v>0</v>
      </c>
      <c r="J23" s="17"/>
      <c r="K23" s="13">
        <v>18</v>
      </c>
      <c r="L23" s="13">
        <v>0</v>
      </c>
      <c r="M23" s="13">
        <v>24</v>
      </c>
      <c r="N23" s="13">
        <v>1</v>
      </c>
      <c r="O23" s="13">
        <f t="shared" si="0"/>
        <v>25</v>
      </c>
      <c r="P23" s="45">
        <f t="shared" si="2"/>
        <v>5871</v>
      </c>
    </row>
    <row r="24" spans="1:26" s="38" customFormat="1" ht="18" customHeight="1" thickBot="1" x14ac:dyDescent="0.35">
      <c r="A24" s="46">
        <v>19</v>
      </c>
      <c r="B24" s="13">
        <f>2369+21</f>
        <v>2390</v>
      </c>
      <c r="C24" s="13">
        <v>10</v>
      </c>
      <c r="D24" s="13">
        <v>1026</v>
      </c>
      <c r="E24" s="13">
        <v>221</v>
      </c>
      <c r="F24" s="13">
        <v>191</v>
      </c>
      <c r="G24" s="13">
        <v>224</v>
      </c>
      <c r="H24" s="47">
        <f t="shared" si="1"/>
        <v>4062</v>
      </c>
      <c r="I24" s="13">
        <v>0</v>
      </c>
      <c r="J24" s="17"/>
      <c r="K24" s="13">
        <v>19</v>
      </c>
      <c r="L24" s="13">
        <v>1</v>
      </c>
      <c r="M24" s="13">
        <v>23</v>
      </c>
      <c r="N24" s="13">
        <v>1</v>
      </c>
      <c r="O24" s="13">
        <f t="shared" si="0"/>
        <v>25</v>
      </c>
      <c r="P24" s="45">
        <f t="shared" si="2"/>
        <v>5871</v>
      </c>
    </row>
    <row r="25" spans="1:26" ht="18" customHeight="1" thickBot="1" x14ac:dyDescent="0.35">
      <c r="A25" s="46">
        <v>20</v>
      </c>
      <c r="B25" s="13">
        <f>2790+11</f>
        <v>2801</v>
      </c>
      <c r="C25" s="13">
        <v>13</v>
      </c>
      <c r="D25" s="13">
        <v>862</v>
      </c>
      <c r="E25" s="13">
        <v>166</v>
      </c>
      <c r="F25" s="13">
        <v>260</v>
      </c>
      <c r="G25" s="13">
        <v>209</v>
      </c>
      <c r="H25" s="47">
        <f t="shared" si="1"/>
        <v>4311</v>
      </c>
      <c r="I25" s="13">
        <v>0</v>
      </c>
      <c r="J25" s="17"/>
      <c r="K25" s="13">
        <v>20</v>
      </c>
      <c r="L25" s="13">
        <v>1</v>
      </c>
      <c r="M25" s="13">
        <v>2</v>
      </c>
      <c r="N25" s="13">
        <v>0</v>
      </c>
      <c r="O25" s="13">
        <f t="shared" si="0"/>
        <v>3</v>
      </c>
      <c r="P25" s="45">
        <f t="shared" si="2"/>
        <v>5871</v>
      </c>
    </row>
    <row r="26" spans="1:26" ht="18" customHeight="1" thickBot="1" x14ac:dyDescent="0.35">
      <c r="A26" s="46">
        <v>21</v>
      </c>
      <c r="B26" s="13">
        <f>3824+12</f>
        <v>3836</v>
      </c>
      <c r="C26" s="13">
        <v>15</v>
      </c>
      <c r="D26" s="13">
        <v>644</v>
      </c>
      <c r="E26" s="13">
        <v>89</v>
      </c>
      <c r="F26" s="13">
        <v>125</v>
      </c>
      <c r="G26" s="13">
        <v>144</v>
      </c>
      <c r="H26" s="47">
        <f t="shared" si="1"/>
        <v>4853</v>
      </c>
      <c r="I26" s="13">
        <v>0</v>
      </c>
      <c r="J26" s="17"/>
      <c r="K26" s="13">
        <v>21</v>
      </c>
      <c r="L26" s="13">
        <v>0</v>
      </c>
      <c r="M26" s="13">
        <v>0</v>
      </c>
      <c r="N26" s="13">
        <v>0</v>
      </c>
      <c r="O26" s="13">
        <f t="shared" si="0"/>
        <v>0</v>
      </c>
      <c r="P26" s="45">
        <f t="shared" si="2"/>
        <v>5871</v>
      </c>
    </row>
    <row r="27" spans="1:26" ht="18" customHeight="1" thickBot="1" x14ac:dyDescent="0.35">
      <c r="A27" s="46">
        <v>22</v>
      </c>
      <c r="B27" s="13">
        <f>1604+13</f>
        <v>1617</v>
      </c>
      <c r="C27" s="13">
        <v>12</v>
      </c>
      <c r="D27" s="13">
        <v>920</v>
      </c>
      <c r="E27" s="13">
        <v>206</v>
      </c>
      <c r="F27" s="13">
        <v>189</v>
      </c>
      <c r="G27" s="13">
        <v>238</v>
      </c>
      <c r="H27" s="47">
        <f t="shared" si="1"/>
        <v>3182</v>
      </c>
      <c r="I27" s="13">
        <v>0</v>
      </c>
      <c r="J27" s="17"/>
      <c r="K27" s="13">
        <v>22</v>
      </c>
      <c r="L27" s="13">
        <v>0</v>
      </c>
      <c r="M27" s="13">
        <v>10</v>
      </c>
      <c r="N27" s="13">
        <v>1</v>
      </c>
      <c r="O27" s="13">
        <f t="shared" si="0"/>
        <v>11</v>
      </c>
      <c r="P27" s="45">
        <f t="shared" si="2"/>
        <v>5871</v>
      </c>
    </row>
    <row r="28" spans="1:26" ht="18" customHeight="1" thickBot="1" x14ac:dyDescent="0.35">
      <c r="A28" s="46">
        <v>23</v>
      </c>
      <c r="B28" s="13">
        <f>1616+16</f>
        <v>1632</v>
      </c>
      <c r="C28" s="13">
        <v>8</v>
      </c>
      <c r="D28" s="13">
        <v>952</v>
      </c>
      <c r="E28" s="13">
        <v>225</v>
      </c>
      <c r="F28" s="13">
        <v>218</v>
      </c>
      <c r="G28" s="13">
        <v>236</v>
      </c>
      <c r="H28" s="47">
        <f t="shared" si="1"/>
        <v>3271</v>
      </c>
      <c r="I28" s="13">
        <v>0</v>
      </c>
      <c r="J28" s="17"/>
      <c r="K28" s="13">
        <v>23</v>
      </c>
      <c r="L28" s="13">
        <v>1</v>
      </c>
      <c r="M28" s="13">
        <v>30</v>
      </c>
      <c r="N28" s="13">
        <v>2</v>
      </c>
      <c r="O28" s="13">
        <f t="shared" si="0"/>
        <v>33</v>
      </c>
      <c r="P28" s="45">
        <f t="shared" si="2"/>
        <v>5871</v>
      </c>
    </row>
    <row r="29" spans="1:26" ht="18" customHeight="1" thickBot="1" x14ac:dyDescent="0.35">
      <c r="A29" s="46">
        <v>24</v>
      </c>
      <c r="B29" s="13">
        <f>1565+23</f>
        <v>1588</v>
      </c>
      <c r="C29" s="13">
        <v>15</v>
      </c>
      <c r="D29" s="13">
        <v>999</v>
      </c>
      <c r="E29" s="13">
        <v>168</v>
      </c>
      <c r="F29" s="13">
        <v>209</v>
      </c>
      <c r="G29" s="13">
        <v>260</v>
      </c>
      <c r="H29" s="47">
        <f t="shared" si="1"/>
        <v>3239</v>
      </c>
      <c r="I29" s="13">
        <v>0</v>
      </c>
      <c r="J29" s="17"/>
      <c r="K29" s="13">
        <v>24</v>
      </c>
      <c r="L29" s="13">
        <v>0</v>
      </c>
      <c r="M29" s="13">
        <v>32</v>
      </c>
      <c r="N29" s="13">
        <v>2</v>
      </c>
      <c r="O29" s="13">
        <f t="shared" si="0"/>
        <v>34</v>
      </c>
      <c r="P29" s="45">
        <f t="shared" si="2"/>
        <v>5871</v>
      </c>
    </row>
    <row r="30" spans="1:26" s="38" customFormat="1" ht="18" customHeight="1" thickBot="1" x14ac:dyDescent="0.35">
      <c r="A30" s="46">
        <v>25</v>
      </c>
      <c r="B30" s="13">
        <f>1886+15</f>
        <v>1901</v>
      </c>
      <c r="C30" s="13">
        <v>10</v>
      </c>
      <c r="D30" s="13">
        <v>1005</v>
      </c>
      <c r="E30" s="13">
        <v>229</v>
      </c>
      <c r="F30" s="13">
        <v>200</v>
      </c>
      <c r="G30" s="13">
        <v>234</v>
      </c>
      <c r="H30" s="47">
        <f t="shared" si="1"/>
        <v>3579</v>
      </c>
      <c r="I30" s="13">
        <v>0</v>
      </c>
      <c r="J30" s="17"/>
      <c r="K30" s="13">
        <v>25</v>
      </c>
      <c r="L30" s="13">
        <v>0</v>
      </c>
      <c r="M30" s="13">
        <v>24</v>
      </c>
      <c r="N30" s="13">
        <v>2</v>
      </c>
      <c r="O30" s="13">
        <f t="shared" si="0"/>
        <v>26</v>
      </c>
      <c r="P30" s="45">
        <f t="shared" si="2"/>
        <v>5871</v>
      </c>
    </row>
    <row r="31" spans="1:26" ht="18" customHeight="1" thickBot="1" x14ac:dyDescent="0.35">
      <c r="A31" s="46">
        <v>26</v>
      </c>
      <c r="B31" s="13">
        <f>2723+18</f>
        <v>2741</v>
      </c>
      <c r="C31" s="13">
        <v>12</v>
      </c>
      <c r="D31" s="13">
        <v>1036</v>
      </c>
      <c r="E31" s="13">
        <v>217</v>
      </c>
      <c r="F31" s="13">
        <v>178</v>
      </c>
      <c r="G31" s="13">
        <v>218</v>
      </c>
      <c r="H31" s="47">
        <f t="shared" si="1"/>
        <v>4402</v>
      </c>
      <c r="I31" s="13">
        <v>0</v>
      </c>
      <c r="J31" s="17"/>
      <c r="K31" s="13">
        <v>26</v>
      </c>
      <c r="L31" s="13">
        <v>0</v>
      </c>
      <c r="M31" s="13">
        <v>29</v>
      </c>
      <c r="N31" s="13">
        <v>2</v>
      </c>
      <c r="O31" s="13">
        <f t="shared" si="0"/>
        <v>31</v>
      </c>
      <c r="P31" s="45">
        <f t="shared" si="2"/>
        <v>5871</v>
      </c>
    </row>
    <row r="32" spans="1:26" ht="18" customHeight="1" thickBot="1" x14ac:dyDescent="0.35">
      <c r="A32" s="46">
        <v>27</v>
      </c>
      <c r="B32" s="13">
        <f>2915+11</f>
        <v>2926</v>
      </c>
      <c r="C32" s="13">
        <v>14</v>
      </c>
      <c r="D32" s="13">
        <v>881</v>
      </c>
      <c r="E32" s="13">
        <v>154</v>
      </c>
      <c r="F32" s="13">
        <v>187</v>
      </c>
      <c r="G32" s="13">
        <v>235</v>
      </c>
      <c r="H32" s="47">
        <f t="shared" si="1"/>
        <v>4397</v>
      </c>
      <c r="I32" s="13">
        <v>0</v>
      </c>
      <c r="J32" s="17"/>
      <c r="K32" s="13">
        <v>27</v>
      </c>
      <c r="L32" s="13">
        <v>0</v>
      </c>
      <c r="M32" s="13">
        <v>9</v>
      </c>
      <c r="N32" s="13">
        <v>1</v>
      </c>
      <c r="O32" s="13">
        <f t="shared" si="0"/>
        <v>10</v>
      </c>
      <c r="P32" s="45">
        <f t="shared" si="2"/>
        <v>5871</v>
      </c>
    </row>
    <row r="33" spans="1:17" ht="15.75" customHeight="1" thickBot="1" x14ac:dyDescent="0.35">
      <c r="A33" s="46">
        <v>28</v>
      </c>
      <c r="B33" s="13">
        <f>3919+13</f>
        <v>3932</v>
      </c>
      <c r="C33" s="13">
        <v>9</v>
      </c>
      <c r="D33" s="13">
        <v>641</v>
      </c>
      <c r="E33" s="13">
        <v>88</v>
      </c>
      <c r="F33" s="13">
        <v>130</v>
      </c>
      <c r="G33" s="13">
        <v>141</v>
      </c>
      <c r="H33" s="47">
        <f t="shared" si="1"/>
        <v>4941</v>
      </c>
      <c r="I33" s="13">
        <v>0</v>
      </c>
      <c r="J33" s="17"/>
      <c r="K33" s="13">
        <v>28</v>
      </c>
      <c r="L33" s="13">
        <v>0</v>
      </c>
      <c r="M33" s="13">
        <v>0</v>
      </c>
      <c r="N33" s="13">
        <v>1</v>
      </c>
      <c r="O33" s="13">
        <f t="shared" si="0"/>
        <v>1</v>
      </c>
      <c r="P33" s="45">
        <f t="shared" si="2"/>
        <v>5871</v>
      </c>
    </row>
    <row r="34" spans="1:17" s="38" customFormat="1" ht="17.25" customHeight="1" thickBot="1" x14ac:dyDescent="0.35">
      <c r="A34" s="52">
        <v>29</v>
      </c>
      <c r="B34" s="13">
        <f>1621+21</f>
        <v>1642</v>
      </c>
      <c r="C34" s="13">
        <v>15</v>
      </c>
      <c r="D34" s="13">
        <v>922</v>
      </c>
      <c r="E34" s="13">
        <v>267</v>
      </c>
      <c r="F34" s="13">
        <v>193</v>
      </c>
      <c r="G34" s="13">
        <v>206</v>
      </c>
      <c r="H34" s="47">
        <f t="shared" si="1"/>
        <v>3245</v>
      </c>
      <c r="I34" s="53">
        <v>0</v>
      </c>
      <c r="J34" s="54"/>
      <c r="K34" s="13">
        <v>29</v>
      </c>
      <c r="L34" s="13">
        <v>0</v>
      </c>
      <c r="M34" s="13">
        <v>38</v>
      </c>
      <c r="N34" s="13">
        <v>6</v>
      </c>
      <c r="O34" s="13">
        <f>SUM(L34:N34)</f>
        <v>44</v>
      </c>
      <c r="P34" s="45">
        <f t="shared" si="2"/>
        <v>5871</v>
      </c>
    </row>
    <row r="35" spans="1:17" s="38" customFormat="1" ht="17.25" customHeight="1" thickBot="1" x14ac:dyDescent="0.35">
      <c r="A35" s="52">
        <v>30</v>
      </c>
      <c r="B35" s="13">
        <f>1907+13</f>
        <v>1920</v>
      </c>
      <c r="C35" s="13">
        <v>11</v>
      </c>
      <c r="D35" s="13">
        <v>881</v>
      </c>
      <c r="E35" s="13">
        <v>161</v>
      </c>
      <c r="F35" s="13">
        <v>186</v>
      </c>
      <c r="G35" s="13">
        <v>182</v>
      </c>
      <c r="H35" s="47">
        <f t="shared" si="1"/>
        <v>3341</v>
      </c>
      <c r="I35" s="53">
        <v>0</v>
      </c>
      <c r="J35" s="54"/>
      <c r="K35" s="13">
        <v>30</v>
      </c>
      <c r="L35" s="13">
        <v>0</v>
      </c>
      <c r="M35" s="13">
        <v>24</v>
      </c>
      <c r="N35" s="13">
        <v>0</v>
      </c>
      <c r="O35" s="13">
        <f>SUM(L35:N35)</f>
        <v>24</v>
      </c>
      <c r="P35" s="45">
        <f t="shared" si="2"/>
        <v>5871</v>
      </c>
    </row>
    <row r="36" spans="1:17" s="38" customFormat="1" ht="17.25" hidden="1" customHeight="1" x14ac:dyDescent="0.3">
      <c r="A36" s="52">
        <v>31</v>
      </c>
      <c r="B36" s="13"/>
      <c r="C36" s="13"/>
      <c r="D36" s="13"/>
      <c r="E36" s="13"/>
      <c r="F36" s="13"/>
      <c r="G36" s="13"/>
      <c r="H36" s="47">
        <f t="shared" si="1"/>
        <v>0</v>
      </c>
      <c r="I36" s="53">
        <v>0</v>
      </c>
      <c r="J36" s="54"/>
      <c r="K36" s="13">
        <v>31</v>
      </c>
      <c r="L36" s="13"/>
      <c r="M36" s="13"/>
      <c r="N36" s="13"/>
      <c r="O36" s="13">
        <f t="shared" ref="O36" si="3">SUM(L36:N36)</f>
        <v>0</v>
      </c>
      <c r="P36" s="45">
        <f t="shared" si="2"/>
        <v>5871</v>
      </c>
    </row>
    <row r="37" spans="1:17" s="51" customFormat="1" ht="18" customHeight="1" thickBot="1" x14ac:dyDescent="0.35">
      <c r="A37" s="49" t="s">
        <v>18</v>
      </c>
      <c r="B37" s="67">
        <f>SUM(B6:B36)</f>
        <v>67674</v>
      </c>
      <c r="C37" s="67">
        <f t="shared" ref="C37:H37" si="4">SUM(C6:C36)</f>
        <v>332</v>
      </c>
      <c r="D37" s="67">
        <f t="shared" si="4"/>
        <v>27908</v>
      </c>
      <c r="E37" s="67">
        <f t="shared" si="4"/>
        <v>5689</v>
      </c>
      <c r="F37" s="67">
        <f t="shared" si="4"/>
        <v>5683</v>
      </c>
      <c r="G37" s="67">
        <f t="shared" si="4"/>
        <v>6604</v>
      </c>
      <c r="H37" s="67">
        <f t="shared" si="4"/>
        <v>113890</v>
      </c>
      <c r="I37" s="67">
        <f>SUM(I6:I33)</f>
        <v>0</v>
      </c>
      <c r="J37" s="54"/>
      <c r="K37" s="49" t="s">
        <v>19</v>
      </c>
      <c r="L37" s="68">
        <f>SUM(L6:L36)</f>
        <v>20</v>
      </c>
      <c r="M37" s="68">
        <f t="shared" ref="M37:O37" si="5">SUM(M6:M36)</f>
        <v>381</v>
      </c>
      <c r="N37" s="68">
        <f t="shared" si="5"/>
        <v>43</v>
      </c>
      <c r="O37" s="68">
        <f t="shared" si="5"/>
        <v>444</v>
      </c>
      <c r="P37" s="69"/>
      <c r="Q37" s="69"/>
    </row>
    <row r="38" spans="1:17" s="51" customFormat="1" ht="18" customHeight="1" thickBot="1" x14ac:dyDescent="0.35">
      <c r="A38" s="49" t="s">
        <v>19</v>
      </c>
      <c r="B38" s="110">
        <f>+B37+C37</f>
        <v>68006</v>
      </c>
      <c r="C38" s="111"/>
      <c r="D38" s="68">
        <f t="shared" ref="D38:I38" si="6">+D37</f>
        <v>27908</v>
      </c>
      <c r="E38" s="68">
        <f t="shared" si="6"/>
        <v>5689</v>
      </c>
      <c r="F38" s="68">
        <f t="shared" si="6"/>
        <v>5683</v>
      </c>
      <c r="G38" s="68">
        <f t="shared" si="6"/>
        <v>6604</v>
      </c>
      <c r="H38" s="68">
        <f t="shared" si="6"/>
        <v>113890</v>
      </c>
      <c r="I38" s="68">
        <f t="shared" si="6"/>
        <v>0</v>
      </c>
      <c r="J38" s="54"/>
      <c r="K38" s="49" t="s">
        <v>20</v>
      </c>
      <c r="L38" s="55" t="s">
        <v>21</v>
      </c>
      <c r="M38" s="55" t="s">
        <v>22</v>
      </c>
      <c r="N38" s="55" t="s">
        <v>21</v>
      </c>
      <c r="O38" s="55" t="s">
        <v>22</v>
      </c>
      <c r="P38" s="69"/>
      <c r="Q38" s="69"/>
    </row>
  </sheetData>
  <mergeCells count="12">
    <mergeCell ref="N4:N5"/>
    <mergeCell ref="O4:O5"/>
    <mergeCell ref="B38:C38"/>
    <mergeCell ref="A1:O1"/>
    <mergeCell ref="A2:O2"/>
    <mergeCell ref="A3:O3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9879D-E44B-43DC-B24A-E2E11BD2CA23}">
  <dimension ref="A1:Z38"/>
  <sheetViews>
    <sheetView workbookViewId="0">
      <selection activeCell="H8" sqref="H8"/>
    </sheetView>
  </sheetViews>
  <sheetFormatPr baseColWidth="10" defaultColWidth="11.44140625" defaultRowHeight="14.4" x14ac:dyDescent="0.3"/>
  <cols>
    <col min="1" max="1" width="13.5546875" customWidth="1"/>
    <col min="2" max="2" width="11.33203125" customWidth="1"/>
    <col min="3" max="3" width="8.5546875" customWidth="1"/>
    <col min="4" max="4" width="18.6640625" customWidth="1"/>
    <col min="5" max="5" width="13.6640625" customWidth="1"/>
    <col min="6" max="6" width="13.33203125" customWidth="1"/>
    <col min="7" max="7" width="13.109375" customWidth="1"/>
    <col min="8" max="8" width="17.109375" customWidth="1"/>
    <col min="9" max="9" width="14.44140625" bestFit="1" customWidth="1"/>
    <col min="10" max="10" width="3.88671875" customWidth="1"/>
    <col min="11" max="11" width="10.6640625" customWidth="1"/>
    <col min="12" max="12" width="14.88671875" customWidth="1"/>
    <col min="13" max="13" width="15.88671875" customWidth="1"/>
    <col min="14" max="14" width="10.109375" customWidth="1"/>
    <col min="15" max="15" width="9.88671875" customWidth="1"/>
  </cols>
  <sheetData>
    <row r="1" spans="1:19" ht="15.6" x14ac:dyDescent="0.3">
      <c r="A1" s="100" t="s">
        <v>23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19" ht="15.6" x14ac:dyDescent="0.3">
      <c r="A2" s="100" t="s">
        <v>25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</row>
    <row r="3" spans="1:19" ht="16.2" thickBot="1" x14ac:dyDescent="0.35">
      <c r="A3" s="101" t="s">
        <v>29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</row>
    <row r="4" spans="1:19" s="51" customFormat="1" ht="78" customHeight="1" thickBot="1" x14ac:dyDescent="0.35">
      <c r="A4" s="64" t="s">
        <v>0</v>
      </c>
      <c r="B4" s="112" t="s">
        <v>1</v>
      </c>
      <c r="C4" s="113"/>
      <c r="D4" s="65" t="s">
        <v>2</v>
      </c>
      <c r="E4" s="66" t="s">
        <v>3</v>
      </c>
      <c r="F4" s="66" t="s">
        <v>4</v>
      </c>
      <c r="G4" s="66" t="s">
        <v>5</v>
      </c>
      <c r="H4" s="114" t="s">
        <v>6</v>
      </c>
      <c r="I4" s="108" t="s">
        <v>7</v>
      </c>
      <c r="J4" s="39"/>
      <c r="K4" s="116" t="s">
        <v>0</v>
      </c>
      <c r="L4" s="108" t="s">
        <v>8</v>
      </c>
      <c r="M4" s="108" t="s">
        <v>9</v>
      </c>
      <c r="N4" s="108" t="s">
        <v>10</v>
      </c>
      <c r="O4" s="108" t="s">
        <v>11</v>
      </c>
    </row>
    <row r="5" spans="1:19" s="51" customFormat="1" ht="18" customHeight="1" thickBot="1" x14ac:dyDescent="0.35">
      <c r="B5" s="49" t="s">
        <v>12</v>
      </c>
      <c r="C5" s="49" t="s">
        <v>13</v>
      </c>
      <c r="D5" s="49" t="s">
        <v>14</v>
      </c>
      <c r="E5" s="49" t="s">
        <v>15</v>
      </c>
      <c r="F5" s="49" t="s">
        <v>16</v>
      </c>
      <c r="G5" s="49" t="s">
        <v>17</v>
      </c>
      <c r="H5" s="115"/>
      <c r="I5" s="109"/>
      <c r="J5" s="40"/>
      <c r="K5" s="117"/>
      <c r="L5" s="109"/>
      <c r="M5" s="109"/>
      <c r="N5" s="109"/>
      <c r="O5" s="109"/>
    </row>
    <row r="6" spans="1:19" ht="18" customHeight="1" thickBot="1" x14ac:dyDescent="0.35">
      <c r="A6" s="70">
        <v>1</v>
      </c>
      <c r="B6" s="71">
        <f>2812+8</f>
        <v>2820</v>
      </c>
      <c r="C6" s="71">
        <v>9</v>
      </c>
      <c r="D6" s="71">
        <v>762</v>
      </c>
      <c r="E6" s="71">
        <v>89</v>
      </c>
      <c r="F6" s="71">
        <v>125</v>
      </c>
      <c r="G6" s="71">
        <v>158</v>
      </c>
      <c r="H6" s="72">
        <f>SUM(B6:G6)</f>
        <v>3963</v>
      </c>
      <c r="I6" s="73">
        <v>0</v>
      </c>
      <c r="J6" s="74"/>
      <c r="K6" s="75">
        <v>1</v>
      </c>
      <c r="L6" s="71">
        <v>0</v>
      </c>
      <c r="M6" s="71">
        <v>4</v>
      </c>
      <c r="N6" s="71">
        <v>2</v>
      </c>
      <c r="O6" s="71">
        <f>SUM(L6:N6)</f>
        <v>6</v>
      </c>
      <c r="P6" s="45">
        <v>5871</v>
      </c>
    </row>
    <row r="7" spans="1:19" ht="18" customHeight="1" thickBot="1" x14ac:dyDescent="0.35">
      <c r="A7" s="76">
        <v>2</v>
      </c>
      <c r="B7" s="27">
        <f>1582+24</f>
        <v>1606</v>
      </c>
      <c r="C7" s="27">
        <v>13</v>
      </c>
      <c r="D7" s="27">
        <v>905</v>
      </c>
      <c r="E7" s="27">
        <v>174</v>
      </c>
      <c r="F7" s="27">
        <v>170</v>
      </c>
      <c r="G7" s="27">
        <v>173</v>
      </c>
      <c r="H7" s="77">
        <f>SUM(B7:G7)</f>
        <v>3041</v>
      </c>
      <c r="I7" s="78">
        <v>0</v>
      </c>
      <c r="J7" s="74"/>
      <c r="K7" s="79">
        <v>2</v>
      </c>
      <c r="L7" s="27">
        <v>2</v>
      </c>
      <c r="M7" s="27">
        <v>40</v>
      </c>
      <c r="N7" s="27">
        <v>0</v>
      </c>
      <c r="O7" s="27">
        <f t="shared" ref="O7:O33" si="0">SUM(L7:N7)</f>
        <v>42</v>
      </c>
      <c r="P7" s="45">
        <f>+P6</f>
        <v>5871</v>
      </c>
    </row>
    <row r="8" spans="1:19" ht="18" customHeight="1" thickBot="1" x14ac:dyDescent="0.35">
      <c r="A8" s="76">
        <v>3</v>
      </c>
      <c r="B8" s="27">
        <f>2477+34</f>
        <v>2511</v>
      </c>
      <c r="C8" s="27">
        <v>14</v>
      </c>
      <c r="D8" s="27">
        <f>977+54</f>
        <v>1031</v>
      </c>
      <c r="E8" s="27">
        <v>202</v>
      </c>
      <c r="F8" s="27">
        <v>190</v>
      </c>
      <c r="G8" s="27">
        <v>186</v>
      </c>
      <c r="H8" s="77">
        <f t="shared" ref="H8:H36" si="1">SUM(B8:G8)</f>
        <v>4134</v>
      </c>
      <c r="I8" s="78">
        <v>0</v>
      </c>
      <c r="J8" s="74"/>
      <c r="K8" s="79">
        <v>3</v>
      </c>
      <c r="L8" s="27">
        <v>1</v>
      </c>
      <c r="M8" s="27">
        <v>25</v>
      </c>
      <c r="N8" s="27">
        <v>0</v>
      </c>
      <c r="O8" s="27">
        <f t="shared" si="0"/>
        <v>26</v>
      </c>
      <c r="P8" s="45">
        <f t="shared" ref="P8:P36" si="2">+P7</f>
        <v>5871</v>
      </c>
      <c r="S8" s="37"/>
    </row>
    <row r="9" spans="1:19" ht="18" customHeight="1" thickBot="1" x14ac:dyDescent="0.35">
      <c r="A9" s="76">
        <v>4</v>
      </c>
      <c r="B9" s="27">
        <f>2798+16</f>
        <v>2814</v>
      </c>
      <c r="C9" s="27">
        <v>13</v>
      </c>
      <c r="D9" s="27">
        <v>849</v>
      </c>
      <c r="E9" s="27">
        <v>152</v>
      </c>
      <c r="F9" s="27">
        <v>165</v>
      </c>
      <c r="G9" s="27">
        <v>177</v>
      </c>
      <c r="H9" s="77">
        <f t="shared" si="1"/>
        <v>4170</v>
      </c>
      <c r="I9" s="78">
        <v>0</v>
      </c>
      <c r="J9" s="74"/>
      <c r="K9" s="79">
        <v>4</v>
      </c>
      <c r="L9" s="27">
        <v>0</v>
      </c>
      <c r="M9" s="27">
        <v>21</v>
      </c>
      <c r="N9" s="27">
        <v>0</v>
      </c>
      <c r="O9" s="27">
        <f t="shared" si="0"/>
        <v>21</v>
      </c>
      <c r="P9" s="45">
        <f t="shared" si="2"/>
        <v>5871</v>
      </c>
    </row>
    <row r="10" spans="1:19" ht="18" customHeight="1" thickBot="1" x14ac:dyDescent="0.35">
      <c r="A10" s="76">
        <v>5</v>
      </c>
      <c r="B10" s="27">
        <f>3639+12</f>
        <v>3651</v>
      </c>
      <c r="C10" s="27">
        <v>14</v>
      </c>
      <c r="D10" s="27">
        <v>712</v>
      </c>
      <c r="E10" s="27">
        <v>87</v>
      </c>
      <c r="F10" s="27">
        <v>90</v>
      </c>
      <c r="G10" s="27">
        <v>126</v>
      </c>
      <c r="H10" s="77">
        <f t="shared" si="1"/>
        <v>4680</v>
      </c>
      <c r="I10" s="78">
        <v>0</v>
      </c>
      <c r="J10" s="74"/>
      <c r="K10" s="79">
        <v>5</v>
      </c>
      <c r="L10" s="27">
        <v>0</v>
      </c>
      <c r="M10" s="27">
        <v>5</v>
      </c>
      <c r="N10" s="27">
        <v>2</v>
      </c>
      <c r="O10" s="27">
        <f t="shared" si="0"/>
        <v>7</v>
      </c>
      <c r="P10" s="45">
        <f t="shared" si="2"/>
        <v>5871</v>
      </c>
    </row>
    <row r="11" spans="1:19" ht="18" customHeight="1" thickBot="1" x14ac:dyDescent="0.35">
      <c r="A11" s="76">
        <v>6</v>
      </c>
      <c r="B11" s="27">
        <f>1597+25</f>
        <v>1622</v>
      </c>
      <c r="C11" s="27">
        <v>14</v>
      </c>
      <c r="D11" s="27">
        <v>896</v>
      </c>
      <c r="E11" s="27">
        <v>184</v>
      </c>
      <c r="F11" s="27">
        <v>234</v>
      </c>
      <c r="G11" s="27">
        <v>236</v>
      </c>
      <c r="H11" s="77">
        <f t="shared" si="1"/>
        <v>3186</v>
      </c>
      <c r="I11" s="78">
        <v>0</v>
      </c>
      <c r="J11" s="74"/>
      <c r="K11" s="79">
        <v>6</v>
      </c>
      <c r="L11" s="27">
        <v>2</v>
      </c>
      <c r="M11" s="27">
        <v>28</v>
      </c>
      <c r="N11" s="27">
        <v>0</v>
      </c>
      <c r="O11" s="27">
        <f t="shared" si="0"/>
        <v>30</v>
      </c>
      <c r="P11" s="45">
        <f t="shared" si="2"/>
        <v>5871</v>
      </c>
    </row>
    <row r="12" spans="1:19" ht="18" customHeight="1" thickBot="1" x14ac:dyDescent="0.35">
      <c r="A12" s="76">
        <v>7</v>
      </c>
      <c r="B12" s="27">
        <f>1530+24</f>
        <v>1554</v>
      </c>
      <c r="C12" s="27">
        <v>9</v>
      </c>
      <c r="D12" s="27">
        <v>967</v>
      </c>
      <c r="E12" s="27">
        <v>196</v>
      </c>
      <c r="F12" s="27">
        <v>199</v>
      </c>
      <c r="G12" s="27">
        <v>198</v>
      </c>
      <c r="H12" s="77">
        <f t="shared" si="1"/>
        <v>3123</v>
      </c>
      <c r="I12" s="27">
        <v>0</v>
      </c>
      <c r="J12" s="80"/>
      <c r="K12" s="27">
        <v>7</v>
      </c>
      <c r="L12" s="27">
        <v>0</v>
      </c>
      <c r="M12" s="27">
        <v>39</v>
      </c>
      <c r="N12" s="27">
        <v>3</v>
      </c>
      <c r="O12" s="27">
        <f t="shared" si="0"/>
        <v>42</v>
      </c>
      <c r="P12" s="45">
        <f t="shared" si="2"/>
        <v>5871</v>
      </c>
    </row>
    <row r="13" spans="1:19" ht="18" customHeight="1" thickBot="1" x14ac:dyDescent="0.35">
      <c r="A13" s="76">
        <v>8</v>
      </c>
      <c r="B13" s="27">
        <f>1629+30</f>
        <v>1659</v>
      </c>
      <c r="C13" s="27">
        <v>8</v>
      </c>
      <c r="D13" s="27">
        <v>1007</v>
      </c>
      <c r="E13" s="27">
        <v>244</v>
      </c>
      <c r="F13" s="27">
        <v>215</v>
      </c>
      <c r="G13" s="27">
        <v>242</v>
      </c>
      <c r="H13" s="77">
        <f t="shared" si="1"/>
        <v>3375</v>
      </c>
      <c r="I13" s="27">
        <v>0</v>
      </c>
      <c r="J13" s="80"/>
      <c r="K13" s="27">
        <v>8</v>
      </c>
      <c r="L13" s="27">
        <v>0</v>
      </c>
      <c r="M13" s="27">
        <v>20</v>
      </c>
      <c r="N13" s="27">
        <v>1</v>
      </c>
      <c r="O13" s="27">
        <f t="shared" si="0"/>
        <v>21</v>
      </c>
      <c r="P13" s="45">
        <f t="shared" si="2"/>
        <v>5871</v>
      </c>
    </row>
    <row r="14" spans="1:19" s="51" customFormat="1" ht="18" customHeight="1" thickBot="1" x14ac:dyDescent="0.35">
      <c r="A14" s="76">
        <v>9</v>
      </c>
      <c r="B14" s="27">
        <f>1911+33</f>
        <v>1944</v>
      </c>
      <c r="C14" s="27">
        <v>8</v>
      </c>
      <c r="D14" s="27">
        <v>967</v>
      </c>
      <c r="E14" s="27">
        <v>284</v>
      </c>
      <c r="F14" s="27">
        <v>216</v>
      </c>
      <c r="G14" s="27">
        <v>245</v>
      </c>
      <c r="H14" s="77">
        <f t="shared" si="1"/>
        <v>3664</v>
      </c>
      <c r="I14" s="27">
        <v>0</v>
      </c>
      <c r="J14" s="80"/>
      <c r="K14" s="27">
        <v>9</v>
      </c>
      <c r="L14" s="27">
        <v>0</v>
      </c>
      <c r="M14" s="27">
        <v>41</v>
      </c>
      <c r="N14" s="27">
        <v>1</v>
      </c>
      <c r="O14" s="27">
        <f t="shared" si="0"/>
        <v>42</v>
      </c>
      <c r="P14" s="50">
        <f t="shared" si="2"/>
        <v>5871</v>
      </c>
    </row>
    <row r="15" spans="1:19" ht="18" customHeight="1" thickBot="1" x14ac:dyDescent="0.35">
      <c r="A15" s="76">
        <v>10</v>
      </c>
      <c r="B15" s="27">
        <f>1698+40</f>
        <v>1738</v>
      </c>
      <c r="C15" s="27">
        <v>10</v>
      </c>
      <c r="D15" s="27">
        <v>550</v>
      </c>
      <c r="E15" s="27">
        <v>134</v>
      </c>
      <c r="F15" s="27">
        <v>114</v>
      </c>
      <c r="G15" s="27">
        <v>161</v>
      </c>
      <c r="H15" s="77">
        <f t="shared" si="1"/>
        <v>2707</v>
      </c>
      <c r="I15" s="27">
        <v>0</v>
      </c>
      <c r="J15" s="80"/>
      <c r="K15" s="27">
        <v>10</v>
      </c>
      <c r="L15" s="27">
        <v>0</v>
      </c>
      <c r="M15" s="27">
        <v>0</v>
      </c>
      <c r="N15" s="27">
        <v>0</v>
      </c>
      <c r="O15" s="27">
        <f t="shared" si="0"/>
        <v>0</v>
      </c>
      <c r="P15" s="45">
        <f t="shared" si="2"/>
        <v>5871</v>
      </c>
    </row>
    <row r="16" spans="1:19" ht="18" customHeight="1" thickBot="1" x14ac:dyDescent="0.35">
      <c r="A16" s="76">
        <v>11</v>
      </c>
      <c r="B16" s="27">
        <f>5165+14</f>
        <v>5179</v>
      </c>
      <c r="C16" s="27">
        <v>11</v>
      </c>
      <c r="D16" s="27">
        <v>692</v>
      </c>
      <c r="E16" s="27">
        <v>56</v>
      </c>
      <c r="F16" s="27">
        <v>126</v>
      </c>
      <c r="G16" s="27">
        <v>86</v>
      </c>
      <c r="H16" s="77">
        <f t="shared" si="1"/>
        <v>6150</v>
      </c>
      <c r="I16" s="27">
        <v>0</v>
      </c>
      <c r="J16" s="80"/>
      <c r="K16" s="27">
        <v>11</v>
      </c>
      <c r="L16" s="27">
        <v>0</v>
      </c>
      <c r="M16" s="27">
        <v>1</v>
      </c>
      <c r="N16" s="27">
        <v>0</v>
      </c>
      <c r="O16" s="27">
        <f t="shared" si="0"/>
        <v>1</v>
      </c>
      <c r="P16" s="45">
        <f t="shared" si="2"/>
        <v>5871</v>
      </c>
      <c r="Q16" s="38"/>
    </row>
    <row r="17" spans="1:26" ht="18" customHeight="1" thickBot="1" x14ac:dyDescent="0.35">
      <c r="A17" s="76">
        <v>12</v>
      </c>
      <c r="B17" s="27">
        <f>4675+12</f>
        <v>4687</v>
      </c>
      <c r="C17" s="27">
        <v>6</v>
      </c>
      <c r="D17" s="27">
        <v>709</v>
      </c>
      <c r="E17" s="27">
        <v>70</v>
      </c>
      <c r="F17" s="27">
        <v>152</v>
      </c>
      <c r="G17" s="27">
        <v>174</v>
      </c>
      <c r="H17" s="77">
        <f t="shared" si="1"/>
        <v>5798</v>
      </c>
      <c r="I17" s="27">
        <v>0</v>
      </c>
      <c r="J17" s="80"/>
      <c r="K17" s="27">
        <v>12</v>
      </c>
      <c r="L17" s="27">
        <v>0</v>
      </c>
      <c r="M17" s="27">
        <v>0</v>
      </c>
      <c r="N17" s="27">
        <v>0</v>
      </c>
      <c r="O17" s="27">
        <f t="shared" si="0"/>
        <v>0</v>
      </c>
      <c r="P17" s="45">
        <f t="shared" si="2"/>
        <v>5871</v>
      </c>
    </row>
    <row r="18" spans="1:26" ht="18" customHeight="1" thickBot="1" x14ac:dyDescent="0.35">
      <c r="A18" s="76">
        <v>13</v>
      </c>
      <c r="B18" s="27">
        <f>7514+19</f>
        <v>7533</v>
      </c>
      <c r="C18" s="27">
        <v>5</v>
      </c>
      <c r="D18" s="27">
        <v>577</v>
      </c>
      <c r="E18" s="27">
        <v>51</v>
      </c>
      <c r="F18" s="27">
        <v>90</v>
      </c>
      <c r="G18" s="27">
        <v>95</v>
      </c>
      <c r="H18" s="77">
        <f t="shared" si="1"/>
        <v>8351</v>
      </c>
      <c r="I18" s="27">
        <v>0</v>
      </c>
      <c r="J18" s="80"/>
      <c r="K18" s="27">
        <v>13</v>
      </c>
      <c r="L18" s="27">
        <v>0</v>
      </c>
      <c r="M18" s="27">
        <v>0</v>
      </c>
      <c r="N18" s="27">
        <v>0</v>
      </c>
      <c r="O18" s="27">
        <f t="shared" si="0"/>
        <v>0</v>
      </c>
      <c r="P18" s="45">
        <f t="shared" si="2"/>
        <v>5871</v>
      </c>
    </row>
    <row r="19" spans="1:26" ht="18" customHeight="1" thickBot="1" x14ac:dyDescent="0.35">
      <c r="A19" s="76">
        <v>14</v>
      </c>
      <c r="B19" s="27">
        <f>1879+21</f>
        <v>1900</v>
      </c>
      <c r="C19" s="27">
        <v>8</v>
      </c>
      <c r="D19" s="27">
        <v>866</v>
      </c>
      <c r="E19" s="27">
        <v>225</v>
      </c>
      <c r="F19" s="27">
        <v>213</v>
      </c>
      <c r="G19" s="27">
        <v>226</v>
      </c>
      <c r="H19" s="77">
        <f t="shared" si="1"/>
        <v>3438</v>
      </c>
      <c r="I19" s="27">
        <v>0</v>
      </c>
      <c r="J19" s="80"/>
      <c r="K19" s="27">
        <v>14</v>
      </c>
      <c r="L19" s="27">
        <v>0</v>
      </c>
      <c r="M19" s="27">
        <v>38</v>
      </c>
      <c r="N19" s="27">
        <v>2</v>
      </c>
      <c r="O19" s="27">
        <f t="shared" si="0"/>
        <v>40</v>
      </c>
      <c r="P19" s="45">
        <f t="shared" si="2"/>
        <v>5871</v>
      </c>
    </row>
    <row r="20" spans="1:26" ht="18" customHeight="1" thickBot="1" x14ac:dyDescent="0.35">
      <c r="A20" s="76">
        <v>15</v>
      </c>
      <c r="B20" s="27">
        <f>1601+18</f>
        <v>1619</v>
      </c>
      <c r="C20" s="27">
        <v>10</v>
      </c>
      <c r="D20" s="27">
        <v>937</v>
      </c>
      <c r="E20" s="27">
        <v>261</v>
      </c>
      <c r="F20" s="27">
        <v>190</v>
      </c>
      <c r="G20" s="27">
        <v>220</v>
      </c>
      <c r="H20" s="77">
        <f t="shared" si="1"/>
        <v>3237</v>
      </c>
      <c r="I20" s="27">
        <v>0</v>
      </c>
      <c r="J20" s="80"/>
      <c r="K20" s="27">
        <v>15</v>
      </c>
      <c r="L20" s="27">
        <v>0</v>
      </c>
      <c r="M20" s="27">
        <v>48</v>
      </c>
      <c r="N20" s="27">
        <v>2</v>
      </c>
      <c r="O20" s="27">
        <f t="shared" si="0"/>
        <v>50</v>
      </c>
      <c r="P20" s="45">
        <f t="shared" si="2"/>
        <v>5871</v>
      </c>
    </row>
    <row r="21" spans="1:26" ht="18" customHeight="1" thickBot="1" x14ac:dyDescent="0.35">
      <c r="A21" s="76">
        <v>16</v>
      </c>
      <c r="B21" s="27">
        <f>1557+26</f>
        <v>1583</v>
      </c>
      <c r="C21" s="27">
        <v>9</v>
      </c>
      <c r="D21" s="27">
        <v>953</v>
      </c>
      <c r="E21" s="27">
        <v>202</v>
      </c>
      <c r="F21" s="27">
        <v>159</v>
      </c>
      <c r="G21" s="27">
        <v>224</v>
      </c>
      <c r="H21" s="77">
        <f t="shared" si="1"/>
        <v>3130</v>
      </c>
      <c r="I21" s="27">
        <v>0</v>
      </c>
      <c r="J21" s="80"/>
      <c r="K21" s="27">
        <v>16</v>
      </c>
      <c r="L21" s="27">
        <v>1</v>
      </c>
      <c r="M21" s="27">
        <v>28</v>
      </c>
      <c r="N21" s="27">
        <v>1</v>
      </c>
      <c r="O21" s="27">
        <f t="shared" si="0"/>
        <v>30</v>
      </c>
      <c r="P21" s="45">
        <f>+P20</f>
        <v>5871</v>
      </c>
    </row>
    <row r="22" spans="1:26" ht="18" customHeight="1" thickBot="1" x14ac:dyDescent="0.35">
      <c r="A22" s="76">
        <v>17</v>
      </c>
      <c r="B22" s="27">
        <f>2204+30</f>
        <v>2234</v>
      </c>
      <c r="C22" s="27">
        <v>9</v>
      </c>
      <c r="D22" s="27">
        <v>994</v>
      </c>
      <c r="E22" s="27">
        <v>248</v>
      </c>
      <c r="F22" s="27">
        <v>254</v>
      </c>
      <c r="G22" s="27">
        <v>252</v>
      </c>
      <c r="H22" s="77">
        <f>SUM(B22:G22)</f>
        <v>3991</v>
      </c>
      <c r="I22" s="27">
        <v>0</v>
      </c>
      <c r="J22" s="80"/>
      <c r="K22" s="27">
        <v>17</v>
      </c>
      <c r="L22" s="27">
        <v>0</v>
      </c>
      <c r="M22" s="27">
        <v>16</v>
      </c>
      <c r="N22" s="27">
        <v>1</v>
      </c>
      <c r="O22" s="27">
        <f t="shared" si="0"/>
        <v>17</v>
      </c>
      <c r="P22" s="45">
        <f t="shared" si="2"/>
        <v>5871</v>
      </c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spans="1:26" ht="18" customHeight="1" thickBot="1" x14ac:dyDescent="0.35">
      <c r="A23" s="76">
        <v>18</v>
      </c>
      <c r="B23" s="27">
        <f>2549+19</f>
        <v>2568</v>
      </c>
      <c r="C23" s="27">
        <v>7</v>
      </c>
      <c r="D23" s="27">
        <v>920</v>
      </c>
      <c r="E23" s="27">
        <v>167</v>
      </c>
      <c r="F23" s="27">
        <v>205</v>
      </c>
      <c r="G23" s="27">
        <v>211</v>
      </c>
      <c r="H23" s="77">
        <f t="shared" si="1"/>
        <v>4078</v>
      </c>
      <c r="I23" s="27">
        <v>0</v>
      </c>
      <c r="J23" s="80"/>
      <c r="K23" s="27">
        <v>18</v>
      </c>
      <c r="L23" s="27">
        <v>0</v>
      </c>
      <c r="M23" s="27">
        <v>15</v>
      </c>
      <c r="N23" s="27">
        <v>0</v>
      </c>
      <c r="O23" s="27">
        <f t="shared" si="0"/>
        <v>15</v>
      </c>
      <c r="P23" s="45">
        <f t="shared" si="2"/>
        <v>5871</v>
      </c>
    </row>
    <row r="24" spans="1:26" s="38" customFormat="1" ht="18" customHeight="1" thickBot="1" x14ac:dyDescent="0.35">
      <c r="A24" s="76">
        <v>19</v>
      </c>
      <c r="B24" s="27">
        <f>3508+13</f>
        <v>3521</v>
      </c>
      <c r="C24" s="27">
        <v>13</v>
      </c>
      <c r="D24" s="27">
        <v>653</v>
      </c>
      <c r="E24" s="27">
        <v>84</v>
      </c>
      <c r="F24" s="27">
        <v>126</v>
      </c>
      <c r="G24" s="27">
        <v>184</v>
      </c>
      <c r="H24" s="77">
        <f t="shared" si="1"/>
        <v>4581</v>
      </c>
      <c r="I24" s="27">
        <v>0</v>
      </c>
      <c r="J24" s="80"/>
      <c r="K24" s="27">
        <v>19</v>
      </c>
      <c r="L24" s="27">
        <v>0</v>
      </c>
      <c r="M24" s="27">
        <v>0</v>
      </c>
      <c r="N24" s="27">
        <v>0</v>
      </c>
      <c r="O24" s="27">
        <f t="shared" si="0"/>
        <v>0</v>
      </c>
      <c r="P24" s="45">
        <f t="shared" si="2"/>
        <v>5871</v>
      </c>
    </row>
    <row r="25" spans="1:26" ht="18" customHeight="1" thickBot="1" x14ac:dyDescent="0.35">
      <c r="A25" s="76">
        <v>20</v>
      </c>
      <c r="B25" s="27">
        <f>1579+20</f>
        <v>1599</v>
      </c>
      <c r="C25" s="27">
        <v>13</v>
      </c>
      <c r="D25" s="27">
        <v>869</v>
      </c>
      <c r="E25" s="27">
        <v>203</v>
      </c>
      <c r="F25" s="27">
        <v>228</v>
      </c>
      <c r="G25" s="27">
        <v>247</v>
      </c>
      <c r="H25" s="77">
        <f t="shared" si="1"/>
        <v>3159</v>
      </c>
      <c r="I25" s="27">
        <v>0</v>
      </c>
      <c r="J25" s="80"/>
      <c r="K25" s="27">
        <v>20</v>
      </c>
      <c r="L25" s="27">
        <v>1</v>
      </c>
      <c r="M25" s="27">
        <v>30</v>
      </c>
      <c r="N25" s="27">
        <v>1</v>
      </c>
      <c r="O25" s="27">
        <f t="shared" si="0"/>
        <v>32</v>
      </c>
      <c r="P25" s="45">
        <f t="shared" si="2"/>
        <v>5871</v>
      </c>
    </row>
    <row r="26" spans="1:26" ht="18" customHeight="1" thickBot="1" x14ac:dyDescent="0.35">
      <c r="A26" s="76">
        <v>21</v>
      </c>
      <c r="B26" s="27">
        <f>1629+27</f>
        <v>1656</v>
      </c>
      <c r="C26" s="27">
        <v>9</v>
      </c>
      <c r="D26" s="27">
        <v>941</v>
      </c>
      <c r="E26" s="27">
        <v>222</v>
      </c>
      <c r="F26" s="27">
        <v>201</v>
      </c>
      <c r="G26" s="27">
        <v>225</v>
      </c>
      <c r="H26" s="77">
        <f t="shared" si="1"/>
        <v>3254</v>
      </c>
      <c r="I26" s="27">
        <v>0</v>
      </c>
      <c r="J26" s="80"/>
      <c r="K26" s="27">
        <v>21</v>
      </c>
      <c r="L26" s="27">
        <v>0</v>
      </c>
      <c r="M26" s="27">
        <v>31</v>
      </c>
      <c r="N26" s="27">
        <v>1</v>
      </c>
      <c r="O26" s="27">
        <f t="shared" si="0"/>
        <v>32</v>
      </c>
      <c r="P26" s="45">
        <f t="shared" si="2"/>
        <v>5871</v>
      </c>
    </row>
    <row r="27" spans="1:26" ht="18" customHeight="1" thickBot="1" x14ac:dyDescent="0.35">
      <c r="A27" s="76">
        <v>22</v>
      </c>
      <c r="B27" s="27">
        <f>1698+20</f>
        <v>1718</v>
      </c>
      <c r="C27" s="27">
        <v>11</v>
      </c>
      <c r="D27" s="27">
        <v>969</v>
      </c>
      <c r="E27" s="27">
        <v>246</v>
      </c>
      <c r="F27" s="27">
        <v>194</v>
      </c>
      <c r="G27" s="27">
        <v>271</v>
      </c>
      <c r="H27" s="77">
        <f t="shared" si="1"/>
        <v>3409</v>
      </c>
      <c r="I27" s="27">
        <v>0</v>
      </c>
      <c r="J27" s="80"/>
      <c r="K27" s="27">
        <v>22</v>
      </c>
      <c r="L27" s="27">
        <v>0</v>
      </c>
      <c r="M27" s="27">
        <v>53</v>
      </c>
      <c r="N27" s="27">
        <v>0</v>
      </c>
      <c r="O27" s="27">
        <f t="shared" si="0"/>
        <v>53</v>
      </c>
      <c r="P27" s="45">
        <f t="shared" si="2"/>
        <v>5871</v>
      </c>
    </row>
    <row r="28" spans="1:26" ht="18" customHeight="1" thickBot="1" x14ac:dyDescent="0.35">
      <c r="A28" s="76">
        <v>23</v>
      </c>
      <c r="B28" s="27">
        <f>1711+25</f>
        <v>1736</v>
      </c>
      <c r="C28" s="27">
        <v>10</v>
      </c>
      <c r="D28" s="27">
        <v>1129</v>
      </c>
      <c r="E28" s="27">
        <v>297</v>
      </c>
      <c r="F28" s="27">
        <v>215</v>
      </c>
      <c r="G28" s="27">
        <v>258</v>
      </c>
      <c r="H28" s="77">
        <f t="shared" si="1"/>
        <v>3645</v>
      </c>
      <c r="I28" s="27">
        <v>0</v>
      </c>
      <c r="J28" s="80"/>
      <c r="K28" s="27">
        <v>23</v>
      </c>
      <c r="L28" s="27">
        <v>1</v>
      </c>
      <c r="M28" s="27">
        <v>53</v>
      </c>
      <c r="N28" s="27">
        <v>0</v>
      </c>
      <c r="O28" s="27">
        <f t="shared" si="0"/>
        <v>54</v>
      </c>
      <c r="P28" s="45">
        <f t="shared" si="2"/>
        <v>5871</v>
      </c>
    </row>
    <row r="29" spans="1:26" ht="18" customHeight="1" thickBot="1" x14ac:dyDescent="0.35">
      <c r="A29" s="76">
        <v>24</v>
      </c>
      <c r="B29" s="27">
        <f>2453+20</f>
        <v>2473</v>
      </c>
      <c r="C29" s="27">
        <v>11</v>
      </c>
      <c r="D29" s="27">
        <v>1033</v>
      </c>
      <c r="E29" s="27">
        <v>220</v>
      </c>
      <c r="F29" s="27">
        <v>222</v>
      </c>
      <c r="G29" s="27">
        <v>248</v>
      </c>
      <c r="H29" s="77">
        <f t="shared" si="1"/>
        <v>4207</v>
      </c>
      <c r="I29" s="27">
        <v>0</v>
      </c>
      <c r="J29" s="80"/>
      <c r="K29" s="27">
        <v>24</v>
      </c>
      <c r="L29" s="27">
        <v>1</v>
      </c>
      <c r="M29" s="27">
        <v>34</v>
      </c>
      <c r="N29" s="27">
        <v>1</v>
      </c>
      <c r="O29" s="27">
        <f t="shared" si="0"/>
        <v>36</v>
      </c>
      <c r="P29" s="45">
        <f t="shared" si="2"/>
        <v>5871</v>
      </c>
    </row>
    <row r="30" spans="1:26" s="38" customFormat="1" ht="18" customHeight="1" thickBot="1" x14ac:dyDescent="0.35">
      <c r="A30" s="76">
        <v>25</v>
      </c>
      <c r="B30" s="27">
        <f>2649+23</f>
        <v>2672</v>
      </c>
      <c r="C30" s="27">
        <v>11</v>
      </c>
      <c r="D30" s="27">
        <v>859</v>
      </c>
      <c r="E30" s="27">
        <v>211</v>
      </c>
      <c r="F30" s="27">
        <v>192</v>
      </c>
      <c r="G30" s="27">
        <v>179</v>
      </c>
      <c r="H30" s="77">
        <f t="shared" si="1"/>
        <v>4124</v>
      </c>
      <c r="I30" s="27">
        <v>0</v>
      </c>
      <c r="J30" s="80"/>
      <c r="K30" s="27">
        <v>25</v>
      </c>
      <c r="L30" s="27">
        <v>0</v>
      </c>
      <c r="M30" s="27">
        <v>15</v>
      </c>
      <c r="N30" s="27">
        <v>0</v>
      </c>
      <c r="O30" s="27">
        <f t="shared" si="0"/>
        <v>15</v>
      </c>
      <c r="P30" s="45">
        <f t="shared" si="2"/>
        <v>5871</v>
      </c>
    </row>
    <row r="31" spans="1:26" ht="18" customHeight="1" thickBot="1" x14ac:dyDescent="0.35">
      <c r="A31" s="76">
        <v>26</v>
      </c>
      <c r="B31" s="27">
        <f>3404+10</f>
        <v>3414</v>
      </c>
      <c r="C31" s="27">
        <v>10</v>
      </c>
      <c r="D31" s="27">
        <v>702</v>
      </c>
      <c r="E31" s="27">
        <v>79</v>
      </c>
      <c r="F31" s="27">
        <v>131</v>
      </c>
      <c r="G31" s="27">
        <v>134</v>
      </c>
      <c r="H31" s="77">
        <f t="shared" si="1"/>
        <v>4470</v>
      </c>
      <c r="I31" s="27">
        <v>0</v>
      </c>
      <c r="J31" s="80"/>
      <c r="K31" s="27">
        <v>26</v>
      </c>
      <c r="L31" s="27">
        <v>0</v>
      </c>
      <c r="M31" s="27">
        <v>4</v>
      </c>
      <c r="N31" s="27">
        <v>0</v>
      </c>
      <c r="O31" s="27">
        <f t="shared" si="0"/>
        <v>4</v>
      </c>
      <c r="P31" s="45">
        <f t="shared" si="2"/>
        <v>5871</v>
      </c>
    </row>
    <row r="32" spans="1:26" ht="18" customHeight="1" thickBot="1" x14ac:dyDescent="0.35">
      <c r="A32" s="76">
        <v>27</v>
      </c>
      <c r="B32" s="27">
        <f>1702+19</f>
        <v>1721</v>
      </c>
      <c r="C32" s="27">
        <v>17</v>
      </c>
      <c r="D32" s="27">
        <v>942</v>
      </c>
      <c r="E32" s="27">
        <v>221</v>
      </c>
      <c r="F32" s="27">
        <v>217</v>
      </c>
      <c r="G32" s="27">
        <v>229</v>
      </c>
      <c r="H32" s="77">
        <f t="shared" si="1"/>
        <v>3347</v>
      </c>
      <c r="I32" s="27">
        <v>0</v>
      </c>
      <c r="J32" s="80"/>
      <c r="K32" s="27">
        <v>27</v>
      </c>
      <c r="L32" s="27">
        <v>0</v>
      </c>
      <c r="M32" s="27">
        <v>32</v>
      </c>
      <c r="N32" s="27">
        <v>3</v>
      </c>
      <c r="O32" s="27">
        <f t="shared" si="0"/>
        <v>35</v>
      </c>
      <c r="P32" s="45">
        <f t="shared" si="2"/>
        <v>5871</v>
      </c>
    </row>
    <row r="33" spans="1:17" ht="15.75" customHeight="1" thickBot="1" x14ac:dyDescent="0.35">
      <c r="A33" s="76">
        <v>28</v>
      </c>
      <c r="B33" s="27">
        <f>1636+23</f>
        <v>1659</v>
      </c>
      <c r="C33" s="27">
        <v>11</v>
      </c>
      <c r="D33" s="27">
        <v>971</v>
      </c>
      <c r="E33" s="27">
        <v>257</v>
      </c>
      <c r="F33" s="27">
        <v>208</v>
      </c>
      <c r="G33" s="27">
        <v>246</v>
      </c>
      <c r="H33" s="77">
        <f t="shared" si="1"/>
        <v>3352</v>
      </c>
      <c r="I33" s="27">
        <v>0</v>
      </c>
      <c r="J33" s="80"/>
      <c r="K33" s="27">
        <v>28</v>
      </c>
      <c r="L33" s="27">
        <v>1</v>
      </c>
      <c r="M33" s="27">
        <v>27</v>
      </c>
      <c r="N33" s="27">
        <v>3</v>
      </c>
      <c r="O33" s="27">
        <f t="shared" si="0"/>
        <v>31</v>
      </c>
      <c r="P33" s="45">
        <f t="shared" si="2"/>
        <v>5871</v>
      </c>
    </row>
    <row r="34" spans="1:17" s="38" customFormat="1" ht="17.25" customHeight="1" thickBot="1" x14ac:dyDescent="0.35">
      <c r="A34" s="82">
        <v>29</v>
      </c>
      <c r="B34" s="27">
        <f>1704+16</f>
        <v>1720</v>
      </c>
      <c r="C34" s="27">
        <v>11</v>
      </c>
      <c r="D34" s="27">
        <v>1027</v>
      </c>
      <c r="E34" s="27">
        <v>282</v>
      </c>
      <c r="F34" s="27">
        <v>217</v>
      </c>
      <c r="G34" s="27">
        <v>259</v>
      </c>
      <c r="H34" s="77">
        <f t="shared" si="1"/>
        <v>3516</v>
      </c>
      <c r="I34" s="25">
        <v>0</v>
      </c>
      <c r="J34" s="26"/>
      <c r="K34" s="27">
        <v>29</v>
      </c>
      <c r="L34" s="27">
        <v>1</v>
      </c>
      <c r="M34" s="27">
        <v>26</v>
      </c>
      <c r="N34" s="27">
        <v>1</v>
      </c>
      <c r="O34" s="27">
        <f>SUM(L34:N34)</f>
        <v>28</v>
      </c>
      <c r="P34" s="45">
        <f t="shared" si="2"/>
        <v>5871</v>
      </c>
    </row>
    <row r="35" spans="1:17" s="38" customFormat="1" ht="17.25" customHeight="1" thickBot="1" x14ac:dyDescent="0.35">
      <c r="A35" s="82">
        <v>30</v>
      </c>
      <c r="B35" s="27">
        <f>1888+28</f>
        <v>1916</v>
      </c>
      <c r="C35" s="27">
        <v>8</v>
      </c>
      <c r="D35" s="27">
        <v>1048</v>
      </c>
      <c r="E35" s="27">
        <v>289</v>
      </c>
      <c r="F35" s="27">
        <v>163</v>
      </c>
      <c r="G35" s="27">
        <v>278</v>
      </c>
      <c r="H35" s="77">
        <f t="shared" si="1"/>
        <v>3702</v>
      </c>
      <c r="I35" s="25">
        <v>0</v>
      </c>
      <c r="J35" s="26"/>
      <c r="K35" s="27">
        <v>30</v>
      </c>
      <c r="L35" s="27">
        <v>0</v>
      </c>
      <c r="M35" s="27">
        <v>27</v>
      </c>
      <c r="N35" s="27">
        <v>1</v>
      </c>
      <c r="O35" s="27">
        <f>SUM(L35:N35)</f>
        <v>28</v>
      </c>
      <c r="P35" s="45">
        <f t="shared" si="2"/>
        <v>5871</v>
      </c>
    </row>
    <row r="36" spans="1:17" s="38" customFormat="1" ht="17.25" customHeight="1" thickBot="1" x14ac:dyDescent="0.35">
      <c r="A36" s="82">
        <v>31</v>
      </c>
      <c r="B36" s="27">
        <f>3641+29</f>
        <v>3670</v>
      </c>
      <c r="C36" s="27">
        <v>13</v>
      </c>
      <c r="D36" s="27">
        <v>1017</v>
      </c>
      <c r="E36" s="27">
        <v>191</v>
      </c>
      <c r="F36" s="27">
        <v>160</v>
      </c>
      <c r="G36" s="27">
        <v>230</v>
      </c>
      <c r="H36" s="77">
        <f t="shared" si="1"/>
        <v>5281</v>
      </c>
      <c r="I36" s="25">
        <v>0</v>
      </c>
      <c r="J36" s="26"/>
      <c r="K36" s="27">
        <v>31</v>
      </c>
      <c r="L36" s="27">
        <v>0</v>
      </c>
      <c r="M36" s="27">
        <v>9</v>
      </c>
      <c r="N36" s="27">
        <v>1</v>
      </c>
      <c r="O36" s="27">
        <f t="shared" ref="O36" si="3">SUM(L36:N36)</f>
        <v>10</v>
      </c>
      <c r="P36" s="45">
        <f t="shared" si="2"/>
        <v>5871</v>
      </c>
    </row>
    <row r="37" spans="1:17" s="51" customFormat="1" ht="18" customHeight="1" thickBot="1" x14ac:dyDescent="0.35">
      <c r="A37" s="49" t="s">
        <v>18</v>
      </c>
      <c r="B37" s="67">
        <f>SUM(B6:B36)</f>
        <v>78697</v>
      </c>
      <c r="C37" s="67">
        <f t="shared" ref="C37:H37" si="4">SUM(C6:C36)</f>
        <v>325</v>
      </c>
      <c r="D37" s="67">
        <f t="shared" si="4"/>
        <v>27454</v>
      </c>
      <c r="E37" s="67">
        <f t="shared" si="4"/>
        <v>5828</v>
      </c>
      <c r="F37" s="67">
        <f t="shared" si="4"/>
        <v>5581</v>
      </c>
      <c r="G37" s="67">
        <f t="shared" si="4"/>
        <v>6378</v>
      </c>
      <c r="H37" s="67">
        <f t="shared" si="4"/>
        <v>124263</v>
      </c>
      <c r="I37" s="67">
        <f>SUM(I6:I33)</f>
        <v>0</v>
      </c>
      <c r="J37" s="54"/>
      <c r="K37" s="49" t="s">
        <v>19</v>
      </c>
      <c r="L37" s="68">
        <f>SUM(L6:L36)</f>
        <v>11</v>
      </c>
      <c r="M37" s="68">
        <f t="shared" ref="M37:O37" si="5">SUM(M6:M36)</f>
        <v>710</v>
      </c>
      <c r="N37" s="68">
        <f t="shared" si="5"/>
        <v>27</v>
      </c>
      <c r="O37" s="68">
        <f t="shared" si="5"/>
        <v>748</v>
      </c>
      <c r="P37" s="69"/>
      <c r="Q37" s="69"/>
    </row>
    <row r="38" spans="1:17" s="51" customFormat="1" ht="18" customHeight="1" thickBot="1" x14ac:dyDescent="0.35">
      <c r="A38" s="49" t="s">
        <v>19</v>
      </c>
      <c r="B38" s="110">
        <f>+B37+C37</f>
        <v>79022</v>
      </c>
      <c r="C38" s="111"/>
      <c r="D38" s="68">
        <f t="shared" ref="D38:I38" si="6">+D37</f>
        <v>27454</v>
      </c>
      <c r="E38" s="68">
        <f t="shared" si="6"/>
        <v>5828</v>
      </c>
      <c r="F38" s="68">
        <f t="shared" si="6"/>
        <v>5581</v>
      </c>
      <c r="G38" s="68">
        <f t="shared" si="6"/>
        <v>6378</v>
      </c>
      <c r="H38" s="68">
        <f t="shared" si="6"/>
        <v>124263</v>
      </c>
      <c r="I38" s="68">
        <f t="shared" si="6"/>
        <v>0</v>
      </c>
      <c r="J38" s="54"/>
      <c r="K38" s="49" t="s">
        <v>20</v>
      </c>
      <c r="L38" s="55" t="s">
        <v>21</v>
      </c>
      <c r="M38" s="55" t="s">
        <v>22</v>
      </c>
      <c r="N38" s="55" t="s">
        <v>21</v>
      </c>
      <c r="O38" s="55" t="s">
        <v>22</v>
      </c>
      <c r="P38" s="69"/>
      <c r="Q38" s="69"/>
    </row>
  </sheetData>
  <mergeCells count="12">
    <mergeCell ref="N4:N5"/>
    <mergeCell ref="O4:O5"/>
    <mergeCell ref="B38:C38"/>
    <mergeCell ref="A1:O1"/>
    <mergeCell ref="A2:O2"/>
    <mergeCell ref="A3:O3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6689-4D23-4B73-A4F1-060F7A51F69E}">
  <dimension ref="A1:Z38"/>
  <sheetViews>
    <sheetView topLeftCell="A22" workbookViewId="0">
      <selection activeCell="G10" sqref="G10"/>
    </sheetView>
  </sheetViews>
  <sheetFormatPr baseColWidth="10" defaultColWidth="11.44140625" defaultRowHeight="14.4" x14ac:dyDescent="0.3"/>
  <cols>
    <col min="1" max="1" width="13.5546875" customWidth="1"/>
    <col min="2" max="2" width="11.33203125" customWidth="1"/>
    <col min="3" max="3" width="8.5546875" customWidth="1"/>
    <col min="4" max="4" width="18.6640625" customWidth="1"/>
    <col min="5" max="5" width="13.6640625" customWidth="1"/>
    <col min="6" max="6" width="13.33203125" customWidth="1"/>
    <col min="7" max="7" width="13.109375" customWidth="1"/>
    <col min="8" max="8" width="17.109375" customWidth="1"/>
    <col min="9" max="9" width="14.44140625" bestFit="1" customWidth="1"/>
    <col min="10" max="10" width="3.88671875" customWidth="1"/>
    <col min="11" max="11" width="10.6640625" customWidth="1"/>
    <col min="12" max="12" width="14.88671875" customWidth="1"/>
    <col min="13" max="13" width="15.88671875" customWidth="1"/>
    <col min="14" max="14" width="10.109375" customWidth="1"/>
    <col min="15" max="15" width="9.88671875" customWidth="1"/>
  </cols>
  <sheetData>
    <row r="1" spans="1:19" ht="15.6" x14ac:dyDescent="0.3">
      <c r="A1" s="100" t="s">
        <v>23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19" ht="15.6" x14ac:dyDescent="0.3">
      <c r="A2" s="100" t="s">
        <v>25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</row>
    <row r="3" spans="1:19" ht="16.2" thickBot="1" x14ac:dyDescent="0.35">
      <c r="A3" s="101" t="s">
        <v>30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</row>
    <row r="4" spans="1:19" s="51" customFormat="1" ht="78" customHeight="1" thickBot="1" x14ac:dyDescent="0.35">
      <c r="A4" s="64" t="s">
        <v>0</v>
      </c>
      <c r="B4" s="112" t="s">
        <v>1</v>
      </c>
      <c r="C4" s="113"/>
      <c r="D4" s="65" t="s">
        <v>2</v>
      </c>
      <c r="E4" s="66" t="s">
        <v>3</v>
      </c>
      <c r="F4" s="66" t="s">
        <v>4</v>
      </c>
      <c r="G4" s="66" t="s">
        <v>5</v>
      </c>
      <c r="H4" s="114" t="s">
        <v>6</v>
      </c>
      <c r="I4" s="108" t="s">
        <v>7</v>
      </c>
      <c r="J4" s="39"/>
      <c r="K4" s="116" t="s">
        <v>0</v>
      </c>
      <c r="L4" s="108" t="s">
        <v>8</v>
      </c>
      <c r="M4" s="108" t="s">
        <v>9</v>
      </c>
      <c r="N4" s="108" t="s">
        <v>10</v>
      </c>
      <c r="O4" s="108" t="s">
        <v>11</v>
      </c>
    </row>
    <row r="5" spans="1:19" s="51" customFormat="1" ht="18" customHeight="1" thickBot="1" x14ac:dyDescent="0.35">
      <c r="B5" s="49" t="s">
        <v>12</v>
      </c>
      <c r="C5" s="49" t="s">
        <v>13</v>
      </c>
      <c r="D5" s="49" t="s">
        <v>14</v>
      </c>
      <c r="E5" s="49" t="s">
        <v>15</v>
      </c>
      <c r="F5" s="49" t="s">
        <v>16</v>
      </c>
      <c r="G5" s="49" t="s">
        <v>17</v>
      </c>
      <c r="H5" s="115"/>
      <c r="I5" s="109"/>
      <c r="J5" s="40"/>
      <c r="K5" s="117"/>
      <c r="L5" s="109"/>
      <c r="M5" s="109"/>
      <c r="N5" s="109"/>
      <c r="O5" s="109"/>
    </row>
    <row r="6" spans="1:19" ht="18" customHeight="1" thickBot="1" x14ac:dyDescent="0.35">
      <c r="A6" s="70">
        <v>1</v>
      </c>
      <c r="B6" s="71">
        <v>5018</v>
      </c>
      <c r="C6" s="71">
        <v>11</v>
      </c>
      <c r="D6" s="71">
        <v>740</v>
      </c>
      <c r="E6" s="71">
        <v>49</v>
      </c>
      <c r="F6" s="71">
        <v>107</v>
      </c>
      <c r="G6" s="71">
        <v>108</v>
      </c>
      <c r="H6" s="72">
        <f>SUM(B6:G6)</f>
        <v>6033</v>
      </c>
      <c r="I6" s="73">
        <v>0</v>
      </c>
      <c r="J6" s="74"/>
      <c r="K6" s="75">
        <v>1</v>
      </c>
      <c r="L6" s="71">
        <v>0</v>
      </c>
      <c r="M6" s="71">
        <v>0</v>
      </c>
      <c r="N6" s="71">
        <v>1</v>
      </c>
      <c r="O6" s="71">
        <f>SUM(L6:N6)</f>
        <v>1</v>
      </c>
      <c r="P6" s="83">
        <v>5871</v>
      </c>
    </row>
    <row r="7" spans="1:19" ht="18" customHeight="1" thickBot="1" x14ac:dyDescent="0.35">
      <c r="A7" s="76">
        <v>2</v>
      </c>
      <c r="B7" s="71">
        <v>4466</v>
      </c>
      <c r="C7" s="71">
        <v>4</v>
      </c>
      <c r="D7" s="71">
        <v>707</v>
      </c>
      <c r="E7" s="71">
        <v>103</v>
      </c>
      <c r="F7" s="71">
        <v>183</v>
      </c>
      <c r="G7" s="71">
        <v>146</v>
      </c>
      <c r="H7" s="77">
        <f>SUM(B7:G7)</f>
        <v>5609</v>
      </c>
      <c r="I7" s="78">
        <v>0</v>
      </c>
      <c r="J7" s="74"/>
      <c r="K7" s="79">
        <v>2</v>
      </c>
      <c r="L7" s="27">
        <v>0</v>
      </c>
      <c r="M7" s="27">
        <v>4</v>
      </c>
      <c r="N7" s="27">
        <v>0</v>
      </c>
      <c r="O7" s="27">
        <f t="shared" ref="O7:O33" si="0">SUM(L7:N7)</f>
        <v>4</v>
      </c>
      <c r="P7" s="83">
        <f>+P6</f>
        <v>5871</v>
      </c>
    </row>
    <row r="8" spans="1:19" ht="18" customHeight="1" thickBot="1" x14ac:dyDescent="0.35">
      <c r="A8" s="76">
        <v>3</v>
      </c>
      <c r="B8" s="27">
        <f>6111+11</f>
        <v>6122</v>
      </c>
      <c r="C8" s="27">
        <v>4</v>
      </c>
      <c r="D8" s="27">
        <v>592</v>
      </c>
      <c r="E8" s="27">
        <v>51</v>
      </c>
      <c r="F8" s="27">
        <v>70</v>
      </c>
      <c r="G8" s="27">
        <v>68</v>
      </c>
      <c r="H8" s="77">
        <f t="shared" ref="H8:H36" si="1">SUM(B8:G8)</f>
        <v>6907</v>
      </c>
      <c r="I8" s="78">
        <v>0</v>
      </c>
      <c r="J8" s="74"/>
      <c r="K8" s="79">
        <v>3</v>
      </c>
      <c r="L8" s="27">
        <v>0</v>
      </c>
      <c r="M8" s="27">
        <v>2</v>
      </c>
      <c r="N8" s="27">
        <v>0</v>
      </c>
      <c r="O8" s="27">
        <f t="shared" si="0"/>
        <v>2</v>
      </c>
      <c r="P8" s="83">
        <f t="shared" ref="P8:P36" si="2">+P7</f>
        <v>5871</v>
      </c>
      <c r="S8" s="37"/>
    </row>
    <row r="9" spans="1:19" ht="18" customHeight="1" thickBot="1" x14ac:dyDescent="0.35">
      <c r="A9" s="76">
        <v>4</v>
      </c>
      <c r="B9" s="27">
        <f>1876+14</f>
        <v>1890</v>
      </c>
      <c r="C9" s="27">
        <v>9</v>
      </c>
      <c r="D9" s="27">
        <v>947</v>
      </c>
      <c r="E9" s="27">
        <v>251</v>
      </c>
      <c r="F9" s="27">
        <v>242</v>
      </c>
      <c r="G9" s="27">
        <v>213</v>
      </c>
      <c r="H9" s="77">
        <f t="shared" si="1"/>
        <v>3552</v>
      </c>
      <c r="I9" s="78">
        <v>0</v>
      </c>
      <c r="J9" s="74"/>
      <c r="K9" s="79">
        <v>4</v>
      </c>
      <c r="L9" s="27">
        <v>0</v>
      </c>
      <c r="M9" s="27">
        <v>23</v>
      </c>
      <c r="N9" s="27">
        <v>1</v>
      </c>
      <c r="O9" s="27">
        <f t="shared" si="0"/>
        <v>24</v>
      </c>
      <c r="P9" s="83">
        <f t="shared" si="2"/>
        <v>5871</v>
      </c>
    </row>
    <row r="10" spans="1:19" ht="18" customHeight="1" thickBot="1" x14ac:dyDescent="0.35">
      <c r="A10" s="76">
        <v>5</v>
      </c>
      <c r="B10" s="27">
        <f>1813+13</f>
        <v>1826</v>
      </c>
      <c r="C10" s="27">
        <v>10</v>
      </c>
      <c r="D10" s="27">
        <v>1053</v>
      </c>
      <c r="E10" s="27">
        <v>274</v>
      </c>
      <c r="F10" s="27">
        <v>215</v>
      </c>
      <c r="G10" s="27">
        <v>221</v>
      </c>
      <c r="H10" s="77">
        <f t="shared" si="1"/>
        <v>3599</v>
      </c>
      <c r="I10" s="78">
        <v>0</v>
      </c>
      <c r="J10" s="74"/>
      <c r="K10" s="79">
        <v>5</v>
      </c>
      <c r="L10" s="27">
        <v>1</v>
      </c>
      <c r="M10" s="27">
        <v>27</v>
      </c>
      <c r="N10" s="27">
        <v>1</v>
      </c>
      <c r="O10" s="27">
        <f t="shared" si="0"/>
        <v>29</v>
      </c>
      <c r="P10" s="83">
        <f t="shared" si="2"/>
        <v>5871</v>
      </c>
    </row>
    <row r="11" spans="1:19" ht="18" customHeight="1" thickBot="1" x14ac:dyDescent="0.35">
      <c r="A11" s="76">
        <v>6</v>
      </c>
      <c r="B11" s="27">
        <f>2201+20</f>
        <v>2221</v>
      </c>
      <c r="C11" s="27">
        <v>16</v>
      </c>
      <c r="D11" s="27">
        <v>1127</v>
      </c>
      <c r="E11" s="27">
        <v>264</v>
      </c>
      <c r="F11" s="27">
        <v>226</v>
      </c>
      <c r="G11" s="27">
        <v>257</v>
      </c>
      <c r="H11" s="77">
        <f t="shared" si="1"/>
        <v>4111</v>
      </c>
      <c r="I11" s="78">
        <v>0</v>
      </c>
      <c r="J11" s="74"/>
      <c r="K11" s="79">
        <v>6</v>
      </c>
      <c r="L11" s="27">
        <v>1</v>
      </c>
      <c r="M11" s="27">
        <v>10</v>
      </c>
      <c r="N11" s="27">
        <v>2</v>
      </c>
      <c r="O11" s="27">
        <f t="shared" si="0"/>
        <v>13</v>
      </c>
      <c r="P11" s="83">
        <f t="shared" si="2"/>
        <v>5871</v>
      </c>
    </row>
    <row r="12" spans="1:19" ht="18" customHeight="1" thickBot="1" x14ac:dyDescent="0.35">
      <c r="A12" s="76">
        <v>7</v>
      </c>
      <c r="B12" s="27">
        <f>3916+28</f>
        <v>3944</v>
      </c>
      <c r="C12" s="27">
        <v>14</v>
      </c>
      <c r="D12" s="27">
        <v>1092</v>
      </c>
      <c r="E12" s="27">
        <v>248</v>
      </c>
      <c r="F12" s="27">
        <v>265</v>
      </c>
      <c r="G12" s="27">
        <v>228</v>
      </c>
      <c r="H12" s="77">
        <f t="shared" si="1"/>
        <v>5791</v>
      </c>
      <c r="I12" s="27">
        <v>0</v>
      </c>
      <c r="J12" s="80"/>
      <c r="K12" s="27">
        <v>7</v>
      </c>
      <c r="L12" s="27">
        <v>1</v>
      </c>
      <c r="M12" s="27">
        <v>32</v>
      </c>
      <c r="N12" s="27">
        <v>0</v>
      </c>
      <c r="O12" s="27">
        <f t="shared" si="0"/>
        <v>33</v>
      </c>
      <c r="P12" s="83">
        <f t="shared" si="2"/>
        <v>5871</v>
      </c>
    </row>
    <row r="13" spans="1:19" ht="18" customHeight="1" thickBot="1" x14ac:dyDescent="0.35">
      <c r="A13" s="76">
        <v>8</v>
      </c>
      <c r="B13" s="27">
        <f>5665+15</f>
        <v>5680</v>
      </c>
      <c r="C13" s="27">
        <v>11</v>
      </c>
      <c r="D13" s="27">
        <v>786</v>
      </c>
      <c r="E13" s="27">
        <v>73</v>
      </c>
      <c r="F13" s="27">
        <v>152</v>
      </c>
      <c r="G13" s="27">
        <v>94</v>
      </c>
      <c r="H13" s="77">
        <f t="shared" si="1"/>
        <v>6796</v>
      </c>
      <c r="I13" s="27">
        <v>0</v>
      </c>
      <c r="J13" s="80"/>
      <c r="K13" s="27">
        <v>8</v>
      </c>
      <c r="L13" s="27">
        <v>1</v>
      </c>
      <c r="M13" s="27">
        <v>0</v>
      </c>
      <c r="N13" s="27">
        <v>0</v>
      </c>
      <c r="O13" s="27">
        <f t="shared" si="0"/>
        <v>1</v>
      </c>
      <c r="P13" s="83">
        <f t="shared" si="2"/>
        <v>5871</v>
      </c>
    </row>
    <row r="14" spans="1:19" s="51" customFormat="1" ht="18" customHeight="1" thickBot="1" x14ac:dyDescent="0.35">
      <c r="A14" s="76">
        <v>9</v>
      </c>
      <c r="B14" s="27">
        <f>5427+15</f>
        <v>5442</v>
      </c>
      <c r="C14" s="27">
        <v>12</v>
      </c>
      <c r="D14" s="27">
        <v>789</v>
      </c>
      <c r="E14" s="27">
        <v>90</v>
      </c>
      <c r="F14" s="27">
        <v>161</v>
      </c>
      <c r="G14" s="27">
        <v>158</v>
      </c>
      <c r="H14" s="77">
        <f t="shared" si="1"/>
        <v>6652</v>
      </c>
      <c r="I14" s="27">
        <v>0</v>
      </c>
      <c r="J14" s="80"/>
      <c r="K14" s="27">
        <v>9</v>
      </c>
      <c r="L14" s="27">
        <v>0</v>
      </c>
      <c r="M14" s="27">
        <v>0</v>
      </c>
      <c r="N14" s="27">
        <v>1</v>
      </c>
      <c r="O14" s="27">
        <f t="shared" si="0"/>
        <v>1</v>
      </c>
      <c r="P14" s="84">
        <f t="shared" si="2"/>
        <v>5871</v>
      </c>
    </row>
    <row r="15" spans="1:19" ht="18" customHeight="1" thickBot="1" x14ac:dyDescent="0.35">
      <c r="A15" s="76">
        <v>10</v>
      </c>
      <c r="B15" s="27">
        <v>8148</v>
      </c>
      <c r="C15" s="27">
        <v>11</v>
      </c>
      <c r="D15" s="27">
        <v>614</v>
      </c>
      <c r="E15" s="27">
        <v>54</v>
      </c>
      <c r="F15" s="27">
        <v>80</v>
      </c>
      <c r="G15" s="27">
        <v>83</v>
      </c>
      <c r="H15" s="77">
        <f t="shared" si="1"/>
        <v>8990</v>
      </c>
      <c r="I15" s="27">
        <v>0</v>
      </c>
      <c r="J15" s="80"/>
      <c r="K15" s="27">
        <v>10</v>
      </c>
      <c r="L15" s="27">
        <v>0</v>
      </c>
      <c r="M15" s="27">
        <v>2</v>
      </c>
      <c r="N15" s="27">
        <v>0</v>
      </c>
      <c r="O15" s="27">
        <f t="shared" si="0"/>
        <v>2</v>
      </c>
      <c r="P15" s="83">
        <f t="shared" si="2"/>
        <v>5871</v>
      </c>
    </row>
    <row r="16" spans="1:19" ht="18" customHeight="1" thickBot="1" x14ac:dyDescent="0.35">
      <c r="A16" s="76">
        <v>11</v>
      </c>
      <c r="B16" s="27">
        <f>1736+20</f>
        <v>1756</v>
      </c>
      <c r="C16" s="27">
        <v>10</v>
      </c>
      <c r="D16" s="27">
        <v>900</v>
      </c>
      <c r="E16" s="27">
        <v>232</v>
      </c>
      <c r="F16" s="27">
        <v>201</v>
      </c>
      <c r="G16" s="27">
        <v>239</v>
      </c>
      <c r="H16" s="77">
        <f t="shared" si="1"/>
        <v>3338</v>
      </c>
      <c r="I16" s="27">
        <v>0</v>
      </c>
      <c r="J16" s="80"/>
      <c r="K16" s="27">
        <v>11</v>
      </c>
      <c r="L16" s="27">
        <v>0</v>
      </c>
      <c r="M16" s="27">
        <v>13</v>
      </c>
      <c r="N16" s="27">
        <v>0</v>
      </c>
      <c r="O16" s="27">
        <f t="shared" si="0"/>
        <v>13</v>
      </c>
      <c r="P16" s="83">
        <f t="shared" si="2"/>
        <v>5871</v>
      </c>
      <c r="Q16" s="38"/>
    </row>
    <row r="17" spans="1:26" ht="18" customHeight="1" thickBot="1" x14ac:dyDescent="0.35">
      <c r="A17" s="76">
        <v>12</v>
      </c>
      <c r="B17" s="27">
        <f>1782+20</f>
        <v>1802</v>
      </c>
      <c r="C17" s="27">
        <v>12</v>
      </c>
      <c r="D17" s="27">
        <v>1078</v>
      </c>
      <c r="E17" s="27">
        <v>209</v>
      </c>
      <c r="F17" s="27">
        <v>233</v>
      </c>
      <c r="G17" s="27">
        <v>210</v>
      </c>
      <c r="H17" s="77">
        <f t="shared" si="1"/>
        <v>3544</v>
      </c>
      <c r="I17" s="27">
        <v>0</v>
      </c>
      <c r="J17" s="80"/>
      <c r="K17" s="27">
        <v>12</v>
      </c>
      <c r="L17" s="27">
        <v>1</v>
      </c>
      <c r="M17" s="27">
        <v>19</v>
      </c>
      <c r="N17" s="27">
        <v>2</v>
      </c>
      <c r="O17" s="27">
        <f t="shared" si="0"/>
        <v>22</v>
      </c>
      <c r="P17" s="83">
        <f t="shared" si="2"/>
        <v>5871</v>
      </c>
    </row>
    <row r="18" spans="1:26" ht="18" customHeight="1" thickBot="1" x14ac:dyDescent="0.35">
      <c r="A18" s="76">
        <v>13</v>
      </c>
      <c r="B18" s="27">
        <f>1867+29</f>
        <v>1896</v>
      </c>
      <c r="C18" s="27">
        <v>20</v>
      </c>
      <c r="D18" s="27">
        <v>1116</v>
      </c>
      <c r="E18" s="27">
        <v>247</v>
      </c>
      <c r="F18" s="27">
        <v>204</v>
      </c>
      <c r="G18" s="27">
        <v>221</v>
      </c>
      <c r="H18" s="77">
        <f t="shared" si="1"/>
        <v>3704</v>
      </c>
      <c r="I18" s="27">
        <v>0</v>
      </c>
      <c r="J18" s="80"/>
      <c r="K18" s="27">
        <v>13</v>
      </c>
      <c r="L18" s="27">
        <v>0</v>
      </c>
      <c r="M18" s="27">
        <v>22</v>
      </c>
      <c r="N18" s="27">
        <v>0</v>
      </c>
      <c r="O18" s="27">
        <f t="shared" si="0"/>
        <v>22</v>
      </c>
      <c r="P18" s="83">
        <f t="shared" si="2"/>
        <v>5871</v>
      </c>
    </row>
    <row r="19" spans="1:26" ht="18" customHeight="1" thickBot="1" x14ac:dyDescent="0.35">
      <c r="A19" s="76">
        <v>14</v>
      </c>
      <c r="B19" s="27">
        <f>2658+19</f>
        <v>2677</v>
      </c>
      <c r="C19" s="27">
        <v>13</v>
      </c>
      <c r="D19" s="27">
        <v>1049</v>
      </c>
      <c r="E19" s="27">
        <v>180</v>
      </c>
      <c r="F19" s="27">
        <v>215</v>
      </c>
      <c r="G19" s="27">
        <v>263</v>
      </c>
      <c r="H19" s="77">
        <f t="shared" si="1"/>
        <v>4397</v>
      </c>
      <c r="I19" s="27">
        <v>0</v>
      </c>
      <c r="J19" s="80"/>
      <c r="K19" s="27">
        <v>14</v>
      </c>
      <c r="L19" s="27">
        <v>6</v>
      </c>
      <c r="M19" s="27">
        <v>16</v>
      </c>
      <c r="N19" s="27">
        <v>1</v>
      </c>
      <c r="O19" s="27">
        <f t="shared" si="0"/>
        <v>23</v>
      </c>
      <c r="P19" s="83">
        <f t="shared" si="2"/>
        <v>5871</v>
      </c>
    </row>
    <row r="20" spans="1:26" ht="18" customHeight="1" thickBot="1" x14ac:dyDescent="0.35">
      <c r="A20" s="76">
        <v>15</v>
      </c>
      <c r="B20" s="27">
        <f>3410+20</f>
        <v>3430</v>
      </c>
      <c r="C20" s="27">
        <v>15</v>
      </c>
      <c r="D20" s="27">
        <v>907</v>
      </c>
      <c r="E20" s="27">
        <v>139</v>
      </c>
      <c r="F20" s="27">
        <v>233</v>
      </c>
      <c r="G20" s="27">
        <v>242</v>
      </c>
      <c r="H20" s="77">
        <f t="shared" si="1"/>
        <v>4966</v>
      </c>
      <c r="I20" s="27">
        <v>0</v>
      </c>
      <c r="J20" s="80"/>
      <c r="K20" s="27">
        <v>15</v>
      </c>
      <c r="L20" s="27">
        <v>0</v>
      </c>
      <c r="M20" s="27">
        <v>10</v>
      </c>
      <c r="N20" s="27">
        <v>2</v>
      </c>
      <c r="O20" s="27">
        <f t="shared" si="0"/>
        <v>12</v>
      </c>
      <c r="P20" s="83">
        <f t="shared" si="2"/>
        <v>5871</v>
      </c>
    </row>
    <row r="21" spans="1:26" ht="18" customHeight="1" thickBot="1" x14ac:dyDescent="0.35">
      <c r="A21" s="76">
        <v>16</v>
      </c>
      <c r="B21" s="27">
        <f>4362+9</f>
        <v>4371</v>
      </c>
      <c r="C21" s="27">
        <v>14</v>
      </c>
      <c r="D21" s="27">
        <v>772</v>
      </c>
      <c r="E21" s="27">
        <v>106</v>
      </c>
      <c r="F21" s="27">
        <v>126</v>
      </c>
      <c r="G21" s="27">
        <v>186</v>
      </c>
      <c r="H21" s="77">
        <f t="shared" si="1"/>
        <v>5575</v>
      </c>
      <c r="I21" s="27">
        <v>0</v>
      </c>
      <c r="J21" s="80"/>
      <c r="K21" s="27">
        <v>16</v>
      </c>
      <c r="L21" s="27">
        <v>4</v>
      </c>
      <c r="M21" s="27">
        <v>3</v>
      </c>
      <c r="N21" s="27">
        <v>0</v>
      </c>
      <c r="O21" s="27">
        <f t="shared" si="0"/>
        <v>7</v>
      </c>
      <c r="P21" s="83">
        <f>+P20</f>
        <v>5871</v>
      </c>
    </row>
    <row r="22" spans="1:26" ht="18" customHeight="1" thickBot="1" x14ac:dyDescent="0.35">
      <c r="A22" s="76">
        <v>17</v>
      </c>
      <c r="B22" s="27">
        <f>2077+21</f>
        <v>2098</v>
      </c>
      <c r="C22" s="27">
        <v>14</v>
      </c>
      <c r="D22" s="27">
        <v>844</v>
      </c>
      <c r="E22" s="27">
        <v>183</v>
      </c>
      <c r="F22" s="27">
        <v>205</v>
      </c>
      <c r="G22" s="27">
        <v>254</v>
      </c>
      <c r="H22" s="77">
        <f>SUM(B22:G22)</f>
        <v>3598</v>
      </c>
      <c r="I22" s="27">
        <v>0</v>
      </c>
      <c r="J22" s="80"/>
      <c r="K22" s="27">
        <v>17</v>
      </c>
      <c r="L22" s="27">
        <v>1</v>
      </c>
      <c r="M22" s="27">
        <v>20</v>
      </c>
      <c r="N22" s="27">
        <v>1</v>
      </c>
      <c r="O22" s="27">
        <f t="shared" si="0"/>
        <v>22</v>
      </c>
      <c r="P22" s="83">
        <f t="shared" si="2"/>
        <v>5871</v>
      </c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spans="1:26" ht="18" customHeight="1" thickBot="1" x14ac:dyDescent="0.35">
      <c r="A23" s="76">
        <v>18</v>
      </c>
      <c r="B23" s="27">
        <f>2024+20</f>
        <v>2044</v>
      </c>
      <c r="C23" s="27">
        <v>18</v>
      </c>
      <c r="D23" s="27">
        <v>1037</v>
      </c>
      <c r="E23" s="27">
        <v>219</v>
      </c>
      <c r="F23" s="27">
        <v>194</v>
      </c>
      <c r="G23" s="27">
        <v>224</v>
      </c>
      <c r="H23" s="77">
        <f t="shared" si="1"/>
        <v>3736</v>
      </c>
      <c r="I23" s="27">
        <v>0</v>
      </c>
      <c r="J23" s="80"/>
      <c r="K23" s="27">
        <v>18</v>
      </c>
      <c r="L23" s="27">
        <v>0</v>
      </c>
      <c r="M23" s="27">
        <v>28</v>
      </c>
      <c r="N23" s="27">
        <v>0</v>
      </c>
      <c r="O23" s="27">
        <f t="shared" si="0"/>
        <v>28</v>
      </c>
      <c r="P23" s="83">
        <f t="shared" si="2"/>
        <v>5871</v>
      </c>
    </row>
    <row r="24" spans="1:26" s="38" customFormat="1" ht="18" customHeight="1" thickBot="1" x14ac:dyDescent="0.35">
      <c r="A24" s="76">
        <v>19</v>
      </c>
      <c r="B24" s="27">
        <f>2216+36</f>
        <v>2252</v>
      </c>
      <c r="C24" s="27">
        <v>19</v>
      </c>
      <c r="D24" s="27">
        <v>1082</v>
      </c>
      <c r="E24" s="27">
        <v>198</v>
      </c>
      <c r="F24" s="27">
        <v>165</v>
      </c>
      <c r="G24" s="27">
        <v>237</v>
      </c>
      <c r="H24" s="77">
        <f t="shared" si="1"/>
        <v>3953</v>
      </c>
      <c r="I24" s="27">
        <v>0</v>
      </c>
      <c r="J24" s="80"/>
      <c r="K24" s="27">
        <v>19</v>
      </c>
      <c r="L24" s="27">
        <v>2</v>
      </c>
      <c r="M24" s="27">
        <v>28</v>
      </c>
      <c r="N24" s="27">
        <v>0</v>
      </c>
      <c r="O24" s="27">
        <f t="shared" si="0"/>
        <v>30</v>
      </c>
      <c r="P24" s="83">
        <f t="shared" si="2"/>
        <v>5871</v>
      </c>
    </row>
    <row r="25" spans="1:26" ht="18" customHeight="1" thickBot="1" x14ac:dyDescent="0.35">
      <c r="A25" s="76">
        <v>20</v>
      </c>
      <c r="B25" s="27">
        <f>2175+26</f>
        <v>2201</v>
      </c>
      <c r="C25" s="27">
        <v>14</v>
      </c>
      <c r="D25" s="27">
        <v>931</v>
      </c>
      <c r="E25" s="27">
        <v>150</v>
      </c>
      <c r="F25" s="27">
        <v>168</v>
      </c>
      <c r="G25" s="27">
        <v>230</v>
      </c>
      <c r="H25" s="77">
        <f t="shared" si="1"/>
        <v>3694</v>
      </c>
      <c r="I25" s="27">
        <v>0</v>
      </c>
      <c r="J25" s="80"/>
      <c r="K25" s="27">
        <v>20</v>
      </c>
      <c r="L25" s="27">
        <v>0</v>
      </c>
      <c r="M25" s="27">
        <v>9</v>
      </c>
      <c r="N25" s="27">
        <v>3</v>
      </c>
      <c r="O25" s="27">
        <f t="shared" si="0"/>
        <v>12</v>
      </c>
      <c r="P25" s="83">
        <f t="shared" si="2"/>
        <v>5871</v>
      </c>
    </row>
    <row r="26" spans="1:26" ht="18" customHeight="1" thickBot="1" x14ac:dyDescent="0.35">
      <c r="A26" s="76">
        <v>21</v>
      </c>
      <c r="B26" s="27">
        <f>3346+33</f>
        <v>3379</v>
      </c>
      <c r="C26" s="27">
        <v>23</v>
      </c>
      <c r="D26" s="27">
        <v>1055</v>
      </c>
      <c r="E26" s="27">
        <v>164</v>
      </c>
      <c r="F26" s="27">
        <v>196</v>
      </c>
      <c r="G26" s="27">
        <v>233</v>
      </c>
      <c r="H26" s="77">
        <f t="shared" si="1"/>
        <v>5050</v>
      </c>
      <c r="I26" s="27">
        <v>0</v>
      </c>
      <c r="J26" s="80"/>
      <c r="K26" s="27">
        <v>21</v>
      </c>
      <c r="L26" s="27">
        <v>0</v>
      </c>
      <c r="M26" s="27">
        <v>6</v>
      </c>
      <c r="N26" s="27">
        <v>1</v>
      </c>
      <c r="O26" s="27">
        <f t="shared" si="0"/>
        <v>7</v>
      </c>
      <c r="P26" s="83">
        <f t="shared" si="2"/>
        <v>5871</v>
      </c>
    </row>
    <row r="27" spans="1:26" ht="18" customHeight="1" thickBot="1" x14ac:dyDescent="0.35">
      <c r="A27" s="76">
        <v>22</v>
      </c>
      <c r="B27" s="27">
        <f>3938+10</f>
        <v>3948</v>
      </c>
      <c r="C27" s="27">
        <v>11</v>
      </c>
      <c r="D27" s="27">
        <v>871</v>
      </c>
      <c r="E27" s="27">
        <v>167</v>
      </c>
      <c r="F27" s="27">
        <v>196</v>
      </c>
      <c r="G27" s="27">
        <v>147</v>
      </c>
      <c r="H27" s="77">
        <f t="shared" si="1"/>
        <v>5340</v>
      </c>
      <c r="I27" s="27">
        <v>0</v>
      </c>
      <c r="J27" s="80"/>
      <c r="K27" s="27">
        <v>22</v>
      </c>
      <c r="L27" s="27">
        <v>1</v>
      </c>
      <c r="M27" s="27">
        <v>5</v>
      </c>
      <c r="N27" s="27">
        <v>1</v>
      </c>
      <c r="O27" s="27">
        <f t="shared" si="0"/>
        <v>7</v>
      </c>
      <c r="P27" s="83">
        <f t="shared" si="2"/>
        <v>5871</v>
      </c>
    </row>
    <row r="28" spans="1:26" ht="18" customHeight="1" thickBot="1" x14ac:dyDescent="0.35">
      <c r="A28" s="76">
        <v>23</v>
      </c>
      <c r="B28" s="27">
        <f>5211+10</f>
        <v>5221</v>
      </c>
      <c r="C28" s="27">
        <v>12</v>
      </c>
      <c r="D28" s="27">
        <v>753</v>
      </c>
      <c r="E28" s="27">
        <v>88</v>
      </c>
      <c r="F28" s="27">
        <v>130</v>
      </c>
      <c r="G28" s="27">
        <v>170</v>
      </c>
      <c r="H28" s="77">
        <f t="shared" si="1"/>
        <v>6374</v>
      </c>
      <c r="I28" s="27">
        <v>0</v>
      </c>
      <c r="J28" s="80"/>
      <c r="K28" s="27">
        <v>23</v>
      </c>
      <c r="L28" s="27">
        <v>0</v>
      </c>
      <c r="M28" s="27">
        <v>2</v>
      </c>
      <c r="N28" s="27">
        <v>0</v>
      </c>
      <c r="O28" s="27">
        <f t="shared" si="0"/>
        <v>2</v>
      </c>
      <c r="P28" s="83">
        <f t="shared" si="2"/>
        <v>5871</v>
      </c>
    </row>
    <row r="29" spans="1:26" ht="18" customHeight="1" thickBot="1" x14ac:dyDescent="0.35">
      <c r="A29" s="76">
        <v>24</v>
      </c>
      <c r="B29" s="27">
        <f>2564+17</f>
        <v>2581</v>
      </c>
      <c r="C29" s="27">
        <v>17</v>
      </c>
      <c r="D29" s="27">
        <v>921</v>
      </c>
      <c r="E29" s="27">
        <v>189</v>
      </c>
      <c r="F29" s="27">
        <v>224</v>
      </c>
      <c r="G29" s="27">
        <v>243</v>
      </c>
      <c r="H29" s="77">
        <f t="shared" si="1"/>
        <v>4175</v>
      </c>
      <c r="I29" s="27">
        <v>0</v>
      </c>
      <c r="J29" s="80"/>
      <c r="K29" s="27">
        <v>24</v>
      </c>
      <c r="L29" s="27">
        <v>1</v>
      </c>
      <c r="M29" s="27">
        <v>9</v>
      </c>
      <c r="N29" s="27">
        <v>1</v>
      </c>
      <c r="O29" s="27">
        <f t="shared" si="0"/>
        <v>11</v>
      </c>
      <c r="P29" s="83">
        <f t="shared" si="2"/>
        <v>5871</v>
      </c>
    </row>
    <row r="30" spans="1:26" s="38" customFormat="1" ht="18" customHeight="1" thickBot="1" x14ac:dyDescent="0.35">
      <c r="A30" s="76">
        <v>25</v>
      </c>
      <c r="B30" s="27">
        <f>2448+21</f>
        <v>2469</v>
      </c>
      <c r="C30" s="27">
        <v>16</v>
      </c>
      <c r="D30" s="27">
        <v>1111</v>
      </c>
      <c r="E30" s="27">
        <v>268</v>
      </c>
      <c r="F30" s="27">
        <v>207</v>
      </c>
      <c r="G30" s="27">
        <v>246</v>
      </c>
      <c r="H30" s="77">
        <f t="shared" si="1"/>
        <v>4317</v>
      </c>
      <c r="I30" s="27">
        <v>0</v>
      </c>
      <c r="J30" s="80"/>
      <c r="K30" s="27">
        <v>25</v>
      </c>
      <c r="L30" s="27">
        <v>0</v>
      </c>
      <c r="M30" s="27">
        <v>12</v>
      </c>
      <c r="N30" s="27">
        <v>2</v>
      </c>
      <c r="O30" s="27">
        <f t="shared" si="0"/>
        <v>14</v>
      </c>
      <c r="P30" s="83">
        <f t="shared" si="2"/>
        <v>5871</v>
      </c>
    </row>
    <row r="31" spans="1:26" ht="18" customHeight="1" thickBot="1" x14ac:dyDescent="0.35">
      <c r="A31" s="76">
        <v>26</v>
      </c>
      <c r="B31" s="27">
        <f>2551+31</f>
        <v>2582</v>
      </c>
      <c r="C31" s="27">
        <v>12</v>
      </c>
      <c r="D31" s="27">
        <v>1327</v>
      </c>
      <c r="E31" s="27">
        <v>297</v>
      </c>
      <c r="F31" s="27">
        <v>330</v>
      </c>
      <c r="G31" s="27">
        <v>345</v>
      </c>
      <c r="H31" s="77">
        <f t="shared" si="1"/>
        <v>4893</v>
      </c>
      <c r="I31" s="27">
        <v>0</v>
      </c>
      <c r="J31" s="80"/>
      <c r="K31" s="27">
        <v>26</v>
      </c>
      <c r="L31" s="27">
        <v>1</v>
      </c>
      <c r="M31" s="27">
        <v>28</v>
      </c>
      <c r="N31" s="27">
        <v>0</v>
      </c>
      <c r="O31" s="27">
        <f t="shared" si="0"/>
        <v>29</v>
      </c>
      <c r="P31" s="83">
        <f t="shared" si="2"/>
        <v>5871</v>
      </c>
    </row>
    <row r="32" spans="1:26" ht="18" customHeight="1" thickBot="1" x14ac:dyDescent="0.35">
      <c r="A32" s="76">
        <v>27</v>
      </c>
      <c r="B32" s="27">
        <f>3165+15</f>
        <v>3180</v>
      </c>
      <c r="C32" s="27">
        <v>17</v>
      </c>
      <c r="D32" s="27">
        <v>1149</v>
      </c>
      <c r="E32" s="27">
        <v>241</v>
      </c>
      <c r="F32" s="27">
        <v>236</v>
      </c>
      <c r="G32" s="27">
        <v>230</v>
      </c>
      <c r="H32" s="77">
        <f t="shared" si="1"/>
        <v>5053</v>
      </c>
      <c r="I32" s="27">
        <v>0</v>
      </c>
      <c r="J32" s="80"/>
      <c r="K32" s="27">
        <v>27</v>
      </c>
      <c r="L32" s="27">
        <v>1</v>
      </c>
      <c r="M32" s="27">
        <v>20</v>
      </c>
      <c r="N32" s="27">
        <v>3</v>
      </c>
      <c r="O32" s="27">
        <f t="shared" si="0"/>
        <v>24</v>
      </c>
      <c r="P32" s="83">
        <f t="shared" si="2"/>
        <v>5871</v>
      </c>
    </row>
    <row r="33" spans="1:17" ht="15.75" customHeight="1" thickBot="1" x14ac:dyDescent="0.35">
      <c r="A33" s="76">
        <v>28</v>
      </c>
      <c r="B33" s="27">
        <f>6519+23</f>
        <v>6542</v>
      </c>
      <c r="C33" s="27">
        <v>12</v>
      </c>
      <c r="D33" s="27">
        <v>1171</v>
      </c>
      <c r="E33" s="27">
        <v>246</v>
      </c>
      <c r="F33" s="27">
        <v>220</v>
      </c>
      <c r="G33" s="27">
        <v>186</v>
      </c>
      <c r="H33" s="77">
        <f t="shared" si="1"/>
        <v>8377</v>
      </c>
      <c r="I33" s="27">
        <v>0</v>
      </c>
      <c r="J33" s="80"/>
      <c r="K33" s="27">
        <v>28</v>
      </c>
      <c r="L33" s="27">
        <v>0</v>
      </c>
      <c r="M33" s="27">
        <v>25</v>
      </c>
      <c r="N33" s="27">
        <v>0</v>
      </c>
      <c r="O33" s="27">
        <f t="shared" si="0"/>
        <v>25</v>
      </c>
      <c r="P33" s="83">
        <f t="shared" si="2"/>
        <v>5871</v>
      </c>
    </row>
    <row r="34" spans="1:17" s="38" customFormat="1" ht="17.25" customHeight="1" thickBot="1" x14ac:dyDescent="0.35">
      <c r="A34" s="82">
        <v>29</v>
      </c>
      <c r="B34" s="27">
        <f>8500+16</f>
        <v>8516</v>
      </c>
      <c r="C34" s="27">
        <v>13</v>
      </c>
      <c r="D34" s="27">
        <v>881</v>
      </c>
      <c r="E34" s="27">
        <v>52</v>
      </c>
      <c r="F34" s="27">
        <v>114</v>
      </c>
      <c r="G34" s="27">
        <v>78</v>
      </c>
      <c r="H34" s="77">
        <f t="shared" si="1"/>
        <v>9654</v>
      </c>
      <c r="I34" s="25">
        <v>0</v>
      </c>
      <c r="J34" s="26"/>
      <c r="K34" s="27">
        <v>29</v>
      </c>
      <c r="L34" s="27">
        <v>0</v>
      </c>
      <c r="M34" s="27">
        <v>0</v>
      </c>
      <c r="N34" s="27">
        <v>0</v>
      </c>
      <c r="O34" s="27">
        <f>SUM(L34:N34)</f>
        <v>0</v>
      </c>
      <c r="P34" s="83">
        <f t="shared" si="2"/>
        <v>5871</v>
      </c>
    </row>
    <row r="35" spans="1:17" s="38" customFormat="1" ht="17.25" customHeight="1" thickBot="1" x14ac:dyDescent="0.35">
      <c r="A35" s="82">
        <v>30</v>
      </c>
      <c r="B35" s="27">
        <f>8024+19</f>
        <v>8043</v>
      </c>
      <c r="C35" s="27">
        <v>17</v>
      </c>
      <c r="D35" s="27">
        <v>891</v>
      </c>
      <c r="E35" s="27">
        <v>70</v>
      </c>
      <c r="F35" s="27">
        <v>141</v>
      </c>
      <c r="G35" s="27">
        <v>140</v>
      </c>
      <c r="H35" s="77">
        <f t="shared" si="1"/>
        <v>9302</v>
      </c>
      <c r="I35" s="25">
        <v>0</v>
      </c>
      <c r="J35" s="26"/>
      <c r="K35" s="27">
        <v>30</v>
      </c>
      <c r="L35" s="27">
        <v>0</v>
      </c>
      <c r="M35" s="27">
        <v>4</v>
      </c>
      <c r="N35" s="27">
        <v>2</v>
      </c>
      <c r="O35" s="27">
        <f>SUM(L35:N35)</f>
        <v>6</v>
      </c>
      <c r="P35" s="83">
        <f t="shared" si="2"/>
        <v>5871</v>
      </c>
    </row>
    <row r="36" spans="1:17" s="38" customFormat="1" ht="17.25" customHeight="1" thickBot="1" x14ac:dyDescent="0.35">
      <c r="A36" s="82">
        <v>31</v>
      </c>
      <c r="B36" s="27"/>
      <c r="C36" s="27"/>
      <c r="D36" s="27"/>
      <c r="E36" s="27"/>
      <c r="F36" s="27"/>
      <c r="G36" s="27"/>
      <c r="H36" s="77">
        <f t="shared" si="1"/>
        <v>0</v>
      </c>
      <c r="I36" s="25">
        <v>0</v>
      </c>
      <c r="J36" s="26"/>
      <c r="K36" s="27">
        <v>31</v>
      </c>
      <c r="L36" s="27"/>
      <c r="M36" s="27"/>
      <c r="N36" s="27"/>
      <c r="O36" s="27">
        <f t="shared" ref="O36" si="3">SUM(L36:N36)</f>
        <v>0</v>
      </c>
      <c r="P36" s="83">
        <f t="shared" si="2"/>
        <v>5871</v>
      </c>
    </row>
    <row r="37" spans="1:17" s="51" customFormat="1" ht="18" customHeight="1" thickBot="1" x14ac:dyDescent="0.35">
      <c r="A37" s="49" t="s">
        <v>18</v>
      </c>
      <c r="B37" s="67">
        <f>SUM(B6:B36)</f>
        <v>115745</v>
      </c>
      <c r="C37" s="67">
        <f t="shared" ref="C37:H37" si="4">SUM(C6:C36)</f>
        <v>401</v>
      </c>
      <c r="D37" s="67">
        <f t="shared" si="4"/>
        <v>28293</v>
      </c>
      <c r="E37" s="67">
        <f t="shared" si="4"/>
        <v>5102</v>
      </c>
      <c r="F37" s="67">
        <f t="shared" si="4"/>
        <v>5639</v>
      </c>
      <c r="G37" s="67">
        <f t="shared" si="4"/>
        <v>5900</v>
      </c>
      <c r="H37" s="67">
        <f t="shared" si="4"/>
        <v>161080</v>
      </c>
      <c r="I37" s="67">
        <f>SUM(I6:I33)</f>
        <v>0</v>
      </c>
      <c r="J37" s="54"/>
      <c r="K37" s="49" t="s">
        <v>19</v>
      </c>
      <c r="L37" s="68">
        <f>SUM(L6:L36)</f>
        <v>22</v>
      </c>
      <c r="M37" s="68">
        <f t="shared" ref="M37:O37" si="5">SUM(M6:M36)</f>
        <v>379</v>
      </c>
      <c r="N37" s="68">
        <f t="shared" si="5"/>
        <v>25</v>
      </c>
      <c r="O37" s="68">
        <f t="shared" si="5"/>
        <v>426</v>
      </c>
      <c r="P37" s="69"/>
      <c r="Q37" s="69"/>
    </row>
    <row r="38" spans="1:17" s="51" customFormat="1" ht="18" customHeight="1" thickBot="1" x14ac:dyDescent="0.35">
      <c r="A38" s="49" t="s">
        <v>19</v>
      </c>
      <c r="B38" s="110">
        <f>+B37+C37</f>
        <v>116146</v>
      </c>
      <c r="C38" s="111"/>
      <c r="D38" s="68">
        <f t="shared" ref="D38:I38" si="6">+D37</f>
        <v>28293</v>
      </c>
      <c r="E38" s="68">
        <f t="shared" si="6"/>
        <v>5102</v>
      </c>
      <c r="F38" s="68">
        <f t="shared" si="6"/>
        <v>5639</v>
      </c>
      <c r="G38" s="68">
        <f t="shared" si="6"/>
        <v>5900</v>
      </c>
      <c r="H38" s="68">
        <f t="shared" si="6"/>
        <v>161080</v>
      </c>
      <c r="I38" s="68">
        <f t="shared" si="6"/>
        <v>0</v>
      </c>
      <c r="J38" s="54"/>
      <c r="K38" s="49" t="s">
        <v>20</v>
      </c>
      <c r="L38" s="55" t="s">
        <v>21</v>
      </c>
      <c r="M38" s="55" t="s">
        <v>22</v>
      </c>
      <c r="N38" s="55" t="s">
        <v>21</v>
      </c>
      <c r="O38" s="55" t="s">
        <v>22</v>
      </c>
      <c r="P38" s="69"/>
      <c r="Q38" s="69"/>
    </row>
  </sheetData>
  <mergeCells count="12">
    <mergeCell ref="N4:N5"/>
    <mergeCell ref="O4:O5"/>
    <mergeCell ref="B38:C38"/>
    <mergeCell ref="A1:O1"/>
    <mergeCell ref="A2:O2"/>
    <mergeCell ref="A3:O3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23932-BDC6-4023-928E-A4CAF5598384}">
  <dimension ref="A1:Z38"/>
  <sheetViews>
    <sheetView workbookViewId="0">
      <selection activeCell="G8" sqref="G8"/>
    </sheetView>
  </sheetViews>
  <sheetFormatPr baseColWidth="10" defaultColWidth="11.44140625" defaultRowHeight="14.4" x14ac:dyDescent="0.3"/>
  <cols>
    <col min="1" max="1" width="13.5546875" customWidth="1"/>
    <col min="2" max="2" width="11.33203125" customWidth="1"/>
    <col min="3" max="3" width="8.5546875" customWidth="1"/>
    <col min="4" max="4" width="18.6640625" customWidth="1"/>
    <col min="5" max="5" width="13.6640625" customWidth="1"/>
    <col min="6" max="6" width="13.33203125" customWidth="1"/>
    <col min="7" max="7" width="13.109375" customWidth="1"/>
    <col min="8" max="8" width="17.109375" customWidth="1"/>
    <col min="9" max="9" width="14.44140625" bestFit="1" customWidth="1"/>
    <col min="10" max="10" width="3.88671875" customWidth="1"/>
    <col min="11" max="11" width="10.6640625" customWidth="1"/>
    <col min="12" max="12" width="14.88671875" customWidth="1"/>
    <col min="13" max="13" width="15.88671875" customWidth="1"/>
    <col min="14" max="14" width="10.109375" customWidth="1"/>
    <col min="15" max="15" width="9.88671875" customWidth="1"/>
  </cols>
  <sheetData>
    <row r="1" spans="1:19" ht="15.6" x14ac:dyDescent="0.3">
      <c r="A1" s="100" t="s">
        <v>23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19" ht="15.6" x14ac:dyDescent="0.3">
      <c r="A2" s="100" t="s">
        <v>25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</row>
    <row r="3" spans="1:19" ht="16.2" thickBot="1" x14ac:dyDescent="0.35">
      <c r="A3" s="101" t="s">
        <v>31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</row>
    <row r="4" spans="1:19" s="51" customFormat="1" ht="78" customHeight="1" thickBot="1" x14ac:dyDescent="0.35">
      <c r="A4" s="64" t="s">
        <v>0</v>
      </c>
      <c r="B4" s="112" t="s">
        <v>1</v>
      </c>
      <c r="C4" s="113"/>
      <c r="D4" s="65" t="s">
        <v>2</v>
      </c>
      <c r="E4" s="66" t="s">
        <v>3</v>
      </c>
      <c r="F4" s="66" t="s">
        <v>4</v>
      </c>
      <c r="G4" s="66" t="s">
        <v>5</v>
      </c>
      <c r="H4" s="114" t="s">
        <v>6</v>
      </c>
      <c r="I4" s="108" t="s">
        <v>7</v>
      </c>
      <c r="J4" s="39"/>
      <c r="K4" s="116" t="s">
        <v>0</v>
      </c>
      <c r="L4" s="108" t="s">
        <v>8</v>
      </c>
      <c r="M4" s="108" t="s">
        <v>9</v>
      </c>
      <c r="N4" s="108" t="s">
        <v>10</v>
      </c>
      <c r="O4" s="108" t="s">
        <v>11</v>
      </c>
    </row>
    <row r="5" spans="1:19" s="51" customFormat="1" ht="18" customHeight="1" thickBot="1" x14ac:dyDescent="0.35">
      <c r="B5" s="49" t="s">
        <v>12</v>
      </c>
      <c r="C5" s="49" t="s">
        <v>13</v>
      </c>
      <c r="D5" s="49" t="s">
        <v>14</v>
      </c>
      <c r="E5" s="49" t="s">
        <v>15</v>
      </c>
      <c r="F5" s="49" t="s">
        <v>16</v>
      </c>
      <c r="G5" s="49" t="s">
        <v>17</v>
      </c>
      <c r="H5" s="115"/>
      <c r="I5" s="109"/>
      <c r="J5" s="40"/>
      <c r="K5" s="117"/>
      <c r="L5" s="109"/>
      <c r="M5" s="109"/>
      <c r="N5" s="109"/>
      <c r="O5" s="109"/>
    </row>
    <row r="6" spans="1:19" ht="18" customHeight="1" thickBot="1" x14ac:dyDescent="0.35">
      <c r="A6" s="70">
        <v>1</v>
      </c>
      <c r="B6" s="71">
        <f>11858+15</f>
        <v>11873</v>
      </c>
      <c r="C6" s="71">
        <v>11</v>
      </c>
      <c r="D6" s="71">
        <v>758</v>
      </c>
      <c r="E6" s="71">
        <v>41</v>
      </c>
      <c r="F6" s="71">
        <v>53</v>
      </c>
      <c r="G6" s="71">
        <v>68</v>
      </c>
      <c r="H6" s="72">
        <f>SUM(B6:G6)</f>
        <v>12804</v>
      </c>
      <c r="I6" s="73">
        <v>0</v>
      </c>
      <c r="J6" s="74"/>
      <c r="K6" s="75">
        <v>1</v>
      </c>
      <c r="L6" s="71">
        <v>0</v>
      </c>
      <c r="M6" s="71">
        <v>0</v>
      </c>
      <c r="N6" s="71">
        <v>0</v>
      </c>
      <c r="O6" s="71">
        <f>SUM(L6:N6)</f>
        <v>0</v>
      </c>
      <c r="P6" s="83">
        <v>5871</v>
      </c>
    </row>
    <row r="7" spans="1:19" ht="18" customHeight="1" thickBot="1" x14ac:dyDescent="0.35">
      <c r="A7" s="76">
        <v>2</v>
      </c>
      <c r="B7" s="71">
        <f>3389+17</f>
        <v>3406</v>
      </c>
      <c r="C7" s="71">
        <v>16</v>
      </c>
      <c r="D7" s="71">
        <v>980</v>
      </c>
      <c r="E7" s="71">
        <v>178</v>
      </c>
      <c r="F7" s="71">
        <v>213</v>
      </c>
      <c r="G7" s="71">
        <v>226</v>
      </c>
      <c r="H7" s="77">
        <f>SUM(B7:G7)</f>
        <v>5019</v>
      </c>
      <c r="I7" s="78">
        <v>0</v>
      </c>
      <c r="J7" s="74"/>
      <c r="K7" s="79">
        <v>2</v>
      </c>
      <c r="L7" s="27">
        <v>3</v>
      </c>
      <c r="M7" s="27">
        <v>0</v>
      </c>
      <c r="N7" s="27">
        <v>0</v>
      </c>
      <c r="O7" s="27">
        <f t="shared" ref="O7:O33" si="0">SUM(L7:N7)</f>
        <v>3</v>
      </c>
      <c r="P7" s="83">
        <f>+P6</f>
        <v>5871</v>
      </c>
    </row>
    <row r="8" spans="1:19" ht="18" customHeight="1" thickBot="1" x14ac:dyDescent="0.35">
      <c r="A8" s="76">
        <v>3</v>
      </c>
      <c r="B8" s="27">
        <f>2793+20</f>
        <v>2813</v>
      </c>
      <c r="C8" s="27">
        <v>14</v>
      </c>
      <c r="D8" s="27">
        <v>1127</v>
      </c>
      <c r="E8" s="27">
        <v>240</v>
      </c>
      <c r="F8" s="27">
        <v>219</v>
      </c>
      <c r="G8" s="27">
        <v>198</v>
      </c>
      <c r="H8" s="77">
        <f t="shared" ref="H8:H36" si="1">SUM(B8:G8)</f>
        <v>4611</v>
      </c>
      <c r="I8" s="78">
        <v>0</v>
      </c>
      <c r="J8" s="74"/>
      <c r="K8" s="79">
        <v>3</v>
      </c>
      <c r="L8" s="27">
        <v>1</v>
      </c>
      <c r="M8" s="27">
        <v>8</v>
      </c>
      <c r="N8" s="27">
        <v>1</v>
      </c>
      <c r="O8" s="27">
        <f t="shared" si="0"/>
        <v>10</v>
      </c>
      <c r="P8" s="83">
        <f t="shared" ref="P8:P36" si="2">+P7</f>
        <v>5871</v>
      </c>
      <c r="S8" s="37"/>
    </row>
    <row r="9" spans="1:19" ht="18" customHeight="1" thickBot="1" x14ac:dyDescent="0.35">
      <c r="A9" s="76">
        <v>4</v>
      </c>
      <c r="B9" s="27">
        <f>2828+19</f>
        <v>2847</v>
      </c>
      <c r="C9" s="27">
        <v>13</v>
      </c>
      <c r="D9" s="27">
        <v>1086</v>
      </c>
      <c r="E9" s="27">
        <v>184</v>
      </c>
      <c r="F9" s="27">
        <v>195</v>
      </c>
      <c r="G9" s="27">
        <v>226</v>
      </c>
      <c r="H9" s="77">
        <f t="shared" si="1"/>
        <v>4551</v>
      </c>
      <c r="I9" s="78">
        <v>0</v>
      </c>
      <c r="J9" s="74"/>
      <c r="K9" s="79">
        <v>4</v>
      </c>
      <c r="L9" s="27">
        <v>0</v>
      </c>
      <c r="M9" s="27">
        <v>10</v>
      </c>
      <c r="N9" s="27">
        <v>0</v>
      </c>
      <c r="O9" s="27">
        <f t="shared" si="0"/>
        <v>10</v>
      </c>
      <c r="P9" s="83">
        <f t="shared" si="2"/>
        <v>5871</v>
      </c>
    </row>
    <row r="10" spans="1:19" ht="18" customHeight="1" thickBot="1" x14ac:dyDescent="0.35">
      <c r="A10" s="76">
        <v>5</v>
      </c>
      <c r="B10" s="27">
        <f>3674+19</f>
        <v>3693</v>
      </c>
      <c r="C10" s="27">
        <v>15</v>
      </c>
      <c r="D10" s="27">
        <f>1078+14</f>
        <v>1092</v>
      </c>
      <c r="E10" s="27">
        <v>192</v>
      </c>
      <c r="F10" s="27">
        <v>176</v>
      </c>
      <c r="G10" s="27">
        <v>229</v>
      </c>
      <c r="H10" s="77">
        <f t="shared" si="1"/>
        <v>5397</v>
      </c>
      <c r="I10" s="78">
        <v>0</v>
      </c>
      <c r="J10" s="74"/>
      <c r="K10" s="79">
        <v>5</v>
      </c>
      <c r="L10" s="27">
        <v>0</v>
      </c>
      <c r="M10" s="27">
        <v>6</v>
      </c>
      <c r="N10" s="27">
        <v>0</v>
      </c>
      <c r="O10" s="27">
        <f t="shared" si="0"/>
        <v>6</v>
      </c>
      <c r="P10" s="83">
        <f t="shared" si="2"/>
        <v>5871</v>
      </c>
    </row>
    <row r="11" spans="1:19" ht="18" customHeight="1" thickBot="1" x14ac:dyDescent="0.35">
      <c r="A11" s="76">
        <v>6</v>
      </c>
      <c r="B11" s="27">
        <f>4462+22</f>
        <v>4484</v>
      </c>
      <c r="C11" s="27">
        <v>15</v>
      </c>
      <c r="D11" s="27">
        <v>927</v>
      </c>
      <c r="E11" s="27">
        <v>193</v>
      </c>
      <c r="F11" s="27">
        <v>180</v>
      </c>
      <c r="G11" s="27">
        <v>191</v>
      </c>
      <c r="H11" s="77">
        <f t="shared" si="1"/>
        <v>5990</v>
      </c>
      <c r="I11" s="78">
        <v>0</v>
      </c>
      <c r="J11" s="74"/>
      <c r="K11" s="79">
        <v>6</v>
      </c>
      <c r="L11" s="27">
        <v>1</v>
      </c>
      <c r="M11" s="27">
        <v>3</v>
      </c>
      <c r="N11" s="27">
        <v>1</v>
      </c>
      <c r="O11" s="27">
        <f t="shared" si="0"/>
        <v>5</v>
      </c>
      <c r="P11" s="83">
        <f t="shared" si="2"/>
        <v>5871</v>
      </c>
    </row>
    <row r="12" spans="1:19" ht="18" customHeight="1" thickBot="1" x14ac:dyDescent="0.35">
      <c r="A12" s="76">
        <v>7</v>
      </c>
      <c r="B12" s="27">
        <f>5956+12</f>
        <v>5968</v>
      </c>
      <c r="C12" s="27">
        <v>11</v>
      </c>
      <c r="D12" s="27">
        <v>788</v>
      </c>
      <c r="E12" s="27">
        <v>101</v>
      </c>
      <c r="F12" s="27">
        <v>111</v>
      </c>
      <c r="G12" s="27">
        <v>150</v>
      </c>
      <c r="H12" s="77">
        <f t="shared" si="1"/>
        <v>7129</v>
      </c>
      <c r="I12" s="27">
        <v>0</v>
      </c>
      <c r="J12" s="80"/>
      <c r="K12" s="27">
        <v>7</v>
      </c>
      <c r="L12" s="27">
        <v>0</v>
      </c>
      <c r="M12" s="27">
        <v>0</v>
      </c>
      <c r="N12" s="27">
        <v>0</v>
      </c>
      <c r="O12" s="27">
        <f t="shared" si="0"/>
        <v>0</v>
      </c>
      <c r="P12" s="83">
        <f t="shared" si="2"/>
        <v>5871</v>
      </c>
    </row>
    <row r="13" spans="1:19" ht="18" customHeight="1" thickBot="1" x14ac:dyDescent="0.35">
      <c r="A13" s="76">
        <v>8</v>
      </c>
      <c r="B13" s="27">
        <f>2392+14</f>
        <v>2406</v>
      </c>
      <c r="C13" s="27">
        <v>13</v>
      </c>
      <c r="D13" s="27">
        <v>937</v>
      </c>
      <c r="E13" s="27">
        <v>262</v>
      </c>
      <c r="F13" s="27">
        <v>243</v>
      </c>
      <c r="G13" s="27">
        <v>261</v>
      </c>
      <c r="H13" s="77">
        <f t="shared" si="1"/>
        <v>4122</v>
      </c>
      <c r="I13" s="27">
        <v>0</v>
      </c>
      <c r="J13" s="80"/>
      <c r="K13" s="27">
        <v>8</v>
      </c>
      <c r="L13" s="27">
        <v>0</v>
      </c>
      <c r="M13" s="27">
        <v>15</v>
      </c>
      <c r="N13" s="27">
        <v>5</v>
      </c>
      <c r="O13" s="27">
        <f t="shared" si="0"/>
        <v>20</v>
      </c>
      <c r="P13" s="83">
        <f t="shared" si="2"/>
        <v>5871</v>
      </c>
    </row>
    <row r="14" spans="1:19" s="51" customFormat="1" ht="18" customHeight="1" thickBot="1" x14ac:dyDescent="0.35">
      <c r="A14" s="76">
        <v>9</v>
      </c>
      <c r="B14" s="27">
        <f>2158+17</f>
        <v>2175</v>
      </c>
      <c r="C14" s="27">
        <v>18</v>
      </c>
      <c r="D14" s="27">
        <v>1066</v>
      </c>
      <c r="E14" s="27">
        <v>208</v>
      </c>
      <c r="F14" s="27">
        <v>222</v>
      </c>
      <c r="G14" s="27">
        <v>220</v>
      </c>
      <c r="H14" s="77">
        <f t="shared" si="1"/>
        <v>3909</v>
      </c>
      <c r="I14" s="27">
        <v>0</v>
      </c>
      <c r="J14" s="80"/>
      <c r="K14" s="27">
        <v>9</v>
      </c>
      <c r="L14" s="27">
        <v>0</v>
      </c>
      <c r="M14" s="27">
        <v>17</v>
      </c>
      <c r="N14" s="27">
        <v>4</v>
      </c>
      <c r="O14" s="27">
        <f t="shared" si="0"/>
        <v>21</v>
      </c>
      <c r="P14" s="84">
        <f t="shared" si="2"/>
        <v>5871</v>
      </c>
    </row>
    <row r="15" spans="1:19" ht="18" customHeight="1" thickBot="1" x14ac:dyDescent="0.35">
      <c r="A15" s="76">
        <v>10</v>
      </c>
      <c r="B15" s="27">
        <f>2025+27</f>
        <v>2052</v>
      </c>
      <c r="C15" s="27">
        <v>19</v>
      </c>
      <c r="D15" s="27">
        <v>1054</v>
      </c>
      <c r="E15" s="27">
        <v>262</v>
      </c>
      <c r="F15" s="27">
        <v>240</v>
      </c>
      <c r="G15" s="27">
        <v>257</v>
      </c>
      <c r="H15" s="77">
        <f t="shared" si="1"/>
        <v>3884</v>
      </c>
      <c r="I15" s="27">
        <v>0</v>
      </c>
      <c r="J15" s="80"/>
      <c r="K15" s="27">
        <v>10</v>
      </c>
      <c r="L15" s="27">
        <v>1</v>
      </c>
      <c r="M15" s="27">
        <v>14</v>
      </c>
      <c r="N15" s="27">
        <v>5</v>
      </c>
      <c r="O15" s="27">
        <f t="shared" si="0"/>
        <v>20</v>
      </c>
      <c r="P15" s="83">
        <f t="shared" si="2"/>
        <v>5871</v>
      </c>
    </row>
    <row r="16" spans="1:19" ht="18" customHeight="1" thickBot="1" x14ac:dyDescent="0.35">
      <c r="A16" s="76">
        <v>11</v>
      </c>
      <c r="B16" s="27">
        <f>2241+21</f>
        <v>2262</v>
      </c>
      <c r="C16" s="27">
        <v>19</v>
      </c>
      <c r="D16" s="27">
        <v>1069</v>
      </c>
      <c r="E16" s="27">
        <v>250</v>
      </c>
      <c r="F16" s="27">
        <v>230</v>
      </c>
      <c r="G16" s="27">
        <v>256</v>
      </c>
      <c r="H16" s="77">
        <f t="shared" si="1"/>
        <v>4086</v>
      </c>
      <c r="I16" s="27">
        <v>0</v>
      </c>
      <c r="J16" s="80"/>
      <c r="K16" s="27">
        <v>11</v>
      </c>
      <c r="L16" s="27">
        <v>0</v>
      </c>
      <c r="M16" s="27">
        <v>5</v>
      </c>
      <c r="N16" s="27">
        <v>3</v>
      </c>
      <c r="O16" s="27">
        <f t="shared" si="0"/>
        <v>8</v>
      </c>
      <c r="P16" s="83">
        <f t="shared" si="2"/>
        <v>5871</v>
      </c>
      <c r="Q16" s="38"/>
    </row>
    <row r="17" spans="1:26" ht="18" customHeight="1" thickBot="1" x14ac:dyDescent="0.35">
      <c r="A17" s="76">
        <v>12</v>
      </c>
      <c r="B17" s="27">
        <f>3186+18</f>
        <v>3204</v>
      </c>
      <c r="C17" s="27">
        <v>9</v>
      </c>
      <c r="D17" s="27">
        <v>1112</v>
      </c>
      <c r="E17" s="27">
        <v>203</v>
      </c>
      <c r="F17" s="27">
        <v>232</v>
      </c>
      <c r="G17" s="27">
        <v>239</v>
      </c>
      <c r="H17" s="77">
        <f t="shared" si="1"/>
        <v>4999</v>
      </c>
      <c r="I17" s="27">
        <v>0</v>
      </c>
      <c r="J17" s="80"/>
      <c r="K17" s="27">
        <v>12</v>
      </c>
      <c r="L17" s="27">
        <v>1</v>
      </c>
      <c r="M17" s="27">
        <v>16</v>
      </c>
      <c r="N17" s="27">
        <v>0</v>
      </c>
      <c r="O17" s="27">
        <f t="shared" si="0"/>
        <v>17</v>
      </c>
      <c r="P17" s="83">
        <f t="shared" si="2"/>
        <v>5871</v>
      </c>
    </row>
    <row r="18" spans="1:26" ht="18" customHeight="1" thickBot="1" x14ac:dyDescent="0.35">
      <c r="A18" s="76">
        <v>13</v>
      </c>
      <c r="B18" s="27">
        <f>3595+16</f>
        <v>3611</v>
      </c>
      <c r="C18" s="27">
        <v>8</v>
      </c>
      <c r="D18" s="27">
        <v>870</v>
      </c>
      <c r="E18" s="27">
        <v>174</v>
      </c>
      <c r="F18" s="27">
        <v>193</v>
      </c>
      <c r="G18" s="27">
        <v>199</v>
      </c>
      <c r="H18" s="77">
        <f t="shared" si="1"/>
        <v>5055</v>
      </c>
      <c r="I18" s="27">
        <v>0</v>
      </c>
      <c r="J18" s="80"/>
      <c r="K18" s="27">
        <v>13</v>
      </c>
      <c r="L18" s="27">
        <v>0</v>
      </c>
      <c r="M18" s="27">
        <v>3</v>
      </c>
      <c r="N18" s="27">
        <v>1</v>
      </c>
      <c r="O18" s="27">
        <f t="shared" si="0"/>
        <v>4</v>
      </c>
      <c r="P18" s="83">
        <f t="shared" si="2"/>
        <v>5871</v>
      </c>
    </row>
    <row r="19" spans="1:26" ht="18" customHeight="1" thickBot="1" x14ac:dyDescent="0.35">
      <c r="A19" s="76">
        <v>14</v>
      </c>
      <c r="B19" s="27">
        <f>4730+10</f>
        <v>4740</v>
      </c>
      <c r="C19" s="27">
        <v>8</v>
      </c>
      <c r="D19" s="27">
        <v>758</v>
      </c>
      <c r="E19" s="27">
        <v>95</v>
      </c>
      <c r="F19" s="27">
        <v>114</v>
      </c>
      <c r="G19" s="27">
        <v>131</v>
      </c>
      <c r="H19" s="77">
        <f t="shared" si="1"/>
        <v>5846</v>
      </c>
      <c r="I19" s="27">
        <v>0</v>
      </c>
      <c r="J19" s="80"/>
      <c r="K19" s="27">
        <v>14</v>
      </c>
      <c r="L19" s="27">
        <v>0</v>
      </c>
      <c r="M19" s="27">
        <v>1</v>
      </c>
      <c r="N19" s="27">
        <v>0</v>
      </c>
      <c r="O19" s="27">
        <f t="shared" si="0"/>
        <v>1</v>
      </c>
      <c r="P19" s="83">
        <f t="shared" si="2"/>
        <v>5871</v>
      </c>
    </row>
    <row r="20" spans="1:26" ht="18" customHeight="1" thickBot="1" x14ac:dyDescent="0.35">
      <c r="A20" s="76">
        <v>15</v>
      </c>
      <c r="B20" s="27">
        <f>2101+20</f>
        <v>2121</v>
      </c>
      <c r="C20" s="27">
        <v>7</v>
      </c>
      <c r="D20" s="27">
        <v>972</v>
      </c>
      <c r="E20" s="27">
        <v>180</v>
      </c>
      <c r="F20" s="27">
        <v>226</v>
      </c>
      <c r="G20" s="27">
        <v>270</v>
      </c>
      <c r="H20" s="77">
        <f t="shared" si="1"/>
        <v>3776</v>
      </c>
      <c r="I20" s="27">
        <v>0</v>
      </c>
      <c r="J20" s="80"/>
      <c r="K20" s="27">
        <v>15</v>
      </c>
      <c r="L20" s="27">
        <v>0</v>
      </c>
      <c r="M20" s="27">
        <v>4</v>
      </c>
      <c r="N20" s="27">
        <v>4</v>
      </c>
      <c r="O20" s="27">
        <f t="shared" si="0"/>
        <v>8</v>
      </c>
      <c r="P20" s="83">
        <f t="shared" si="2"/>
        <v>5871</v>
      </c>
    </row>
    <row r="21" spans="1:26" ht="18" customHeight="1" thickBot="1" x14ac:dyDescent="0.35">
      <c r="A21" s="76">
        <v>16</v>
      </c>
      <c r="B21" s="27">
        <f>1851+13</f>
        <v>1864</v>
      </c>
      <c r="C21" s="27">
        <v>9</v>
      </c>
      <c r="D21" s="27">
        <v>1052</v>
      </c>
      <c r="E21" s="27">
        <v>227</v>
      </c>
      <c r="F21" s="27">
        <v>198</v>
      </c>
      <c r="G21" s="27">
        <v>222</v>
      </c>
      <c r="H21" s="77">
        <f t="shared" si="1"/>
        <v>3572</v>
      </c>
      <c r="I21" s="27">
        <v>0</v>
      </c>
      <c r="J21" s="80"/>
      <c r="K21" s="27">
        <v>16</v>
      </c>
      <c r="L21" s="27">
        <v>0</v>
      </c>
      <c r="M21" s="27">
        <v>7</v>
      </c>
      <c r="N21" s="27">
        <v>1</v>
      </c>
      <c r="O21" s="27">
        <f t="shared" si="0"/>
        <v>8</v>
      </c>
      <c r="P21" s="83">
        <f>+P20</f>
        <v>5871</v>
      </c>
    </row>
    <row r="22" spans="1:26" ht="18" customHeight="1" thickBot="1" x14ac:dyDescent="0.35">
      <c r="A22" s="76">
        <v>17</v>
      </c>
      <c r="B22" s="27">
        <f>1865+27</f>
        <v>1892</v>
      </c>
      <c r="C22" s="27">
        <v>8</v>
      </c>
      <c r="D22" s="27">
        <v>1082</v>
      </c>
      <c r="E22" s="27">
        <v>236</v>
      </c>
      <c r="F22" s="27">
        <v>220</v>
      </c>
      <c r="G22" s="27">
        <v>247</v>
      </c>
      <c r="H22" s="77">
        <f>SUM(B22:G22)</f>
        <v>3685</v>
      </c>
      <c r="I22" s="27">
        <v>0</v>
      </c>
      <c r="J22" s="80"/>
      <c r="K22" s="27">
        <v>17</v>
      </c>
      <c r="L22" s="27">
        <v>0</v>
      </c>
      <c r="M22" s="27">
        <v>10</v>
      </c>
      <c r="N22" s="27">
        <v>1</v>
      </c>
      <c r="O22" s="27">
        <f t="shared" si="0"/>
        <v>11</v>
      </c>
      <c r="P22" s="83">
        <f t="shared" si="2"/>
        <v>5871</v>
      </c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spans="1:26" ht="18" customHeight="1" thickBot="1" x14ac:dyDescent="0.35">
      <c r="A23" s="76">
        <v>18</v>
      </c>
      <c r="B23" s="27">
        <f>2168+12</f>
        <v>2180</v>
      </c>
      <c r="C23" s="27">
        <v>5</v>
      </c>
      <c r="D23" s="27">
        <v>1054</v>
      </c>
      <c r="E23" s="27">
        <v>218</v>
      </c>
      <c r="F23" s="27">
        <v>233</v>
      </c>
      <c r="G23" s="27">
        <v>260</v>
      </c>
      <c r="H23" s="77">
        <f t="shared" si="1"/>
        <v>3950</v>
      </c>
      <c r="I23" s="27">
        <v>0</v>
      </c>
      <c r="J23" s="80"/>
      <c r="K23" s="27">
        <v>18</v>
      </c>
      <c r="L23" s="27">
        <v>0</v>
      </c>
      <c r="M23" s="27">
        <v>11</v>
      </c>
      <c r="N23" s="27">
        <v>2</v>
      </c>
      <c r="O23" s="27">
        <f t="shared" si="0"/>
        <v>13</v>
      </c>
      <c r="P23" s="83">
        <f t="shared" si="2"/>
        <v>5871</v>
      </c>
    </row>
    <row r="24" spans="1:26" s="38" customFormat="1" ht="18" customHeight="1" thickBot="1" x14ac:dyDescent="0.35">
      <c r="A24" s="76">
        <v>19</v>
      </c>
      <c r="B24" s="27">
        <f>3651+19</f>
        <v>3670</v>
      </c>
      <c r="C24" s="27">
        <v>6</v>
      </c>
      <c r="D24" s="27">
        <v>955</v>
      </c>
      <c r="E24" s="27">
        <v>196</v>
      </c>
      <c r="F24" s="27">
        <v>227</v>
      </c>
      <c r="G24" s="27">
        <v>220</v>
      </c>
      <c r="H24" s="77">
        <f t="shared" si="1"/>
        <v>5274</v>
      </c>
      <c r="I24" s="27">
        <v>0</v>
      </c>
      <c r="J24" s="80"/>
      <c r="K24" s="27">
        <v>19</v>
      </c>
      <c r="L24" s="27">
        <v>0</v>
      </c>
      <c r="M24" s="27">
        <v>21</v>
      </c>
      <c r="N24" s="27">
        <v>2</v>
      </c>
      <c r="O24" s="27">
        <f t="shared" si="0"/>
        <v>23</v>
      </c>
      <c r="P24" s="83">
        <f t="shared" si="2"/>
        <v>5871</v>
      </c>
    </row>
    <row r="25" spans="1:26" ht="18" customHeight="1" thickBot="1" x14ac:dyDescent="0.35">
      <c r="A25" s="76">
        <v>20</v>
      </c>
      <c r="B25" s="27">
        <f>4134+7</f>
        <v>4141</v>
      </c>
      <c r="C25" s="27">
        <v>8</v>
      </c>
      <c r="D25" s="27">
        <v>841</v>
      </c>
      <c r="E25" s="27">
        <v>84</v>
      </c>
      <c r="F25" s="27">
        <v>146</v>
      </c>
      <c r="G25" s="27">
        <v>177</v>
      </c>
      <c r="H25" s="77">
        <f t="shared" si="1"/>
        <v>5397</v>
      </c>
      <c r="I25" s="27">
        <v>0</v>
      </c>
      <c r="J25" s="80"/>
      <c r="K25" s="27">
        <v>20</v>
      </c>
      <c r="L25" s="27">
        <v>0</v>
      </c>
      <c r="M25" s="27">
        <v>0</v>
      </c>
      <c r="N25" s="27">
        <v>0</v>
      </c>
      <c r="O25" s="27">
        <f t="shared" si="0"/>
        <v>0</v>
      </c>
      <c r="P25" s="83">
        <f t="shared" si="2"/>
        <v>5871</v>
      </c>
    </row>
    <row r="26" spans="1:26" ht="18" customHeight="1" thickBot="1" x14ac:dyDescent="0.35">
      <c r="A26" s="76">
        <v>21</v>
      </c>
      <c r="B26" s="27">
        <f>5565+4</f>
        <v>5569</v>
      </c>
      <c r="C26" s="27">
        <v>16</v>
      </c>
      <c r="D26" s="27">
        <v>662</v>
      </c>
      <c r="E26" s="27">
        <v>89</v>
      </c>
      <c r="F26" s="27">
        <v>105</v>
      </c>
      <c r="G26" s="27">
        <v>154</v>
      </c>
      <c r="H26" s="77">
        <f t="shared" si="1"/>
        <v>6595</v>
      </c>
      <c r="I26" s="27">
        <v>0</v>
      </c>
      <c r="J26" s="80"/>
      <c r="K26" s="27">
        <v>21</v>
      </c>
      <c r="L26" s="27">
        <v>0</v>
      </c>
      <c r="M26" s="27">
        <v>4</v>
      </c>
      <c r="N26" s="27">
        <v>1</v>
      </c>
      <c r="O26" s="27">
        <f t="shared" si="0"/>
        <v>5</v>
      </c>
      <c r="P26" s="83">
        <f t="shared" si="2"/>
        <v>5871</v>
      </c>
    </row>
    <row r="27" spans="1:26" ht="18" customHeight="1" thickBot="1" x14ac:dyDescent="0.35">
      <c r="A27" s="76">
        <v>22</v>
      </c>
      <c r="B27" s="27">
        <f>2070+17</f>
        <v>2087</v>
      </c>
      <c r="C27" s="27">
        <v>10</v>
      </c>
      <c r="D27" s="27">
        <v>884</v>
      </c>
      <c r="E27" s="27">
        <v>206</v>
      </c>
      <c r="F27" s="27">
        <v>193</v>
      </c>
      <c r="G27" s="27">
        <v>267</v>
      </c>
      <c r="H27" s="77">
        <f t="shared" si="1"/>
        <v>3647</v>
      </c>
      <c r="I27" s="27">
        <v>0</v>
      </c>
      <c r="J27" s="80"/>
      <c r="K27" s="27">
        <v>22</v>
      </c>
      <c r="L27" s="27">
        <v>0</v>
      </c>
      <c r="M27" s="27">
        <v>4</v>
      </c>
      <c r="N27" s="27">
        <v>6</v>
      </c>
      <c r="O27" s="27">
        <f t="shared" si="0"/>
        <v>10</v>
      </c>
      <c r="P27" s="83">
        <f t="shared" si="2"/>
        <v>5871</v>
      </c>
    </row>
    <row r="28" spans="1:26" ht="18" customHeight="1" thickBot="1" x14ac:dyDescent="0.35">
      <c r="A28" s="76">
        <v>23</v>
      </c>
      <c r="B28" s="27">
        <f>1823+15</f>
        <v>1838</v>
      </c>
      <c r="C28" s="27">
        <v>8</v>
      </c>
      <c r="D28" s="27">
        <v>989</v>
      </c>
      <c r="E28" s="27">
        <v>213</v>
      </c>
      <c r="F28" s="27">
        <v>200</v>
      </c>
      <c r="G28" s="27">
        <v>290</v>
      </c>
      <c r="H28" s="77">
        <f t="shared" si="1"/>
        <v>3538</v>
      </c>
      <c r="I28" s="27">
        <v>0</v>
      </c>
      <c r="J28" s="80"/>
      <c r="K28" s="27">
        <v>23</v>
      </c>
      <c r="L28" s="27">
        <v>0</v>
      </c>
      <c r="M28" s="27">
        <v>9</v>
      </c>
      <c r="N28" s="27">
        <v>0</v>
      </c>
      <c r="O28" s="27">
        <f t="shared" si="0"/>
        <v>9</v>
      </c>
      <c r="P28" s="83">
        <f t="shared" si="2"/>
        <v>5871</v>
      </c>
    </row>
    <row r="29" spans="1:26" ht="18" customHeight="1" thickBot="1" x14ac:dyDescent="0.35">
      <c r="A29" s="76">
        <v>24</v>
      </c>
      <c r="B29" s="27">
        <f>1820+22</f>
        <v>1842</v>
      </c>
      <c r="C29" s="27">
        <v>4</v>
      </c>
      <c r="D29" s="27">
        <v>1110</v>
      </c>
      <c r="E29" s="27">
        <v>191</v>
      </c>
      <c r="F29" s="27">
        <v>233</v>
      </c>
      <c r="G29" s="27">
        <v>291</v>
      </c>
      <c r="H29" s="77">
        <f t="shared" si="1"/>
        <v>3671</v>
      </c>
      <c r="I29" s="27">
        <v>0</v>
      </c>
      <c r="J29" s="80"/>
      <c r="K29" s="27">
        <v>24</v>
      </c>
      <c r="L29" s="27">
        <v>0</v>
      </c>
      <c r="M29" s="27">
        <v>10</v>
      </c>
      <c r="N29" s="27">
        <v>0</v>
      </c>
      <c r="O29" s="27">
        <f t="shared" si="0"/>
        <v>10</v>
      </c>
      <c r="P29" s="83">
        <f t="shared" si="2"/>
        <v>5871</v>
      </c>
    </row>
    <row r="30" spans="1:26" s="38" customFormat="1" ht="18" customHeight="1" thickBot="1" x14ac:dyDescent="0.35">
      <c r="A30" s="76">
        <v>25</v>
      </c>
      <c r="B30" s="27">
        <f>2125+27</f>
        <v>2152</v>
      </c>
      <c r="C30" s="27">
        <v>7</v>
      </c>
      <c r="D30" s="27">
        <v>1062</v>
      </c>
      <c r="E30" s="27">
        <v>234</v>
      </c>
      <c r="F30" s="27">
        <v>233</v>
      </c>
      <c r="G30" s="27">
        <v>269</v>
      </c>
      <c r="H30" s="77">
        <f t="shared" si="1"/>
        <v>3957</v>
      </c>
      <c r="I30" s="27">
        <v>0</v>
      </c>
      <c r="J30" s="80"/>
      <c r="K30" s="27">
        <v>25</v>
      </c>
      <c r="L30" s="27">
        <v>0</v>
      </c>
      <c r="M30" s="27">
        <v>4</v>
      </c>
      <c r="N30" s="27">
        <v>3</v>
      </c>
      <c r="O30" s="27">
        <f t="shared" si="0"/>
        <v>7</v>
      </c>
      <c r="P30" s="83">
        <f t="shared" si="2"/>
        <v>5871</v>
      </c>
    </row>
    <row r="31" spans="1:26" ht="18" customHeight="1" thickBot="1" x14ac:dyDescent="0.35">
      <c r="A31" s="76">
        <v>26</v>
      </c>
      <c r="B31" s="27">
        <f>3006+26</f>
        <v>3032</v>
      </c>
      <c r="C31" s="27">
        <v>6</v>
      </c>
      <c r="D31" s="27">
        <v>969</v>
      </c>
      <c r="E31" s="27">
        <v>223</v>
      </c>
      <c r="F31" s="27">
        <v>218</v>
      </c>
      <c r="G31" s="27">
        <v>237</v>
      </c>
      <c r="H31" s="77">
        <f t="shared" si="1"/>
        <v>4685</v>
      </c>
      <c r="I31" s="27">
        <v>0</v>
      </c>
      <c r="J31" s="80"/>
      <c r="K31" s="27">
        <v>26</v>
      </c>
      <c r="L31" s="27">
        <v>0</v>
      </c>
      <c r="M31" s="27">
        <v>8</v>
      </c>
      <c r="N31" s="27">
        <v>0</v>
      </c>
      <c r="O31" s="27">
        <f t="shared" si="0"/>
        <v>8</v>
      </c>
      <c r="P31" s="83">
        <f t="shared" si="2"/>
        <v>5871</v>
      </c>
    </row>
    <row r="32" spans="1:26" ht="18" customHeight="1" thickBot="1" x14ac:dyDescent="0.35">
      <c r="A32" s="76">
        <v>27</v>
      </c>
      <c r="B32" s="27">
        <f>3285+14</f>
        <v>3299</v>
      </c>
      <c r="C32" s="27">
        <v>3</v>
      </c>
      <c r="D32" s="27">
        <v>895</v>
      </c>
      <c r="E32" s="27">
        <v>161</v>
      </c>
      <c r="F32" s="27">
        <v>218</v>
      </c>
      <c r="G32" s="27">
        <v>166</v>
      </c>
      <c r="H32" s="77">
        <f t="shared" si="1"/>
        <v>4742</v>
      </c>
      <c r="I32" s="27">
        <v>0</v>
      </c>
      <c r="J32" s="80"/>
      <c r="K32" s="27">
        <v>27</v>
      </c>
      <c r="L32" s="27">
        <v>0</v>
      </c>
      <c r="M32" s="27">
        <v>2</v>
      </c>
      <c r="N32" s="27">
        <v>2</v>
      </c>
      <c r="O32" s="27">
        <f t="shared" si="0"/>
        <v>4</v>
      </c>
      <c r="P32" s="83">
        <f t="shared" si="2"/>
        <v>5871</v>
      </c>
    </row>
    <row r="33" spans="1:17" ht="15.75" customHeight="1" thickBot="1" x14ac:dyDescent="0.35">
      <c r="A33" s="76">
        <v>28</v>
      </c>
      <c r="B33" s="27">
        <f>4401+13</f>
        <v>4414</v>
      </c>
      <c r="C33" s="27">
        <v>12</v>
      </c>
      <c r="D33" s="27">
        <v>770</v>
      </c>
      <c r="E33" s="27">
        <v>106</v>
      </c>
      <c r="F33" s="27">
        <v>119</v>
      </c>
      <c r="G33" s="27">
        <v>149</v>
      </c>
      <c r="H33" s="77">
        <f t="shared" si="1"/>
        <v>5570</v>
      </c>
      <c r="I33" s="27">
        <v>0</v>
      </c>
      <c r="J33" s="80"/>
      <c r="K33" s="27">
        <v>28</v>
      </c>
      <c r="L33" s="27">
        <v>0</v>
      </c>
      <c r="M33" s="27">
        <v>2</v>
      </c>
      <c r="N33" s="27">
        <v>0</v>
      </c>
      <c r="O33" s="27">
        <f t="shared" si="0"/>
        <v>2</v>
      </c>
      <c r="P33" s="83">
        <f t="shared" si="2"/>
        <v>5871</v>
      </c>
    </row>
    <row r="34" spans="1:17" s="38" customFormat="1" ht="17.25" customHeight="1" thickBot="1" x14ac:dyDescent="0.35">
      <c r="A34" s="82">
        <v>29</v>
      </c>
      <c r="B34" s="27">
        <f>1885+20</f>
        <v>1905</v>
      </c>
      <c r="C34" s="27">
        <v>3</v>
      </c>
      <c r="D34" s="27">
        <v>911</v>
      </c>
      <c r="E34" s="27">
        <v>252</v>
      </c>
      <c r="F34" s="27">
        <v>205</v>
      </c>
      <c r="G34" s="27">
        <v>251</v>
      </c>
      <c r="H34" s="77">
        <f t="shared" si="1"/>
        <v>3527</v>
      </c>
      <c r="I34" s="25">
        <v>0</v>
      </c>
      <c r="J34" s="26"/>
      <c r="K34" s="27">
        <v>29</v>
      </c>
      <c r="L34" s="27">
        <v>0</v>
      </c>
      <c r="M34" s="27">
        <v>14</v>
      </c>
      <c r="N34" s="27">
        <v>5</v>
      </c>
      <c r="O34" s="27">
        <f>SUM(L34:N34)</f>
        <v>19</v>
      </c>
      <c r="P34" s="83">
        <f t="shared" si="2"/>
        <v>5871</v>
      </c>
    </row>
    <row r="35" spans="1:17" s="38" customFormat="1" ht="17.25" customHeight="1" thickBot="1" x14ac:dyDescent="0.35">
      <c r="A35" s="82">
        <v>30</v>
      </c>
      <c r="B35" s="27">
        <f>1775+19</f>
        <v>1794</v>
      </c>
      <c r="C35" s="27">
        <v>4</v>
      </c>
      <c r="D35" s="27">
        <v>1033</v>
      </c>
      <c r="E35" s="27">
        <v>191</v>
      </c>
      <c r="F35" s="27">
        <v>213</v>
      </c>
      <c r="G35" s="27">
        <v>242</v>
      </c>
      <c r="H35" s="77">
        <f t="shared" si="1"/>
        <v>3477</v>
      </c>
      <c r="I35" s="25">
        <v>0</v>
      </c>
      <c r="J35" s="26"/>
      <c r="K35" s="27">
        <v>30</v>
      </c>
      <c r="L35" s="27">
        <v>0</v>
      </c>
      <c r="M35" s="27">
        <v>8</v>
      </c>
      <c r="N35" s="27">
        <v>2</v>
      </c>
      <c r="O35" s="27">
        <f>SUM(L35:N35)</f>
        <v>10</v>
      </c>
      <c r="P35" s="83">
        <f t="shared" si="2"/>
        <v>5871</v>
      </c>
    </row>
    <row r="36" spans="1:17" s="38" customFormat="1" ht="17.25" customHeight="1" thickBot="1" x14ac:dyDescent="0.35">
      <c r="A36" s="82">
        <v>31</v>
      </c>
      <c r="B36" s="27">
        <f>1808+19</f>
        <v>1827</v>
      </c>
      <c r="C36" s="27">
        <v>2</v>
      </c>
      <c r="D36" s="27">
        <v>1095</v>
      </c>
      <c r="E36" s="27">
        <v>226</v>
      </c>
      <c r="F36" s="27">
        <v>242</v>
      </c>
      <c r="G36" s="27">
        <v>248</v>
      </c>
      <c r="H36" s="77">
        <f t="shared" si="1"/>
        <v>3640</v>
      </c>
      <c r="I36" s="25">
        <v>0</v>
      </c>
      <c r="J36" s="26"/>
      <c r="K36" s="27">
        <v>31</v>
      </c>
      <c r="L36" s="27">
        <v>0</v>
      </c>
      <c r="M36" s="27">
        <v>14</v>
      </c>
      <c r="N36" s="27">
        <v>1</v>
      </c>
      <c r="O36" s="27">
        <f t="shared" ref="O36" si="3">SUM(L36:N36)</f>
        <v>15</v>
      </c>
      <c r="P36" s="83">
        <f t="shared" si="2"/>
        <v>5871</v>
      </c>
    </row>
    <row r="37" spans="1:17" s="51" customFormat="1" ht="18" customHeight="1" thickBot="1" x14ac:dyDescent="0.35">
      <c r="A37" s="49" t="s">
        <v>18</v>
      </c>
      <c r="B37" s="67">
        <f>SUM(B6:B36)</f>
        <v>101161</v>
      </c>
      <c r="C37" s="67">
        <f t="shared" ref="C37:H37" si="4">SUM(C6:C36)</f>
        <v>307</v>
      </c>
      <c r="D37" s="67">
        <f t="shared" si="4"/>
        <v>29960</v>
      </c>
      <c r="E37" s="67">
        <f t="shared" si="4"/>
        <v>5816</v>
      </c>
      <c r="F37" s="67">
        <f t="shared" si="4"/>
        <v>6050</v>
      </c>
      <c r="G37" s="67">
        <f t="shared" si="4"/>
        <v>6811</v>
      </c>
      <c r="H37" s="67">
        <f t="shared" si="4"/>
        <v>150105</v>
      </c>
      <c r="I37" s="67">
        <f>SUM(I6:I33)</f>
        <v>0</v>
      </c>
      <c r="J37" s="54"/>
      <c r="K37" s="49" t="s">
        <v>19</v>
      </c>
      <c r="L37" s="68">
        <f>SUM(L6:L36)</f>
        <v>7</v>
      </c>
      <c r="M37" s="68">
        <f t="shared" ref="M37:O37" si="5">SUM(M6:M36)</f>
        <v>230</v>
      </c>
      <c r="N37" s="68">
        <f t="shared" si="5"/>
        <v>50</v>
      </c>
      <c r="O37" s="68">
        <f t="shared" si="5"/>
        <v>287</v>
      </c>
      <c r="P37" s="69"/>
      <c r="Q37" s="69"/>
    </row>
    <row r="38" spans="1:17" s="51" customFormat="1" ht="18" customHeight="1" thickBot="1" x14ac:dyDescent="0.35">
      <c r="A38" s="49" t="s">
        <v>19</v>
      </c>
      <c r="B38" s="110">
        <f>+B37+C37</f>
        <v>101468</v>
      </c>
      <c r="C38" s="111"/>
      <c r="D38" s="68">
        <f t="shared" ref="D38:I38" si="6">+D37</f>
        <v>29960</v>
      </c>
      <c r="E38" s="68">
        <f t="shared" si="6"/>
        <v>5816</v>
      </c>
      <c r="F38" s="68">
        <f t="shared" si="6"/>
        <v>6050</v>
      </c>
      <c r="G38" s="68">
        <f t="shared" si="6"/>
        <v>6811</v>
      </c>
      <c r="H38" s="68">
        <f t="shared" si="6"/>
        <v>150105</v>
      </c>
      <c r="I38" s="68">
        <f t="shared" si="6"/>
        <v>0</v>
      </c>
      <c r="J38" s="54"/>
      <c r="K38" s="49" t="s">
        <v>20</v>
      </c>
      <c r="L38" s="55" t="s">
        <v>21</v>
      </c>
      <c r="M38" s="55" t="s">
        <v>22</v>
      </c>
      <c r="N38" s="55" t="s">
        <v>21</v>
      </c>
      <c r="O38" s="55" t="s">
        <v>22</v>
      </c>
      <c r="P38" s="69"/>
      <c r="Q38" s="69"/>
    </row>
  </sheetData>
  <mergeCells count="12">
    <mergeCell ref="N4:N5"/>
    <mergeCell ref="O4:O5"/>
    <mergeCell ref="B38:C38"/>
    <mergeCell ref="A1:O1"/>
    <mergeCell ref="A2:O2"/>
    <mergeCell ref="A3:O3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6E328-458F-4023-84E4-AADB7D321865}">
  <dimension ref="A1:Z38"/>
  <sheetViews>
    <sheetView workbookViewId="0">
      <selection activeCell="E45" sqref="E45"/>
    </sheetView>
  </sheetViews>
  <sheetFormatPr baseColWidth="10" defaultColWidth="11.44140625" defaultRowHeight="14.4" x14ac:dyDescent="0.3"/>
  <cols>
    <col min="1" max="1" width="13.5546875" customWidth="1"/>
    <col min="2" max="2" width="11.33203125" customWidth="1"/>
    <col min="3" max="3" width="8.5546875" customWidth="1"/>
    <col min="4" max="4" width="18.6640625" customWidth="1"/>
    <col min="5" max="5" width="13.6640625" customWidth="1"/>
    <col min="6" max="6" width="13.33203125" customWidth="1"/>
    <col min="7" max="7" width="13.109375" customWidth="1"/>
    <col min="8" max="8" width="17.109375" customWidth="1"/>
    <col min="9" max="9" width="14.44140625" bestFit="1" customWidth="1"/>
    <col min="10" max="10" width="3.88671875" customWidth="1"/>
    <col min="11" max="11" width="10.6640625" customWidth="1"/>
    <col min="12" max="12" width="14.88671875" customWidth="1"/>
    <col min="13" max="13" width="15.88671875" customWidth="1"/>
    <col min="14" max="14" width="10.109375" customWidth="1"/>
    <col min="15" max="15" width="9.88671875" customWidth="1"/>
  </cols>
  <sheetData>
    <row r="1" spans="1:19" ht="15.6" x14ac:dyDescent="0.3">
      <c r="A1" s="100" t="s">
        <v>23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19" ht="15.6" x14ac:dyDescent="0.3">
      <c r="A2" s="100" t="s">
        <v>25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</row>
    <row r="3" spans="1:19" ht="16.2" thickBot="1" x14ac:dyDescent="0.35">
      <c r="A3" s="101" t="s">
        <v>32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</row>
    <row r="4" spans="1:19" s="51" customFormat="1" ht="78" customHeight="1" thickBot="1" x14ac:dyDescent="0.35">
      <c r="A4" s="64" t="s">
        <v>0</v>
      </c>
      <c r="B4" s="112" t="s">
        <v>1</v>
      </c>
      <c r="C4" s="113"/>
      <c r="D4" s="65" t="s">
        <v>2</v>
      </c>
      <c r="E4" s="66" t="s">
        <v>3</v>
      </c>
      <c r="F4" s="66" t="s">
        <v>4</v>
      </c>
      <c r="G4" s="66" t="s">
        <v>5</v>
      </c>
      <c r="H4" s="114" t="s">
        <v>6</v>
      </c>
      <c r="I4" s="108" t="s">
        <v>7</v>
      </c>
      <c r="J4" s="39"/>
      <c r="K4" s="116" t="s">
        <v>0</v>
      </c>
      <c r="L4" s="108" t="s">
        <v>8</v>
      </c>
      <c r="M4" s="108" t="s">
        <v>9</v>
      </c>
      <c r="N4" s="108" t="s">
        <v>10</v>
      </c>
      <c r="O4" s="108" t="s">
        <v>11</v>
      </c>
    </row>
    <row r="5" spans="1:19" s="51" customFormat="1" ht="18" customHeight="1" thickBot="1" x14ac:dyDescent="0.35">
      <c r="B5" s="49" t="s">
        <v>12</v>
      </c>
      <c r="C5" s="49" t="s">
        <v>13</v>
      </c>
      <c r="D5" s="49" t="s">
        <v>14</v>
      </c>
      <c r="E5" s="49" t="s">
        <v>15</v>
      </c>
      <c r="F5" s="49" t="s">
        <v>16</v>
      </c>
      <c r="G5" s="49" t="s">
        <v>17</v>
      </c>
      <c r="H5" s="115"/>
      <c r="I5" s="109"/>
      <c r="J5" s="40"/>
      <c r="K5" s="117"/>
      <c r="L5" s="109"/>
      <c r="M5" s="109"/>
      <c r="N5" s="109"/>
      <c r="O5" s="109"/>
    </row>
    <row r="6" spans="1:19" ht="18" customHeight="1" thickBot="1" x14ac:dyDescent="0.35">
      <c r="A6" s="70">
        <v>1</v>
      </c>
      <c r="B6" s="71">
        <f>2203+22</f>
        <v>2225</v>
      </c>
      <c r="C6" s="71">
        <v>5</v>
      </c>
      <c r="D6" s="71">
        <f>1128+26</f>
        <v>1154</v>
      </c>
      <c r="E6" s="71">
        <v>240</v>
      </c>
      <c r="F6" s="71">
        <v>244</v>
      </c>
      <c r="G6" s="71">
        <v>244</v>
      </c>
      <c r="H6" s="72">
        <f>SUM(B6:G6)</f>
        <v>4112</v>
      </c>
      <c r="I6" s="73">
        <v>0</v>
      </c>
      <c r="J6" s="74"/>
      <c r="K6" s="75">
        <v>1</v>
      </c>
      <c r="L6" s="71">
        <v>1</v>
      </c>
      <c r="M6" s="71">
        <v>8</v>
      </c>
      <c r="N6" s="71">
        <v>2</v>
      </c>
      <c r="O6" s="71">
        <f>SUM(L6:N6)</f>
        <v>11</v>
      </c>
      <c r="P6" s="83">
        <v>5871</v>
      </c>
    </row>
    <row r="7" spans="1:19" ht="18" customHeight="1" thickBot="1" x14ac:dyDescent="0.35">
      <c r="A7" s="76">
        <v>2</v>
      </c>
      <c r="B7" s="71">
        <f>3290+15</f>
        <v>3305</v>
      </c>
      <c r="C7" s="71">
        <v>7</v>
      </c>
      <c r="D7" s="71">
        <v>1057</v>
      </c>
      <c r="E7" s="71">
        <v>230</v>
      </c>
      <c r="F7" s="71">
        <v>224</v>
      </c>
      <c r="G7" s="71">
        <v>205</v>
      </c>
      <c r="H7" s="77">
        <f>SUM(B7:G7)</f>
        <v>5028</v>
      </c>
      <c r="I7" s="78">
        <v>0</v>
      </c>
      <c r="J7" s="74"/>
      <c r="K7" s="79">
        <v>2</v>
      </c>
      <c r="L7" s="27">
        <v>2</v>
      </c>
      <c r="M7" s="27">
        <v>2</v>
      </c>
      <c r="N7" s="27">
        <v>3</v>
      </c>
      <c r="O7" s="27">
        <f t="shared" ref="O7:O33" si="0">SUM(L7:N7)</f>
        <v>7</v>
      </c>
      <c r="P7" s="83">
        <f>+P6</f>
        <v>5871</v>
      </c>
    </row>
    <row r="8" spans="1:19" ht="18" customHeight="1" thickBot="1" x14ac:dyDescent="0.35">
      <c r="A8" s="76">
        <v>3</v>
      </c>
      <c r="B8" s="71">
        <f>3539+14</f>
        <v>3553</v>
      </c>
      <c r="C8" s="71">
        <v>4</v>
      </c>
      <c r="D8" s="71">
        <v>897</v>
      </c>
      <c r="E8" s="71">
        <v>186</v>
      </c>
      <c r="F8" s="71">
        <v>182</v>
      </c>
      <c r="G8" s="71">
        <v>193</v>
      </c>
      <c r="H8" s="77">
        <f t="shared" ref="H8:H36" si="1">SUM(B8:G8)</f>
        <v>5015</v>
      </c>
      <c r="I8" s="78">
        <v>0</v>
      </c>
      <c r="J8" s="74"/>
      <c r="K8" s="79">
        <v>3</v>
      </c>
      <c r="L8" s="27">
        <v>1</v>
      </c>
      <c r="M8" s="27">
        <v>4</v>
      </c>
      <c r="N8" s="27">
        <v>1</v>
      </c>
      <c r="O8" s="27">
        <f t="shared" si="0"/>
        <v>6</v>
      </c>
      <c r="P8" s="83">
        <f t="shared" ref="P8:P36" si="2">+P7</f>
        <v>5871</v>
      </c>
      <c r="S8" s="37"/>
    </row>
    <row r="9" spans="1:19" ht="18" customHeight="1" thickBot="1" x14ac:dyDescent="0.35">
      <c r="A9" s="76">
        <v>4</v>
      </c>
      <c r="B9" s="71">
        <f>4479+8</f>
        <v>4487</v>
      </c>
      <c r="C9" s="71">
        <v>6</v>
      </c>
      <c r="D9" s="71">
        <v>768</v>
      </c>
      <c r="E9" s="71">
        <v>101</v>
      </c>
      <c r="F9" s="71">
        <v>125</v>
      </c>
      <c r="G9" s="71">
        <v>125</v>
      </c>
      <c r="H9" s="77">
        <f t="shared" si="1"/>
        <v>5612</v>
      </c>
      <c r="I9" s="78">
        <v>0</v>
      </c>
      <c r="J9" s="74"/>
      <c r="K9" s="79">
        <v>4</v>
      </c>
      <c r="L9" s="27">
        <v>1</v>
      </c>
      <c r="M9" s="27">
        <v>0</v>
      </c>
      <c r="N9" s="27">
        <v>0</v>
      </c>
      <c r="O9" s="27">
        <f t="shared" si="0"/>
        <v>1</v>
      </c>
      <c r="P9" s="83">
        <f t="shared" si="2"/>
        <v>5871</v>
      </c>
    </row>
    <row r="10" spans="1:19" ht="18" customHeight="1" thickBot="1" x14ac:dyDescent="0.35">
      <c r="A10" s="76">
        <v>5</v>
      </c>
      <c r="B10" s="27">
        <f>2072+15</f>
        <v>2087</v>
      </c>
      <c r="C10" s="27">
        <v>4</v>
      </c>
      <c r="D10" s="27">
        <v>941</v>
      </c>
      <c r="E10" s="27">
        <v>224</v>
      </c>
      <c r="F10" s="27">
        <v>231</v>
      </c>
      <c r="G10" s="27">
        <v>251</v>
      </c>
      <c r="H10" s="77">
        <f t="shared" si="1"/>
        <v>3738</v>
      </c>
      <c r="I10" s="78">
        <v>0</v>
      </c>
      <c r="J10" s="74"/>
      <c r="K10" s="79">
        <v>5</v>
      </c>
      <c r="L10" s="27">
        <v>1</v>
      </c>
      <c r="M10" s="27">
        <v>14</v>
      </c>
      <c r="N10" s="27">
        <v>3</v>
      </c>
      <c r="O10" s="27">
        <f t="shared" si="0"/>
        <v>18</v>
      </c>
      <c r="P10" s="83">
        <f t="shared" si="2"/>
        <v>5871</v>
      </c>
    </row>
    <row r="11" spans="1:19" ht="18" customHeight="1" thickBot="1" x14ac:dyDescent="0.35">
      <c r="A11" s="76">
        <v>6</v>
      </c>
      <c r="B11" s="27">
        <f>2445+19</f>
        <v>2464</v>
      </c>
      <c r="C11" s="27">
        <v>4</v>
      </c>
      <c r="D11" s="27">
        <v>933</v>
      </c>
      <c r="E11" s="27">
        <v>174</v>
      </c>
      <c r="F11" s="27">
        <v>204</v>
      </c>
      <c r="G11" s="27">
        <v>198</v>
      </c>
      <c r="H11" s="77">
        <f t="shared" si="1"/>
        <v>3977</v>
      </c>
      <c r="I11" s="78">
        <v>0</v>
      </c>
      <c r="J11" s="74"/>
      <c r="K11" s="79">
        <v>6</v>
      </c>
      <c r="L11" s="27">
        <v>0</v>
      </c>
      <c r="M11" s="27">
        <v>11</v>
      </c>
      <c r="N11" s="27">
        <v>0</v>
      </c>
      <c r="O11" s="27">
        <f t="shared" si="0"/>
        <v>11</v>
      </c>
      <c r="P11" s="83">
        <f t="shared" si="2"/>
        <v>5871</v>
      </c>
    </row>
    <row r="12" spans="1:19" ht="18" customHeight="1" thickBot="1" x14ac:dyDescent="0.35">
      <c r="A12" s="76">
        <v>7</v>
      </c>
      <c r="B12" s="27">
        <f>3604+9</f>
        <v>3613</v>
      </c>
      <c r="C12" s="27">
        <v>7</v>
      </c>
      <c r="D12" s="27">
        <v>819</v>
      </c>
      <c r="E12" s="27">
        <v>119</v>
      </c>
      <c r="F12" s="27">
        <v>137</v>
      </c>
      <c r="G12" s="27">
        <v>195</v>
      </c>
      <c r="H12" s="77">
        <f t="shared" si="1"/>
        <v>4890</v>
      </c>
      <c r="I12" s="27">
        <v>0</v>
      </c>
      <c r="J12" s="80"/>
      <c r="K12" s="27">
        <v>7</v>
      </c>
      <c r="L12" s="27">
        <v>0</v>
      </c>
      <c r="M12" s="27">
        <v>1</v>
      </c>
      <c r="N12" s="27">
        <v>0</v>
      </c>
      <c r="O12" s="27">
        <f t="shared" si="0"/>
        <v>1</v>
      </c>
      <c r="P12" s="83">
        <f t="shared" si="2"/>
        <v>5871</v>
      </c>
    </row>
    <row r="13" spans="1:19" ht="18" customHeight="1" thickBot="1" x14ac:dyDescent="0.35">
      <c r="A13" s="76">
        <v>8</v>
      </c>
      <c r="B13" s="27">
        <f>2211+21</f>
        <v>2232</v>
      </c>
      <c r="C13" s="27">
        <v>9</v>
      </c>
      <c r="D13" s="27">
        <v>1036</v>
      </c>
      <c r="E13" s="27">
        <v>216</v>
      </c>
      <c r="F13" s="27">
        <v>182</v>
      </c>
      <c r="G13" s="27">
        <v>203</v>
      </c>
      <c r="H13" s="77">
        <f t="shared" si="1"/>
        <v>3878</v>
      </c>
      <c r="I13" s="27">
        <v>0</v>
      </c>
      <c r="J13" s="80"/>
      <c r="K13" s="27">
        <v>8</v>
      </c>
      <c r="L13" s="27">
        <v>1</v>
      </c>
      <c r="M13" s="27">
        <v>4</v>
      </c>
      <c r="N13" s="27">
        <v>0</v>
      </c>
      <c r="O13" s="27">
        <f t="shared" si="0"/>
        <v>5</v>
      </c>
      <c r="P13" s="83">
        <f t="shared" si="2"/>
        <v>5871</v>
      </c>
    </row>
    <row r="14" spans="1:19" s="51" customFormat="1" ht="18" customHeight="1" thickBot="1" x14ac:dyDescent="0.35">
      <c r="A14" s="76">
        <v>9</v>
      </c>
      <c r="B14" s="27">
        <f>2893+35</f>
        <v>2928</v>
      </c>
      <c r="C14" s="27">
        <v>2</v>
      </c>
      <c r="D14" s="27">
        <v>1050</v>
      </c>
      <c r="E14" s="27">
        <v>194</v>
      </c>
      <c r="F14" s="27">
        <v>211</v>
      </c>
      <c r="G14" s="27">
        <v>225</v>
      </c>
      <c r="H14" s="77">
        <f t="shared" si="1"/>
        <v>4610</v>
      </c>
      <c r="I14" s="27">
        <v>0</v>
      </c>
      <c r="J14" s="80"/>
      <c r="K14" s="27">
        <v>9</v>
      </c>
      <c r="L14" s="27">
        <v>1</v>
      </c>
      <c r="M14" s="27">
        <v>14</v>
      </c>
      <c r="N14" s="27">
        <v>0</v>
      </c>
      <c r="O14" s="27">
        <f t="shared" si="0"/>
        <v>15</v>
      </c>
      <c r="P14" s="84">
        <f t="shared" si="2"/>
        <v>5871</v>
      </c>
    </row>
    <row r="15" spans="1:19" ht="18" customHeight="1" thickBot="1" x14ac:dyDescent="0.35">
      <c r="A15" s="76">
        <v>10</v>
      </c>
      <c r="B15" s="27">
        <f>3212+23</f>
        <v>3235</v>
      </c>
      <c r="C15" s="27">
        <v>3</v>
      </c>
      <c r="D15" s="27">
        <v>950</v>
      </c>
      <c r="E15" s="27">
        <v>147</v>
      </c>
      <c r="F15" s="27">
        <v>187</v>
      </c>
      <c r="G15" s="27">
        <v>210</v>
      </c>
      <c r="H15" s="77">
        <f t="shared" si="1"/>
        <v>4732</v>
      </c>
      <c r="I15" s="27">
        <v>0</v>
      </c>
      <c r="J15" s="80"/>
      <c r="K15" s="27">
        <v>10</v>
      </c>
      <c r="L15" s="27">
        <v>0</v>
      </c>
      <c r="M15" s="27">
        <v>6</v>
      </c>
      <c r="N15" s="27">
        <v>1</v>
      </c>
      <c r="O15" s="27">
        <f t="shared" si="0"/>
        <v>7</v>
      </c>
      <c r="P15" s="83">
        <f t="shared" si="2"/>
        <v>5871</v>
      </c>
    </row>
    <row r="16" spans="1:19" ht="18" customHeight="1" thickBot="1" x14ac:dyDescent="0.35">
      <c r="A16" s="76">
        <v>11</v>
      </c>
      <c r="B16" s="27">
        <f>4744+9</f>
        <v>4753</v>
      </c>
      <c r="C16" s="27">
        <v>9</v>
      </c>
      <c r="D16" s="27">
        <v>804</v>
      </c>
      <c r="E16" s="27">
        <v>97</v>
      </c>
      <c r="F16" s="27">
        <v>106</v>
      </c>
      <c r="G16" s="27">
        <v>135</v>
      </c>
      <c r="H16" s="77">
        <f t="shared" si="1"/>
        <v>5904</v>
      </c>
      <c r="I16" s="27">
        <v>0</v>
      </c>
      <c r="J16" s="80"/>
      <c r="K16" s="27">
        <v>11</v>
      </c>
      <c r="L16" s="27">
        <v>0</v>
      </c>
      <c r="M16" s="27">
        <v>5</v>
      </c>
      <c r="N16" s="27">
        <v>1</v>
      </c>
      <c r="O16" s="27">
        <f t="shared" si="0"/>
        <v>6</v>
      </c>
      <c r="P16" s="83">
        <f t="shared" si="2"/>
        <v>5871</v>
      </c>
      <c r="Q16" s="38"/>
    </row>
    <row r="17" spans="1:26" ht="18" customHeight="1" thickBot="1" x14ac:dyDescent="0.35">
      <c r="A17" s="76">
        <v>12</v>
      </c>
      <c r="B17" s="27">
        <f>2168+11</f>
        <v>2179</v>
      </c>
      <c r="C17" s="27">
        <v>7</v>
      </c>
      <c r="D17" s="27">
        <v>932</v>
      </c>
      <c r="E17" s="27">
        <v>205</v>
      </c>
      <c r="F17" s="27">
        <v>223</v>
      </c>
      <c r="G17" s="27">
        <v>257</v>
      </c>
      <c r="H17" s="77">
        <f t="shared" si="1"/>
        <v>3803</v>
      </c>
      <c r="I17" s="27">
        <v>0</v>
      </c>
      <c r="J17" s="80"/>
      <c r="K17" s="27">
        <v>12</v>
      </c>
      <c r="L17" s="27">
        <v>0</v>
      </c>
      <c r="M17" s="27">
        <v>10</v>
      </c>
      <c r="N17" s="27">
        <v>2</v>
      </c>
      <c r="O17" s="27">
        <f t="shared" si="0"/>
        <v>12</v>
      </c>
      <c r="P17" s="83">
        <f t="shared" si="2"/>
        <v>5871</v>
      </c>
    </row>
    <row r="18" spans="1:26" ht="18" customHeight="1" thickBot="1" x14ac:dyDescent="0.35">
      <c r="A18" s="76">
        <v>13</v>
      </c>
      <c r="B18" s="27">
        <f>1577+27</f>
        <v>1604</v>
      </c>
      <c r="C18" s="27">
        <v>11</v>
      </c>
      <c r="D18" s="27">
        <v>936</v>
      </c>
      <c r="E18" s="27">
        <v>247</v>
      </c>
      <c r="F18" s="27">
        <v>142</v>
      </c>
      <c r="G18" s="27">
        <v>202</v>
      </c>
      <c r="H18" s="77">
        <f t="shared" si="1"/>
        <v>3142</v>
      </c>
      <c r="I18" s="27">
        <v>0</v>
      </c>
      <c r="J18" s="80"/>
      <c r="K18" s="27">
        <v>13</v>
      </c>
      <c r="L18" s="27">
        <v>1</v>
      </c>
      <c r="M18" s="27">
        <v>12</v>
      </c>
      <c r="N18" s="27">
        <v>6</v>
      </c>
      <c r="O18" s="27">
        <f t="shared" si="0"/>
        <v>19</v>
      </c>
      <c r="P18" s="83">
        <f t="shared" si="2"/>
        <v>5871</v>
      </c>
    </row>
    <row r="19" spans="1:26" ht="18" customHeight="1" thickBot="1" x14ac:dyDescent="0.35">
      <c r="A19" s="76">
        <v>14</v>
      </c>
      <c r="B19" s="27">
        <f>1786+25</f>
        <v>1811</v>
      </c>
      <c r="C19" s="27">
        <v>11</v>
      </c>
      <c r="D19" s="27">
        <v>974</v>
      </c>
      <c r="E19" s="27">
        <v>202</v>
      </c>
      <c r="F19" s="27">
        <v>158</v>
      </c>
      <c r="G19" s="27">
        <v>222</v>
      </c>
      <c r="H19" s="77">
        <f t="shared" si="1"/>
        <v>3378</v>
      </c>
      <c r="I19" s="27">
        <v>0</v>
      </c>
      <c r="J19" s="80"/>
      <c r="K19" s="27">
        <v>14</v>
      </c>
      <c r="L19" s="27">
        <v>1</v>
      </c>
      <c r="M19" s="27">
        <v>4</v>
      </c>
      <c r="N19" s="27">
        <v>1</v>
      </c>
      <c r="O19" s="27">
        <f t="shared" si="0"/>
        <v>6</v>
      </c>
      <c r="P19" s="83">
        <f t="shared" si="2"/>
        <v>5871</v>
      </c>
    </row>
    <row r="20" spans="1:26" ht="18" customHeight="1" thickBot="1" x14ac:dyDescent="0.35">
      <c r="A20" s="76">
        <v>15</v>
      </c>
      <c r="B20" s="27">
        <f>2313+22</f>
        <v>2335</v>
      </c>
      <c r="C20" s="27">
        <v>6</v>
      </c>
      <c r="D20" s="27">
        <v>1065</v>
      </c>
      <c r="E20" s="27">
        <v>226</v>
      </c>
      <c r="F20" s="27">
        <v>184</v>
      </c>
      <c r="G20" s="27">
        <v>260</v>
      </c>
      <c r="H20" s="77">
        <f t="shared" si="1"/>
        <v>4076</v>
      </c>
      <c r="I20" s="27">
        <v>0</v>
      </c>
      <c r="J20" s="80"/>
      <c r="K20" s="27">
        <v>15</v>
      </c>
      <c r="L20" s="27">
        <v>0</v>
      </c>
      <c r="M20" s="27">
        <v>5</v>
      </c>
      <c r="N20" s="27">
        <v>4</v>
      </c>
      <c r="O20" s="27">
        <f t="shared" si="0"/>
        <v>9</v>
      </c>
      <c r="P20" s="83">
        <f t="shared" si="2"/>
        <v>5871</v>
      </c>
    </row>
    <row r="21" spans="1:26" ht="18" customHeight="1" thickBot="1" x14ac:dyDescent="0.35">
      <c r="A21" s="76">
        <v>16</v>
      </c>
      <c r="B21" s="27">
        <f>4947+21</f>
        <v>4968</v>
      </c>
      <c r="C21" s="27">
        <v>4</v>
      </c>
      <c r="D21" s="27">
        <v>1332</v>
      </c>
      <c r="E21" s="27">
        <v>261</v>
      </c>
      <c r="F21" s="27">
        <v>242</v>
      </c>
      <c r="G21" s="27">
        <v>299</v>
      </c>
      <c r="H21" s="77">
        <f t="shared" si="1"/>
        <v>7106</v>
      </c>
      <c r="I21" s="27">
        <v>0</v>
      </c>
      <c r="J21" s="80"/>
      <c r="K21" s="27">
        <v>16</v>
      </c>
      <c r="L21" s="27">
        <v>1</v>
      </c>
      <c r="M21" s="27">
        <v>4</v>
      </c>
      <c r="N21" s="27">
        <v>2</v>
      </c>
      <c r="O21" s="27">
        <f t="shared" si="0"/>
        <v>7</v>
      </c>
      <c r="P21" s="83">
        <f>+P20</f>
        <v>5871</v>
      </c>
    </row>
    <row r="22" spans="1:26" ht="18" customHeight="1" thickBot="1" x14ac:dyDescent="0.35">
      <c r="A22" s="76">
        <v>17</v>
      </c>
      <c r="B22" s="27">
        <f>6305+15</f>
        <v>6320</v>
      </c>
      <c r="C22" s="27">
        <v>2</v>
      </c>
      <c r="D22" s="27">
        <v>1061</v>
      </c>
      <c r="E22" s="27">
        <v>150</v>
      </c>
      <c r="F22" s="27">
        <v>185</v>
      </c>
      <c r="G22" s="27">
        <v>198</v>
      </c>
      <c r="H22" s="77">
        <f>SUM(B22:G22)</f>
        <v>7916</v>
      </c>
      <c r="I22" s="27">
        <v>0</v>
      </c>
      <c r="J22" s="80"/>
      <c r="K22" s="27">
        <v>17</v>
      </c>
      <c r="L22" s="27">
        <v>1</v>
      </c>
      <c r="M22" s="27">
        <v>2</v>
      </c>
      <c r="N22" s="27">
        <v>1</v>
      </c>
      <c r="O22" s="27">
        <f t="shared" si="0"/>
        <v>4</v>
      </c>
      <c r="P22" s="83">
        <f t="shared" si="2"/>
        <v>5871</v>
      </c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spans="1:26" ht="18" customHeight="1" thickBot="1" x14ac:dyDescent="0.35">
      <c r="A23" s="76">
        <v>18</v>
      </c>
      <c r="B23" s="27">
        <v>6372</v>
      </c>
      <c r="C23" s="27">
        <v>0</v>
      </c>
      <c r="D23" s="27">
        <f>967+5</f>
        <v>972</v>
      </c>
      <c r="E23" s="27">
        <v>141</v>
      </c>
      <c r="F23" s="27">
        <v>164</v>
      </c>
      <c r="G23" s="27">
        <v>204</v>
      </c>
      <c r="H23" s="77">
        <f t="shared" si="1"/>
        <v>7853</v>
      </c>
      <c r="I23" s="27">
        <v>0</v>
      </c>
      <c r="J23" s="80"/>
      <c r="K23" s="27">
        <v>18</v>
      </c>
      <c r="L23" s="27">
        <v>0</v>
      </c>
      <c r="M23" s="27">
        <v>2</v>
      </c>
      <c r="N23" s="27">
        <v>1</v>
      </c>
      <c r="O23" s="27">
        <f t="shared" si="0"/>
        <v>3</v>
      </c>
      <c r="P23" s="83">
        <f t="shared" si="2"/>
        <v>5871</v>
      </c>
    </row>
    <row r="24" spans="1:26" s="38" customFormat="1" ht="18" customHeight="1" thickBot="1" x14ac:dyDescent="0.35">
      <c r="A24" s="76">
        <v>19</v>
      </c>
      <c r="B24" s="27">
        <f>7831+14</f>
        <v>7845</v>
      </c>
      <c r="C24" s="27">
        <v>6</v>
      </c>
      <c r="D24" s="27">
        <v>632</v>
      </c>
      <c r="E24" s="27">
        <v>95</v>
      </c>
      <c r="F24" s="27">
        <v>116</v>
      </c>
      <c r="G24" s="27">
        <v>104</v>
      </c>
      <c r="H24" s="77">
        <f t="shared" si="1"/>
        <v>8798</v>
      </c>
      <c r="I24" s="27">
        <v>0</v>
      </c>
      <c r="J24" s="80"/>
      <c r="K24" s="27">
        <v>19</v>
      </c>
      <c r="L24" s="27">
        <v>0</v>
      </c>
      <c r="M24" s="27">
        <v>0</v>
      </c>
      <c r="N24" s="27">
        <v>1</v>
      </c>
      <c r="O24" s="27">
        <f t="shared" si="0"/>
        <v>1</v>
      </c>
      <c r="P24" s="83">
        <f t="shared" si="2"/>
        <v>5871</v>
      </c>
    </row>
    <row r="25" spans="1:26" ht="18" customHeight="1" thickBot="1" x14ac:dyDescent="0.35">
      <c r="A25" s="76">
        <v>20</v>
      </c>
      <c r="B25" s="27">
        <f>1823+20</f>
        <v>1843</v>
      </c>
      <c r="C25" s="27">
        <v>10</v>
      </c>
      <c r="D25" s="27">
        <v>686</v>
      </c>
      <c r="E25" s="27">
        <v>183</v>
      </c>
      <c r="F25" s="27">
        <v>94</v>
      </c>
      <c r="G25" s="27">
        <v>119</v>
      </c>
      <c r="H25" s="77">
        <f t="shared" si="1"/>
        <v>2935</v>
      </c>
      <c r="I25" s="27">
        <v>0</v>
      </c>
      <c r="J25" s="80"/>
      <c r="K25" s="27">
        <v>20</v>
      </c>
      <c r="L25" s="27">
        <v>0</v>
      </c>
      <c r="M25" s="27">
        <v>8</v>
      </c>
      <c r="N25" s="27">
        <v>2</v>
      </c>
      <c r="O25" s="27">
        <f t="shared" si="0"/>
        <v>10</v>
      </c>
      <c r="P25" s="83">
        <f t="shared" si="2"/>
        <v>5871</v>
      </c>
    </row>
    <row r="26" spans="1:26" ht="18" customHeight="1" thickBot="1" x14ac:dyDescent="0.35">
      <c r="A26" s="76">
        <v>21</v>
      </c>
      <c r="B26" s="27">
        <f>1676+30</f>
        <v>1706</v>
      </c>
      <c r="C26" s="27">
        <v>3</v>
      </c>
      <c r="D26" s="27">
        <v>845</v>
      </c>
      <c r="E26" s="27">
        <v>193</v>
      </c>
      <c r="F26" s="27">
        <v>155</v>
      </c>
      <c r="G26" s="27">
        <v>125</v>
      </c>
      <c r="H26" s="77">
        <f t="shared" si="1"/>
        <v>3027</v>
      </c>
      <c r="I26" s="27">
        <v>0</v>
      </c>
      <c r="J26" s="80"/>
      <c r="K26" s="27">
        <v>21</v>
      </c>
      <c r="L26" s="27">
        <v>0</v>
      </c>
      <c r="M26" s="27">
        <v>5</v>
      </c>
      <c r="N26" s="27">
        <v>3</v>
      </c>
      <c r="O26" s="27">
        <f t="shared" si="0"/>
        <v>8</v>
      </c>
      <c r="P26" s="83">
        <f t="shared" si="2"/>
        <v>5871</v>
      </c>
    </row>
    <row r="27" spans="1:26" ht="18" customHeight="1" thickBot="1" x14ac:dyDescent="0.35">
      <c r="A27" s="76">
        <v>22</v>
      </c>
      <c r="B27" s="27">
        <f>1713+16</f>
        <v>1729</v>
      </c>
      <c r="C27" s="27">
        <v>5</v>
      </c>
      <c r="D27" s="27">
        <v>900</v>
      </c>
      <c r="E27" s="27">
        <v>188</v>
      </c>
      <c r="F27" s="27">
        <v>154</v>
      </c>
      <c r="G27" s="27">
        <v>184</v>
      </c>
      <c r="H27" s="77">
        <f t="shared" si="1"/>
        <v>3160</v>
      </c>
      <c r="I27" s="27">
        <v>0</v>
      </c>
      <c r="J27" s="80"/>
      <c r="K27" s="27">
        <v>22</v>
      </c>
      <c r="L27" s="27">
        <v>1</v>
      </c>
      <c r="M27" s="27">
        <v>10</v>
      </c>
      <c r="N27" s="27"/>
      <c r="O27" s="27">
        <f t="shared" si="0"/>
        <v>11</v>
      </c>
      <c r="P27" s="83">
        <f t="shared" si="2"/>
        <v>5871</v>
      </c>
    </row>
    <row r="28" spans="1:26" ht="18" customHeight="1" thickBot="1" x14ac:dyDescent="0.35">
      <c r="A28" s="76">
        <v>23</v>
      </c>
      <c r="B28" s="27">
        <f>2464+19</f>
        <v>2483</v>
      </c>
      <c r="C28" s="27">
        <v>5</v>
      </c>
      <c r="D28" s="27">
        <v>1047</v>
      </c>
      <c r="E28" s="27">
        <v>223</v>
      </c>
      <c r="F28" s="27">
        <v>193</v>
      </c>
      <c r="G28" s="27">
        <v>220</v>
      </c>
      <c r="H28" s="77">
        <f t="shared" si="1"/>
        <v>4171</v>
      </c>
      <c r="I28" s="27">
        <v>0</v>
      </c>
      <c r="J28" s="80"/>
      <c r="K28" s="27">
        <v>23</v>
      </c>
      <c r="L28" s="27">
        <v>0</v>
      </c>
      <c r="M28" s="27">
        <v>2</v>
      </c>
      <c r="N28" s="27">
        <v>1</v>
      </c>
      <c r="O28" s="27">
        <f t="shared" si="0"/>
        <v>3</v>
      </c>
      <c r="P28" s="83">
        <f t="shared" si="2"/>
        <v>5871</v>
      </c>
    </row>
    <row r="29" spans="1:26" ht="18" customHeight="1" thickBot="1" x14ac:dyDescent="0.35">
      <c r="A29" s="76">
        <v>24</v>
      </c>
      <c r="B29" s="27">
        <f>1928+14</f>
        <v>1942</v>
      </c>
      <c r="C29" s="27">
        <v>3</v>
      </c>
      <c r="D29" s="27">
        <v>789</v>
      </c>
      <c r="E29" s="27">
        <v>114</v>
      </c>
      <c r="F29" s="27">
        <v>135</v>
      </c>
      <c r="G29" s="27">
        <v>96</v>
      </c>
      <c r="H29" s="77">
        <f t="shared" si="1"/>
        <v>3079</v>
      </c>
      <c r="I29" s="27">
        <v>0</v>
      </c>
      <c r="J29" s="80"/>
      <c r="K29" s="27">
        <v>24</v>
      </c>
      <c r="L29" s="27">
        <v>0</v>
      </c>
      <c r="M29" s="27">
        <v>0</v>
      </c>
      <c r="N29" s="27">
        <v>0</v>
      </c>
      <c r="O29" s="27">
        <f t="shared" si="0"/>
        <v>0</v>
      </c>
      <c r="P29" s="83">
        <f t="shared" si="2"/>
        <v>5871</v>
      </c>
    </row>
    <row r="30" spans="1:26" s="38" customFormat="1" ht="18" customHeight="1" thickBot="1" x14ac:dyDescent="0.35">
      <c r="A30" s="76">
        <v>25</v>
      </c>
      <c r="B30" s="27">
        <f>2575+4</f>
        <v>2579</v>
      </c>
      <c r="C30" s="27">
        <v>3</v>
      </c>
      <c r="D30" s="27">
        <v>646</v>
      </c>
      <c r="E30" s="27">
        <v>89</v>
      </c>
      <c r="F30" s="27">
        <v>140</v>
      </c>
      <c r="G30" s="27">
        <v>118</v>
      </c>
      <c r="H30" s="77">
        <f t="shared" si="1"/>
        <v>3575</v>
      </c>
      <c r="I30" s="27">
        <v>0</v>
      </c>
      <c r="J30" s="80"/>
      <c r="K30" s="27">
        <v>25</v>
      </c>
      <c r="L30" s="27">
        <v>0</v>
      </c>
      <c r="M30" s="27">
        <v>0</v>
      </c>
      <c r="N30" s="27">
        <v>0</v>
      </c>
      <c r="O30" s="27">
        <f t="shared" si="0"/>
        <v>0</v>
      </c>
      <c r="P30" s="83">
        <f t="shared" si="2"/>
        <v>5871</v>
      </c>
    </row>
    <row r="31" spans="1:26" ht="18" customHeight="1" thickBot="1" x14ac:dyDescent="0.35">
      <c r="A31" s="76">
        <v>26</v>
      </c>
      <c r="B31" s="27">
        <f>1593+19</f>
        <v>1612</v>
      </c>
      <c r="C31" s="27">
        <v>6</v>
      </c>
      <c r="D31" s="27">
        <v>959</v>
      </c>
      <c r="E31" s="27">
        <v>218</v>
      </c>
      <c r="F31" s="27">
        <v>301</v>
      </c>
      <c r="G31" s="27">
        <v>233</v>
      </c>
      <c r="H31" s="77">
        <f t="shared" si="1"/>
        <v>3329</v>
      </c>
      <c r="I31" s="27">
        <v>0</v>
      </c>
      <c r="J31" s="80"/>
      <c r="K31" s="27">
        <v>26</v>
      </c>
      <c r="L31" s="27">
        <v>1</v>
      </c>
      <c r="M31" s="27">
        <v>2</v>
      </c>
      <c r="N31" s="27">
        <v>0</v>
      </c>
      <c r="O31" s="27">
        <f t="shared" si="0"/>
        <v>3</v>
      </c>
      <c r="P31" s="83">
        <f t="shared" si="2"/>
        <v>5871</v>
      </c>
    </row>
    <row r="32" spans="1:26" ht="18" customHeight="1" thickBot="1" x14ac:dyDescent="0.35">
      <c r="A32" s="76">
        <v>27</v>
      </c>
      <c r="B32" s="27">
        <f>1582+25</f>
        <v>1607</v>
      </c>
      <c r="C32" s="27">
        <v>3</v>
      </c>
      <c r="D32" s="27">
        <v>1570</v>
      </c>
      <c r="E32" s="27">
        <v>245</v>
      </c>
      <c r="F32" s="27">
        <v>418</v>
      </c>
      <c r="G32" s="27">
        <v>292</v>
      </c>
      <c r="H32" s="77">
        <f t="shared" si="1"/>
        <v>4135</v>
      </c>
      <c r="I32" s="27">
        <v>0</v>
      </c>
      <c r="J32" s="80"/>
      <c r="K32" s="27">
        <v>27</v>
      </c>
      <c r="L32" s="27">
        <v>0</v>
      </c>
      <c r="M32" s="27">
        <v>6</v>
      </c>
      <c r="N32" s="27">
        <v>3</v>
      </c>
      <c r="O32" s="27">
        <f t="shared" si="0"/>
        <v>9</v>
      </c>
      <c r="P32" s="83">
        <f t="shared" si="2"/>
        <v>5871</v>
      </c>
    </row>
    <row r="33" spans="1:17" ht="15.75" customHeight="1" thickBot="1" x14ac:dyDescent="0.35">
      <c r="A33" s="76">
        <v>28</v>
      </c>
      <c r="B33" s="27">
        <v>1573</v>
      </c>
      <c r="C33" s="27">
        <v>3</v>
      </c>
      <c r="D33" s="27">
        <v>1406</v>
      </c>
      <c r="E33" s="27">
        <v>328</v>
      </c>
      <c r="F33" s="27">
        <v>412</v>
      </c>
      <c r="G33" s="27">
        <v>352</v>
      </c>
      <c r="H33" s="77">
        <f t="shared" si="1"/>
        <v>4074</v>
      </c>
      <c r="I33" s="27">
        <v>0</v>
      </c>
      <c r="J33" s="80"/>
      <c r="K33" s="27">
        <v>28</v>
      </c>
      <c r="L33" s="27">
        <v>1</v>
      </c>
      <c r="M33" s="27">
        <v>13</v>
      </c>
      <c r="N33" s="27">
        <v>3</v>
      </c>
      <c r="O33" s="27">
        <f t="shared" si="0"/>
        <v>17</v>
      </c>
      <c r="P33" s="83">
        <f t="shared" si="2"/>
        <v>5871</v>
      </c>
    </row>
    <row r="34" spans="1:17" s="38" customFormat="1" ht="17.25" customHeight="1" thickBot="1" x14ac:dyDescent="0.35">
      <c r="A34" s="82">
        <v>29</v>
      </c>
      <c r="B34" s="27">
        <f>1254+17</f>
        <v>1271</v>
      </c>
      <c r="C34" s="27">
        <v>4</v>
      </c>
      <c r="D34" s="27">
        <v>1002</v>
      </c>
      <c r="E34" s="27">
        <v>290</v>
      </c>
      <c r="F34" s="27">
        <v>335</v>
      </c>
      <c r="G34" s="27">
        <v>262</v>
      </c>
      <c r="H34" s="77">
        <f t="shared" si="1"/>
        <v>3164</v>
      </c>
      <c r="I34" s="25">
        <v>0</v>
      </c>
      <c r="J34" s="26"/>
      <c r="K34" s="27">
        <v>29</v>
      </c>
      <c r="L34" s="27">
        <v>0</v>
      </c>
      <c r="M34" s="27">
        <v>8</v>
      </c>
      <c r="N34" s="27">
        <v>1</v>
      </c>
      <c r="O34" s="27">
        <f>SUM(L34:N34)</f>
        <v>9</v>
      </c>
      <c r="P34" s="83">
        <f t="shared" si="2"/>
        <v>5871</v>
      </c>
    </row>
    <row r="35" spans="1:17" s="38" customFormat="1" ht="17.25" customHeight="1" thickBot="1" x14ac:dyDescent="0.35">
      <c r="A35" s="82">
        <v>30</v>
      </c>
      <c r="B35" s="27">
        <f>2169+19</f>
        <v>2188</v>
      </c>
      <c r="C35" s="27">
        <v>4</v>
      </c>
      <c r="D35" s="27">
        <v>1027</v>
      </c>
      <c r="E35" s="27">
        <v>261</v>
      </c>
      <c r="F35" s="27">
        <v>326</v>
      </c>
      <c r="G35" s="27">
        <v>238</v>
      </c>
      <c r="H35" s="77">
        <f t="shared" si="1"/>
        <v>4044</v>
      </c>
      <c r="I35" s="25">
        <v>0</v>
      </c>
      <c r="J35" s="26"/>
      <c r="K35" s="27">
        <v>30</v>
      </c>
      <c r="L35" s="27">
        <v>0</v>
      </c>
      <c r="M35" s="27">
        <v>10</v>
      </c>
      <c r="N35" s="27">
        <v>1</v>
      </c>
      <c r="O35" s="27">
        <f>SUM(L35:N35)</f>
        <v>11</v>
      </c>
      <c r="P35" s="83">
        <f t="shared" si="2"/>
        <v>5871</v>
      </c>
    </row>
    <row r="36" spans="1:17" s="38" customFormat="1" ht="17.25" customHeight="1" thickBot="1" x14ac:dyDescent="0.35">
      <c r="A36" s="82">
        <v>31</v>
      </c>
      <c r="B36" s="27">
        <f>2528+15</f>
        <v>2543</v>
      </c>
      <c r="C36" s="27">
        <v>0</v>
      </c>
      <c r="D36" s="27">
        <v>869</v>
      </c>
      <c r="E36" s="27">
        <v>221</v>
      </c>
      <c r="F36" s="27">
        <v>253</v>
      </c>
      <c r="G36" s="27">
        <v>285</v>
      </c>
      <c r="H36" s="77">
        <f t="shared" si="1"/>
        <v>4171</v>
      </c>
      <c r="I36" s="25">
        <v>0</v>
      </c>
      <c r="J36" s="26"/>
      <c r="K36" s="27">
        <v>31</v>
      </c>
      <c r="L36" s="27">
        <v>0</v>
      </c>
      <c r="M36" s="27">
        <v>0</v>
      </c>
      <c r="N36" s="27">
        <v>2</v>
      </c>
      <c r="O36" s="27">
        <f t="shared" ref="O36" si="3">SUM(L36:N36)</f>
        <v>2</v>
      </c>
      <c r="P36" s="83">
        <f t="shared" si="2"/>
        <v>5871</v>
      </c>
    </row>
    <row r="37" spans="1:17" s="51" customFormat="1" ht="18" customHeight="1" thickBot="1" x14ac:dyDescent="0.35">
      <c r="A37" s="49" t="s">
        <v>18</v>
      </c>
      <c r="B37" s="67">
        <f>SUM(B6:B36)</f>
        <v>91392</v>
      </c>
      <c r="C37" s="67">
        <f t="shared" ref="C37:H37" si="4">SUM(C6:C36)</f>
        <v>156</v>
      </c>
      <c r="D37" s="67">
        <f t="shared" si="4"/>
        <v>30059</v>
      </c>
      <c r="E37" s="67">
        <f t="shared" si="4"/>
        <v>6008</v>
      </c>
      <c r="F37" s="67">
        <f t="shared" si="4"/>
        <v>6363</v>
      </c>
      <c r="G37" s="67">
        <f t="shared" si="4"/>
        <v>6454</v>
      </c>
      <c r="H37" s="67">
        <f t="shared" si="4"/>
        <v>140432</v>
      </c>
      <c r="I37" s="67">
        <f>SUM(I6:I33)</f>
        <v>0</v>
      </c>
      <c r="J37" s="54"/>
      <c r="K37" s="49" t="s">
        <v>19</v>
      </c>
      <c r="L37" s="68">
        <f>SUM(L6:L36)</f>
        <v>15</v>
      </c>
      <c r="M37" s="68">
        <f t="shared" ref="M37:O37" si="5">SUM(M6:M36)</f>
        <v>172</v>
      </c>
      <c r="N37" s="68">
        <f t="shared" si="5"/>
        <v>45</v>
      </c>
      <c r="O37" s="68">
        <f t="shared" si="5"/>
        <v>232</v>
      </c>
      <c r="P37" s="69"/>
      <c r="Q37" s="69"/>
    </row>
    <row r="38" spans="1:17" s="51" customFormat="1" ht="18" customHeight="1" thickBot="1" x14ac:dyDescent="0.35">
      <c r="A38" s="49" t="s">
        <v>19</v>
      </c>
      <c r="B38" s="110">
        <f>+B37+C37</f>
        <v>91548</v>
      </c>
      <c r="C38" s="111"/>
      <c r="D38" s="68">
        <f t="shared" ref="D38:I38" si="6">+D37</f>
        <v>30059</v>
      </c>
      <c r="E38" s="68">
        <f t="shared" si="6"/>
        <v>6008</v>
      </c>
      <c r="F38" s="68">
        <f t="shared" si="6"/>
        <v>6363</v>
      </c>
      <c r="G38" s="68">
        <f t="shared" si="6"/>
        <v>6454</v>
      </c>
      <c r="H38" s="68">
        <f t="shared" si="6"/>
        <v>140432</v>
      </c>
      <c r="I38" s="68">
        <f t="shared" si="6"/>
        <v>0</v>
      </c>
      <c r="J38" s="54"/>
      <c r="K38" s="49" t="s">
        <v>20</v>
      </c>
      <c r="L38" s="55" t="s">
        <v>21</v>
      </c>
      <c r="M38" s="55" t="s">
        <v>22</v>
      </c>
      <c r="N38" s="55" t="s">
        <v>21</v>
      </c>
      <c r="O38" s="55" t="s">
        <v>22</v>
      </c>
      <c r="P38" s="69"/>
      <c r="Q38" s="69"/>
    </row>
  </sheetData>
  <mergeCells count="12">
    <mergeCell ref="N4:N5"/>
    <mergeCell ref="O4:O5"/>
    <mergeCell ref="B38:C38"/>
    <mergeCell ref="A1:O1"/>
    <mergeCell ref="A2:O2"/>
    <mergeCell ref="A3:O3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AAE-B29D-4E7A-A07D-D5F55AF7EA24}">
  <dimension ref="A1:Z38"/>
  <sheetViews>
    <sheetView topLeftCell="A24" workbookViewId="0">
      <selection activeCell="F8" sqref="F8"/>
    </sheetView>
  </sheetViews>
  <sheetFormatPr baseColWidth="10" defaultColWidth="11.44140625" defaultRowHeight="14.4" x14ac:dyDescent="0.3"/>
  <cols>
    <col min="1" max="1" width="13.5546875" customWidth="1"/>
    <col min="2" max="2" width="11.33203125" customWidth="1"/>
    <col min="3" max="3" width="8.5546875" customWidth="1"/>
    <col min="4" max="4" width="18.6640625" customWidth="1"/>
    <col min="5" max="5" width="13.6640625" customWidth="1"/>
    <col min="6" max="6" width="13.33203125" customWidth="1"/>
    <col min="7" max="7" width="13.109375" customWidth="1"/>
    <col min="8" max="8" width="17.109375" customWidth="1"/>
    <col min="9" max="9" width="14.44140625" bestFit="1" customWidth="1"/>
    <col min="10" max="10" width="3.88671875" customWidth="1"/>
    <col min="11" max="11" width="10.6640625" customWidth="1"/>
    <col min="12" max="12" width="14.88671875" customWidth="1"/>
    <col min="13" max="13" width="15.88671875" customWidth="1"/>
    <col min="14" max="14" width="10.109375" customWidth="1"/>
    <col min="15" max="15" width="9.88671875" customWidth="1"/>
  </cols>
  <sheetData>
    <row r="1" spans="1:19" ht="15.6" x14ac:dyDescent="0.3">
      <c r="A1" s="100" t="s">
        <v>23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19" ht="15.6" x14ac:dyDescent="0.3">
      <c r="A2" s="100" t="s">
        <v>25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</row>
    <row r="3" spans="1:19" ht="16.2" thickBot="1" x14ac:dyDescent="0.35">
      <c r="A3" s="101" t="s">
        <v>33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</row>
    <row r="4" spans="1:19" s="51" customFormat="1" ht="78" customHeight="1" thickBot="1" x14ac:dyDescent="0.35">
      <c r="A4" s="64" t="s">
        <v>0</v>
      </c>
      <c r="B4" s="112" t="s">
        <v>1</v>
      </c>
      <c r="C4" s="113"/>
      <c r="D4" s="65" t="s">
        <v>2</v>
      </c>
      <c r="E4" s="66" t="s">
        <v>3</v>
      </c>
      <c r="F4" s="66" t="s">
        <v>4</v>
      </c>
      <c r="G4" s="66" t="s">
        <v>5</v>
      </c>
      <c r="H4" s="114" t="s">
        <v>6</v>
      </c>
      <c r="I4" s="108" t="s">
        <v>7</v>
      </c>
      <c r="J4" s="39"/>
      <c r="K4" s="116" t="s">
        <v>0</v>
      </c>
      <c r="L4" s="108" t="s">
        <v>8</v>
      </c>
      <c r="M4" s="108" t="s">
        <v>9</v>
      </c>
      <c r="N4" s="108" t="s">
        <v>10</v>
      </c>
      <c r="O4" s="108" t="s">
        <v>11</v>
      </c>
    </row>
    <row r="5" spans="1:19" s="51" customFormat="1" ht="18" customHeight="1" thickBot="1" x14ac:dyDescent="0.35">
      <c r="B5" s="49" t="s">
        <v>12</v>
      </c>
      <c r="C5" s="49" t="s">
        <v>13</v>
      </c>
      <c r="D5" s="49" t="s">
        <v>14</v>
      </c>
      <c r="E5" s="49" t="s">
        <v>15</v>
      </c>
      <c r="F5" s="49" t="s">
        <v>16</v>
      </c>
      <c r="G5" s="49" t="s">
        <v>17</v>
      </c>
      <c r="H5" s="115"/>
      <c r="I5" s="109"/>
      <c r="J5" s="40"/>
      <c r="K5" s="117"/>
      <c r="L5" s="109"/>
      <c r="M5" s="109"/>
      <c r="N5" s="109"/>
      <c r="O5" s="109"/>
    </row>
    <row r="6" spans="1:19" ht="18" customHeight="1" thickBot="1" x14ac:dyDescent="0.35">
      <c r="A6" s="70">
        <v>1</v>
      </c>
      <c r="B6" s="71">
        <f>3317+8</f>
        <v>3325</v>
      </c>
      <c r="C6" s="71">
        <v>2</v>
      </c>
      <c r="D6" s="71">
        <v>765</v>
      </c>
      <c r="E6" s="71">
        <v>128</v>
      </c>
      <c r="F6" s="71">
        <v>165</v>
      </c>
      <c r="G6" s="71">
        <v>193</v>
      </c>
      <c r="H6" s="72">
        <f>SUM(B6:G6)</f>
        <v>4578</v>
      </c>
      <c r="I6" s="73">
        <v>0</v>
      </c>
      <c r="J6" s="74"/>
      <c r="K6" s="75">
        <v>1</v>
      </c>
      <c r="L6" s="71">
        <v>0</v>
      </c>
      <c r="M6" s="71">
        <v>2</v>
      </c>
      <c r="N6" s="71">
        <v>1</v>
      </c>
      <c r="O6" s="71">
        <f>SUM(L6:N6)</f>
        <v>3</v>
      </c>
      <c r="P6" s="83">
        <v>5871</v>
      </c>
    </row>
    <row r="7" spans="1:19" ht="18" customHeight="1" thickBot="1" x14ac:dyDescent="0.35">
      <c r="A7" s="76">
        <v>2</v>
      </c>
      <c r="B7" s="71">
        <f>1557+16</f>
        <v>1573</v>
      </c>
      <c r="C7" s="71">
        <v>4</v>
      </c>
      <c r="D7" s="71">
        <v>779</v>
      </c>
      <c r="E7" s="71">
        <v>265</v>
      </c>
      <c r="F7" s="71">
        <v>184</v>
      </c>
      <c r="G7" s="71">
        <v>226</v>
      </c>
      <c r="H7" s="77">
        <f>SUM(B7:G7)</f>
        <v>3031</v>
      </c>
      <c r="I7" s="78">
        <v>0</v>
      </c>
      <c r="J7" s="74"/>
      <c r="K7" s="79">
        <v>2</v>
      </c>
      <c r="L7" s="27">
        <v>0</v>
      </c>
      <c r="M7" s="27">
        <v>4</v>
      </c>
      <c r="N7" s="27">
        <v>3</v>
      </c>
      <c r="O7" s="27">
        <f t="shared" ref="O7:O33" si="0">SUM(L7:N7)</f>
        <v>7</v>
      </c>
      <c r="P7" s="83">
        <f>+P6</f>
        <v>5871</v>
      </c>
    </row>
    <row r="8" spans="1:19" ht="18" customHeight="1" thickBot="1" x14ac:dyDescent="0.35">
      <c r="A8" s="76">
        <v>3</v>
      </c>
      <c r="B8" s="71">
        <f>1603+26</f>
        <v>1629</v>
      </c>
      <c r="C8" s="71">
        <v>2</v>
      </c>
      <c r="D8" s="71">
        <v>965</v>
      </c>
      <c r="E8" s="71">
        <v>342</v>
      </c>
      <c r="F8" s="71">
        <v>164</v>
      </c>
      <c r="G8" s="71">
        <v>204</v>
      </c>
      <c r="H8" s="77">
        <f t="shared" ref="H8:H36" si="1">SUM(B8:G8)</f>
        <v>3306</v>
      </c>
      <c r="I8" s="78">
        <v>0</v>
      </c>
      <c r="J8" s="74"/>
      <c r="K8" s="79">
        <v>3</v>
      </c>
      <c r="L8" s="27">
        <v>0</v>
      </c>
      <c r="M8" s="27">
        <v>14</v>
      </c>
      <c r="N8" s="27">
        <v>2</v>
      </c>
      <c r="O8" s="27">
        <f t="shared" si="0"/>
        <v>16</v>
      </c>
      <c r="P8" s="83">
        <f t="shared" ref="P8:P36" si="2">+P7</f>
        <v>5871</v>
      </c>
      <c r="S8" s="37"/>
    </row>
    <row r="9" spans="1:19" ht="18" customHeight="1" thickBot="1" x14ac:dyDescent="0.35">
      <c r="A9" s="76">
        <v>4</v>
      </c>
      <c r="B9" s="71">
        <f>1733+21</f>
        <v>1754</v>
      </c>
      <c r="C9" s="71">
        <v>3</v>
      </c>
      <c r="D9" s="71">
        <v>984</v>
      </c>
      <c r="E9" s="71">
        <v>279</v>
      </c>
      <c r="F9" s="71">
        <v>167</v>
      </c>
      <c r="G9" s="71">
        <v>225</v>
      </c>
      <c r="H9" s="77">
        <f t="shared" si="1"/>
        <v>3412</v>
      </c>
      <c r="I9" s="78">
        <v>0</v>
      </c>
      <c r="J9" s="74"/>
      <c r="K9" s="79">
        <v>4</v>
      </c>
      <c r="L9" s="27">
        <v>2</v>
      </c>
      <c r="M9" s="27">
        <v>4</v>
      </c>
      <c r="N9" s="27">
        <v>1</v>
      </c>
      <c r="O9" s="27">
        <f t="shared" si="0"/>
        <v>7</v>
      </c>
      <c r="P9" s="83">
        <f t="shared" si="2"/>
        <v>5871</v>
      </c>
    </row>
    <row r="10" spans="1:19" ht="18" customHeight="1" thickBot="1" x14ac:dyDescent="0.35">
      <c r="A10" s="76">
        <v>5</v>
      </c>
      <c r="B10" s="27">
        <f>1932+16</f>
        <v>1948</v>
      </c>
      <c r="C10" s="27">
        <v>0</v>
      </c>
      <c r="D10" s="27">
        <v>1053</v>
      </c>
      <c r="E10" s="27">
        <v>324</v>
      </c>
      <c r="F10" s="27">
        <v>182</v>
      </c>
      <c r="G10" s="27">
        <v>227</v>
      </c>
      <c r="H10" s="77">
        <f t="shared" si="1"/>
        <v>3734</v>
      </c>
      <c r="I10" s="78">
        <v>0</v>
      </c>
      <c r="J10" s="74"/>
      <c r="K10" s="79">
        <v>5</v>
      </c>
      <c r="L10" s="27">
        <v>0</v>
      </c>
      <c r="M10" s="27">
        <v>14</v>
      </c>
      <c r="N10" s="27">
        <v>1</v>
      </c>
      <c r="O10" s="27">
        <f t="shared" si="0"/>
        <v>15</v>
      </c>
      <c r="P10" s="83">
        <f t="shared" si="2"/>
        <v>5871</v>
      </c>
    </row>
    <row r="11" spans="1:19" ht="18" customHeight="1" thickBot="1" x14ac:dyDescent="0.35">
      <c r="A11" s="76">
        <v>6</v>
      </c>
      <c r="B11" s="27">
        <f>2785+25</f>
        <v>2810</v>
      </c>
      <c r="C11" s="27">
        <v>0</v>
      </c>
      <c r="D11" s="27">
        <v>1129</v>
      </c>
      <c r="E11" s="27">
        <v>361</v>
      </c>
      <c r="F11" s="27">
        <v>212</v>
      </c>
      <c r="G11" s="27">
        <v>256</v>
      </c>
      <c r="H11" s="77">
        <f t="shared" si="1"/>
        <v>4768</v>
      </c>
      <c r="I11" s="78">
        <v>0</v>
      </c>
      <c r="J11" s="74"/>
      <c r="K11" s="79">
        <v>6</v>
      </c>
      <c r="L11" s="27">
        <v>1</v>
      </c>
      <c r="M11" s="27">
        <v>27</v>
      </c>
      <c r="N11" s="27">
        <v>3</v>
      </c>
      <c r="O11" s="27">
        <f t="shared" si="0"/>
        <v>31</v>
      </c>
      <c r="P11" s="83">
        <f t="shared" si="2"/>
        <v>5871</v>
      </c>
    </row>
    <row r="12" spans="1:19" ht="18" customHeight="1" thickBot="1" x14ac:dyDescent="0.35">
      <c r="A12" s="76">
        <v>7</v>
      </c>
      <c r="B12" s="27">
        <f>3374+16</f>
        <v>3390</v>
      </c>
      <c r="C12" s="27">
        <v>0</v>
      </c>
      <c r="D12" s="27">
        <v>959</v>
      </c>
      <c r="E12" s="27">
        <v>277</v>
      </c>
      <c r="F12" s="27">
        <v>205</v>
      </c>
      <c r="G12" s="27">
        <v>194</v>
      </c>
      <c r="H12" s="77">
        <f t="shared" si="1"/>
        <v>5025</v>
      </c>
      <c r="I12" s="27">
        <v>0</v>
      </c>
      <c r="J12" s="80"/>
      <c r="K12" s="27">
        <v>7</v>
      </c>
      <c r="L12" s="27">
        <v>1</v>
      </c>
      <c r="M12" s="27">
        <v>2</v>
      </c>
      <c r="N12" s="27">
        <v>2</v>
      </c>
      <c r="O12" s="27">
        <f t="shared" si="0"/>
        <v>5</v>
      </c>
      <c r="P12" s="83">
        <f t="shared" si="2"/>
        <v>5871</v>
      </c>
    </row>
    <row r="13" spans="1:19" ht="18" customHeight="1" thickBot="1" x14ac:dyDescent="0.35">
      <c r="A13" s="76">
        <v>8</v>
      </c>
      <c r="B13" s="27">
        <f>4495+7</f>
        <v>4502</v>
      </c>
      <c r="C13" s="27">
        <v>4</v>
      </c>
      <c r="D13" s="27">
        <v>852</v>
      </c>
      <c r="E13" s="27">
        <v>133</v>
      </c>
      <c r="F13" s="27">
        <v>120</v>
      </c>
      <c r="G13" s="27">
        <v>177</v>
      </c>
      <c r="H13" s="77">
        <f t="shared" si="1"/>
        <v>5788</v>
      </c>
      <c r="I13" s="27">
        <v>0</v>
      </c>
      <c r="J13" s="80"/>
      <c r="K13" s="27">
        <v>8</v>
      </c>
      <c r="L13" s="27">
        <v>0</v>
      </c>
      <c r="M13" s="27">
        <v>9</v>
      </c>
      <c r="N13" s="27">
        <v>0</v>
      </c>
      <c r="O13" s="27">
        <f t="shared" si="0"/>
        <v>9</v>
      </c>
      <c r="P13" s="83">
        <f t="shared" si="2"/>
        <v>5871</v>
      </c>
    </row>
    <row r="14" spans="1:19" s="51" customFormat="1" ht="18" customHeight="1" thickBot="1" x14ac:dyDescent="0.35">
      <c r="A14" s="76">
        <v>9</v>
      </c>
      <c r="B14" s="27">
        <f>1987+19</f>
        <v>2006</v>
      </c>
      <c r="C14" s="27">
        <v>0</v>
      </c>
      <c r="D14" s="27">
        <v>888</v>
      </c>
      <c r="E14" s="27">
        <v>376</v>
      </c>
      <c r="F14" s="27">
        <v>192</v>
      </c>
      <c r="G14" s="27">
        <v>254</v>
      </c>
      <c r="H14" s="77">
        <f t="shared" si="1"/>
        <v>3716</v>
      </c>
      <c r="I14" s="27">
        <v>0</v>
      </c>
      <c r="J14" s="80"/>
      <c r="K14" s="27">
        <v>9</v>
      </c>
      <c r="L14" s="27">
        <v>0</v>
      </c>
      <c r="M14" s="27">
        <v>3</v>
      </c>
      <c r="N14" s="27">
        <v>0</v>
      </c>
      <c r="O14" s="27">
        <f t="shared" si="0"/>
        <v>3</v>
      </c>
      <c r="P14" s="84">
        <f t="shared" si="2"/>
        <v>5871</v>
      </c>
    </row>
    <row r="15" spans="1:19" ht="18" customHeight="1" thickBot="1" x14ac:dyDescent="0.35">
      <c r="A15" s="76">
        <v>10</v>
      </c>
      <c r="B15" s="27">
        <f>1668+15</f>
        <v>1683</v>
      </c>
      <c r="C15" s="27">
        <v>4</v>
      </c>
      <c r="D15" s="27">
        <v>1041</v>
      </c>
      <c r="E15" s="27">
        <v>290</v>
      </c>
      <c r="F15" s="27">
        <v>204</v>
      </c>
      <c r="G15" s="27">
        <v>233</v>
      </c>
      <c r="H15" s="77">
        <f t="shared" si="1"/>
        <v>3455</v>
      </c>
      <c r="I15" s="27">
        <v>0</v>
      </c>
      <c r="J15" s="80"/>
      <c r="K15" s="27">
        <v>10</v>
      </c>
      <c r="L15" s="27">
        <v>0</v>
      </c>
      <c r="M15" s="27">
        <v>9</v>
      </c>
      <c r="N15" s="27">
        <v>4</v>
      </c>
      <c r="O15" s="27">
        <f t="shared" si="0"/>
        <v>13</v>
      </c>
      <c r="P15" s="83">
        <f t="shared" si="2"/>
        <v>5871</v>
      </c>
    </row>
    <row r="16" spans="1:19" ht="18" customHeight="1" thickBot="1" x14ac:dyDescent="0.35">
      <c r="A16" s="76">
        <v>11</v>
      </c>
      <c r="B16" s="27">
        <f>1785+25</f>
        <v>1810</v>
      </c>
      <c r="C16" s="27">
        <v>0</v>
      </c>
      <c r="D16" s="27">
        <v>1029</v>
      </c>
      <c r="E16" s="27">
        <v>327</v>
      </c>
      <c r="F16" s="27">
        <v>222</v>
      </c>
      <c r="G16" s="27">
        <v>232</v>
      </c>
      <c r="H16" s="77">
        <f t="shared" si="1"/>
        <v>3620</v>
      </c>
      <c r="I16" s="27">
        <v>0</v>
      </c>
      <c r="J16" s="80"/>
      <c r="K16" s="27">
        <v>11</v>
      </c>
      <c r="L16" s="27">
        <v>0</v>
      </c>
      <c r="M16" s="27">
        <v>19</v>
      </c>
      <c r="N16" s="27">
        <v>5</v>
      </c>
      <c r="O16" s="27">
        <f t="shared" si="0"/>
        <v>24</v>
      </c>
      <c r="P16" s="83">
        <f t="shared" si="2"/>
        <v>5871</v>
      </c>
      <c r="Q16" s="38"/>
    </row>
    <row r="17" spans="1:26" ht="18" customHeight="1" thickBot="1" x14ac:dyDescent="0.35">
      <c r="A17" s="76">
        <v>12</v>
      </c>
      <c r="B17" s="27">
        <f>2016+38</f>
        <v>2054</v>
      </c>
      <c r="C17" s="27">
        <v>5</v>
      </c>
      <c r="D17" s="27">
        <v>1191</v>
      </c>
      <c r="E17" s="27">
        <v>333</v>
      </c>
      <c r="F17" s="27">
        <v>171</v>
      </c>
      <c r="G17" s="27">
        <v>276</v>
      </c>
      <c r="H17" s="77">
        <f t="shared" si="1"/>
        <v>4030</v>
      </c>
      <c r="I17" s="27">
        <v>0</v>
      </c>
      <c r="J17" s="80"/>
      <c r="K17" s="27">
        <v>12</v>
      </c>
      <c r="L17" s="27">
        <v>0</v>
      </c>
      <c r="M17" s="27">
        <v>14</v>
      </c>
      <c r="N17" s="27">
        <v>2</v>
      </c>
      <c r="O17" s="27">
        <f t="shared" si="0"/>
        <v>16</v>
      </c>
      <c r="P17" s="83">
        <f t="shared" si="2"/>
        <v>5871</v>
      </c>
    </row>
    <row r="18" spans="1:26" ht="18" customHeight="1" thickBot="1" x14ac:dyDescent="0.35">
      <c r="A18" s="76">
        <v>13</v>
      </c>
      <c r="B18" s="27">
        <f>2967+35</f>
        <v>3002</v>
      </c>
      <c r="C18" s="27">
        <v>2</v>
      </c>
      <c r="D18" s="27">
        <v>1176</v>
      </c>
      <c r="E18" s="27">
        <v>317</v>
      </c>
      <c r="F18" s="27">
        <v>227</v>
      </c>
      <c r="G18" s="27">
        <v>232</v>
      </c>
      <c r="H18" s="77">
        <f t="shared" si="1"/>
        <v>4956</v>
      </c>
      <c r="I18" s="27">
        <v>0</v>
      </c>
      <c r="J18" s="80"/>
      <c r="K18" s="27">
        <v>13</v>
      </c>
      <c r="L18" s="27">
        <v>0</v>
      </c>
      <c r="M18" s="27">
        <v>4</v>
      </c>
      <c r="N18" s="27">
        <v>0</v>
      </c>
      <c r="O18" s="27">
        <f t="shared" si="0"/>
        <v>4</v>
      </c>
      <c r="P18" s="83">
        <f t="shared" si="2"/>
        <v>5871</v>
      </c>
    </row>
    <row r="19" spans="1:26" ht="18" customHeight="1" thickBot="1" x14ac:dyDescent="0.35">
      <c r="A19" s="76">
        <v>14</v>
      </c>
      <c r="B19" s="27">
        <f>3224+12</f>
        <v>3236</v>
      </c>
      <c r="C19" s="27">
        <v>0</v>
      </c>
      <c r="D19" s="27">
        <v>961</v>
      </c>
      <c r="E19" s="27">
        <v>235</v>
      </c>
      <c r="F19" s="27">
        <v>201</v>
      </c>
      <c r="G19" s="27">
        <v>207</v>
      </c>
      <c r="H19" s="77">
        <f t="shared" si="1"/>
        <v>4840</v>
      </c>
      <c r="I19" s="27">
        <v>0</v>
      </c>
      <c r="J19" s="80"/>
      <c r="K19" s="27">
        <v>14</v>
      </c>
      <c r="L19" s="27">
        <v>0</v>
      </c>
      <c r="M19" s="27">
        <v>2</v>
      </c>
      <c r="N19" s="27">
        <v>0</v>
      </c>
      <c r="O19" s="27">
        <f t="shared" si="0"/>
        <v>2</v>
      </c>
      <c r="P19" s="83">
        <f t="shared" si="2"/>
        <v>5871</v>
      </c>
    </row>
    <row r="20" spans="1:26" ht="18" customHeight="1" thickBot="1" x14ac:dyDescent="0.35">
      <c r="A20" s="76">
        <v>15</v>
      </c>
      <c r="B20" s="27">
        <f>4616+7</f>
        <v>4623</v>
      </c>
      <c r="C20" s="27">
        <v>3</v>
      </c>
      <c r="D20" s="27">
        <v>809</v>
      </c>
      <c r="E20" s="27">
        <v>123</v>
      </c>
      <c r="F20" s="27">
        <v>103</v>
      </c>
      <c r="G20" s="27">
        <v>160</v>
      </c>
      <c r="H20" s="77">
        <f t="shared" si="1"/>
        <v>5821</v>
      </c>
      <c r="I20" s="27">
        <v>0</v>
      </c>
      <c r="J20" s="80"/>
      <c r="K20" s="27">
        <v>15</v>
      </c>
      <c r="L20" s="27">
        <v>0</v>
      </c>
      <c r="M20" s="27">
        <v>2</v>
      </c>
      <c r="N20" s="27">
        <v>2</v>
      </c>
      <c r="O20" s="27">
        <f t="shared" si="0"/>
        <v>4</v>
      </c>
      <c r="P20" s="83">
        <f t="shared" si="2"/>
        <v>5871</v>
      </c>
    </row>
    <row r="21" spans="1:26" ht="18" customHeight="1" thickBot="1" x14ac:dyDescent="0.35">
      <c r="A21" s="76">
        <v>16</v>
      </c>
      <c r="B21" s="27">
        <f>1930+24</f>
        <v>1954</v>
      </c>
      <c r="C21" s="27">
        <v>3</v>
      </c>
      <c r="D21" s="27">
        <v>934</v>
      </c>
      <c r="E21" s="27">
        <v>242</v>
      </c>
      <c r="F21" s="27">
        <v>183</v>
      </c>
      <c r="G21" s="27">
        <v>304</v>
      </c>
      <c r="H21" s="77">
        <f t="shared" si="1"/>
        <v>3620</v>
      </c>
      <c r="I21" s="27">
        <v>0</v>
      </c>
      <c r="J21" s="80"/>
      <c r="K21" s="27">
        <v>16</v>
      </c>
      <c r="L21" s="27">
        <v>0</v>
      </c>
      <c r="M21" s="27">
        <v>2</v>
      </c>
      <c r="N21" s="27">
        <v>2</v>
      </c>
      <c r="O21" s="27">
        <f t="shared" si="0"/>
        <v>4</v>
      </c>
      <c r="P21" s="83">
        <f>+P20</f>
        <v>5871</v>
      </c>
    </row>
    <row r="22" spans="1:26" ht="18" customHeight="1" thickBot="1" x14ac:dyDescent="0.35">
      <c r="A22" s="76">
        <v>17</v>
      </c>
      <c r="B22" s="27">
        <f>1672+20</f>
        <v>1692</v>
      </c>
      <c r="C22" s="27">
        <v>9</v>
      </c>
      <c r="D22" s="27">
        <v>1100</v>
      </c>
      <c r="E22" s="27">
        <v>378</v>
      </c>
      <c r="F22" s="27">
        <v>226</v>
      </c>
      <c r="G22" s="27">
        <v>264</v>
      </c>
      <c r="H22" s="77">
        <f>SUM(B22:G22)</f>
        <v>3669</v>
      </c>
      <c r="I22" s="27">
        <v>0</v>
      </c>
      <c r="J22" s="80"/>
      <c r="K22" s="27">
        <v>17</v>
      </c>
      <c r="L22" s="27">
        <v>0</v>
      </c>
      <c r="M22" s="27">
        <v>7</v>
      </c>
      <c r="N22" s="27">
        <v>2</v>
      </c>
      <c r="O22" s="27">
        <f t="shared" si="0"/>
        <v>9</v>
      </c>
      <c r="P22" s="83">
        <f t="shared" si="2"/>
        <v>5871</v>
      </c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spans="1:26" ht="18" customHeight="1" thickBot="1" x14ac:dyDescent="0.35">
      <c r="A23" s="76">
        <v>18</v>
      </c>
      <c r="B23" s="27">
        <f>1799+24</f>
        <v>1823</v>
      </c>
      <c r="C23" s="27">
        <v>5</v>
      </c>
      <c r="D23" s="27">
        <v>1088</v>
      </c>
      <c r="E23" s="27">
        <f>283+74</f>
        <v>357</v>
      </c>
      <c r="F23" s="27">
        <v>237</v>
      </c>
      <c r="G23" s="27">
        <v>274</v>
      </c>
      <c r="H23" s="77">
        <f t="shared" si="1"/>
        <v>3784</v>
      </c>
      <c r="I23" s="27">
        <v>0</v>
      </c>
      <c r="J23" s="80"/>
      <c r="K23" s="27">
        <v>18</v>
      </c>
      <c r="L23" s="27">
        <v>2</v>
      </c>
      <c r="M23" s="27">
        <v>7</v>
      </c>
      <c r="N23" s="27">
        <v>0</v>
      </c>
      <c r="O23" s="27">
        <f t="shared" si="0"/>
        <v>9</v>
      </c>
      <c r="P23" s="83">
        <f t="shared" si="2"/>
        <v>5871</v>
      </c>
    </row>
    <row r="24" spans="1:26" s="38" customFormat="1" ht="18" customHeight="1" thickBot="1" x14ac:dyDescent="0.35">
      <c r="A24" s="76">
        <v>19</v>
      </c>
      <c r="B24" s="27">
        <f>2071+29</f>
        <v>2100</v>
      </c>
      <c r="C24" s="27">
        <v>5</v>
      </c>
      <c r="D24" s="27">
        <v>1103</v>
      </c>
      <c r="E24" s="27">
        <f>375+74</f>
        <v>449</v>
      </c>
      <c r="F24" s="27">
        <v>257</v>
      </c>
      <c r="G24" s="27">
        <v>283</v>
      </c>
      <c r="H24" s="77">
        <f t="shared" si="1"/>
        <v>4197</v>
      </c>
      <c r="I24" s="27">
        <v>0</v>
      </c>
      <c r="J24" s="80"/>
      <c r="K24" s="27">
        <v>19</v>
      </c>
      <c r="L24" s="27">
        <v>0</v>
      </c>
      <c r="M24" s="27">
        <v>11</v>
      </c>
      <c r="N24" s="27">
        <v>2</v>
      </c>
      <c r="O24" s="27">
        <f t="shared" si="0"/>
        <v>13</v>
      </c>
      <c r="P24" s="83">
        <f t="shared" si="2"/>
        <v>5871</v>
      </c>
    </row>
    <row r="25" spans="1:26" ht="18" customHeight="1" thickBot="1" x14ac:dyDescent="0.35">
      <c r="A25" s="76">
        <v>20</v>
      </c>
      <c r="B25" s="27">
        <f>3180+16</f>
        <v>3196</v>
      </c>
      <c r="C25" s="27">
        <v>2</v>
      </c>
      <c r="D25" s="27">
        <v>1319</v>
      </c>
      <c r="E25" s="27">
        <v>368</v>
      </c>
      <c r="F25" s="27">
        <v>285</v>
      </c>
      <c r="G25" s="27">
        <v>347</v>
      </c>
      <c r="H25" s="77">
        <f t="shared" si="1"/>
        <v>5517</v>
      </c>
      <c r="I25" s="27">
        <v>0</v>
      </c>
      <c r="J25" s="80"/>
      <c r="K25" s="27">
        <v>20</v>
      </c>
      <c r="L25" s="27">
        <v>1</v>
      </c>
      <c r="M25" s="27">
        <v>4</v>
      </c>
      <c r="N25" s="27">
        <v>1</v>
      </c>
      <c r="O25" s="27">
        <f t="shared" si="0"/>
        <v>6</v>
      </c>
      <c r="P25" s="83">
        <f t="shared" si="2"/>
        <v>5871</v>
      </c>
    </row>
    <row r="26" spans="1:26" ht="18" customHeight="1" thickBot="1" x14ac:dyDescent="0.35">
      <c r="A26" s="76">
        <v>21</v>
      </c>
      <c r="B26" s="27">
        <v>3282</v>
      </c>
      <c r="C26" s="27">
        <v>0</v>
      </c>
      <c r="D26" s="27">
        <v>973</v>
      </c>
      <c r="E26" s="27">
        <v>293</v>
      </c>
      <c r="F26" s="27">
        <v>204</v>
      </c>
      <c r="G26" s="27">
        <v>204</v>
      </c>
      <c r="H26" s="77">
        <f t="shared" si="1"/>
        <v>4956</v>
      </c>
      <c r="I26" s="27">
        <v>0</v>
      </c>
      <c r="J26" s="80"/>
      <c r="K26" s="27">
        <v>21</v>
      </c>
      <c r="L26" s="27">
        <v>2</v>
      </c>
      <c r="M26" s="27">
        <v>5</v>
      </c>
      <c r="N26" s="27">
        <v>1</v>
      </c>
      <c r="O26" s="27">
        <f t="shared" si="0"/>
        <v>8</v>
      </c>
      <c r="P26" s="83">
        <f t="shared" si="2"/>
        <v>5871</v>
      </c>
    </row>
    <row r="27" spans="1:26" ht="18" customHeight="1" thickBot="1" x14ac:dyDescent="0.35">
      <c r="A27" s="76">
        <v>22</v>
      </c>
      <c r="B27" s="27">
        <v>4687</v>
      </c>
      <c r="C27" s="27">
        <v>3</v>
      </c>
      <c r="D27" s="27">
        <v>776</v>
      </c>
      <c r="E27" s="27">
        <v>96</v>
      </c>
      <c r="F27" s="27">
        <v>110</v>
      </c>
      <c r="G27" s="27">
        <v>151</v>
      </c>
      <c r="H27" s="77">
        <f t="shared" si="1"/>
        <v>5823</v>
      </c>
      <c r="I27" s="27">
        <v>0</v>
      </c>
      <c r="J27" s="80"/>
      <c r="K27" s="27">
        <v>22</v>
      </c>
      <c r="L27" s="27">
        <v>0</v>
      </c>
      <c r="M27" s="27">
        <v>2</v>
      </c>
      <c r="N27" s="27">
        <v>1</v>
      </c>
      <c r="O27" s="27">
        <f t="shared" si="0"/>
        <v>3</v>
      </c>
      <c r="P27" s="83">
        <f t="shared" si="2"/>
        <v>5871</v>
      </c>
    </row>
    <row r="28" spans="1:26" ht="18" customHeight="1" thickBot="1" x14ac:dyDescent="0.35">
      <c r="A28" s="76">
        <v>23</v>
      </c>
      <c r="B28" s="27">
        <f>2115+17</f>
        <v>2132</v>
      </c>
      <c r="C28" s="27">
        <v>4</v>
      </c>
      <c r="D28" s="27">
        <v>987</v>
      </c>
      <c r="E28" s="27">
        <f>279+96</f>
        <v>375</v>
      </c>
      <c r="F28" s="27">
        <v>213</v>
      </c>
      <c r="G28" s="27">
        <v>265</v>
      </c>
      <c r="H28" s="77">
        <f t="shared" si="1"/>
        <v>3976</v>
      </c>
      <c r="I28" s="27">
        <v>0</v>
      </c>
      <c r="J28" s="80"/>
      <c r="K28" s="27">
        <v>23</v>
      </c>
      <c r="L28" s="27">
        <v>1</v>
      </c>
      <c r="M28" s="27">
        <v>2</v>
      </c>
      <c r="N28" s="27">
        <v>0</v>
      </c>
      <c r="O28" s="27">
        <f t="shared" si="0"/>
        <v>3</v>
      </c>
      <c r="P28" s="83">
        <f t="shared" si="2"/>
        <v>5871</v>
      </c>
    </row>
    <row r="29" spans="1:26" ht="18" customHeight="1" thickBot="1" x14ac:dyDescent="0.35">
      <c r="A29" s="76">
        <v>24</v>
      </c>
      <c r="B29" s="27">
        <f>1758+53</f>
        <v>1811</v>
      </c>
      <c r="C29" s="27">
        <v>6</v>
      </c>
      <c r="D29" s="27">
        <v>1172</v>
      </c>
      <c r="E29" s="27">
        <f>267+42</f>
        <v>309</v>
      </c>
      <c r="F29" s="27">
        <v>213</v>
      </c>
      <c r="G29" s="27">
        <v>248</v>
      </c>
      <c r="H29" s="77">
        <f t="shared" si="1"/>
        <v>3759</v>
      </c>
      <c r="I29" s="27">
        <v>0</v>
      </c>
      <c r="J29" s="80"/>
      <c r="K29" s="27">
        <v>24</v>
      </c>
      <c r="L29" s="27">
        <v>1</v>
      </c>
      <c r="M29" s="27">
        <v>22</v>
      </c>
      <c r="N29" s="27">
        <v>2</v>
      </c>
      <c r="O29" s="27">
        <f t="shared" si="0"/>
        <v>25</v>
      </c>
      <c r="P29" s="83">
        <f t="shared" si="2"/>
        <v>5871</v>
      </c>
    </row>
    <row r="30" spans="1:26" s="38" customFormat="1" ht="18" customHeight="1" thickBot="1" x14ac:dyDescent="0.35">
      <c r="A30" s="76">
        <v>25</v>
      </c>
      <c r="B30" s="27">
        <f>1941+19</f>
        <v>1960</v>
      </c>
      <c r="C30" s="27">
        <v>2</v>
      </c>
      <c r="D30" s="27">
        <v>1171</v>
      </c>
      <c r="E30" s="27">
        <f>329+92</f>
        <v>421</v>
      </c>
      <c r="F30" s="27">
        <v>221</v>
      </c>
      <c r="G30" s="27">
        <v>312</v>
      </c>
      <c r="H30" s="77">
        <f t="shared" si="1"/>
        <v>4087</v>
      </c>
      <c r="I30" s="27">
        <v>0</v>
      </c>
      <c r="J30" s="80"/>
      <c r="K30" s="27">
        <v>25</v>
      </c>
      <c r="L30" s="27">
        <v>1</v>
      </c>
      <c r="M30" s="27">
        <v>18</v>
      </c>
      <c r="N30" s="27">
        <v>5</v>
      </c>
      <c r="O30" s="27">
        <f t="shared" si="0"/>
        <v>24</v>
      </c>
      <c r="P30" s="83">
        <f t="shared" si="2"/>
        <v>5871</v>
      </c>
    </row>
    <row r="31" spans="1:26" ht="18" customHeight="1" thickBot="1" x14ac:dyDescent="0.35">
      <c r="A31" s="76">
        <v>26</v>
      </c>
      <c r="B31" s="27">
        <f>2249+14</f>
        <v>2263</v>
      </c>
      <c r="C31" s="27">
        <v>6</v>
      </c>
      <c r="D31" s="27">
        <v>1190</v>
      </c>
      <c r="E31" s="27">
        <f>364+98</f>
        <v>462</v>
      </c>
      <c r="F31" s="27">
        <v>260</v>
      </c>
      <c r="G31" s="27">
        <v>273</v>
      </c>
      <c r="H31" s="77">
        <f t="shared" si="1"/>
        <v>4454</v>
      </c>
      <c r="I31" s="27">
        <v>0</v>
      </c>
      <c r="J31" s="80"/>
      <c r="K31" s="27">
        <v>26</v>
      </c>
      <c r="L31" s="27">
        <v>2</v>
      </c>
      <c r="M31" s="27">
        <v>9</v>
      </c>
      <c r="N31" s="27">
        <v>4</v>
      </c>
      <c r="O31" s="27">
        <f t="shared" si="0"/>
        <v>15</v>
      </c>
      <c r="P31" s="83">
        <f t="shared" si="2"/>
        <v>5871</v>
      </c>
    </row>
    <row r="32" spans="1:26" ht="18" customHeight="1" thickBot="1" x14ac:dyDescent="0.35">
      <c r="A32" s="76">
        <v>27</v>
      </c>
      <c r="B32" s="27">
        <f>2971+18</f>
        <v>2989</v>
      </c>
      <c r="C32" s="27">
        <v>7</v>
      </c>
      <c r="D32" s="27">
        <v>1093</v>
      </c>
      <c r="E32" s="27">
        <v>220</v>
      </c>
      <c r="F32" s="27">
        <v>186</v>
      </c>
      <c r="G32" s="27">
        <v>170</v>
      </c>
      <c r="H32" s="77">
        <f t="shared" si="1"/>
        <v>4665</v>
      </c>
      <c r="I32" s="27">
        <v>0</v>
      </c>
      <c r="J32" s="80"/>
      <c r="K32" s="27">
        <v>27</v>
      </c>
      <c r="L32" s="27">
        <v>2</v>
      </c>
      <c r="M32" s="27">
        <v>14</v>
      </c>
      <c r="N32" s="27"/>
      <c r="O32" s="27">
        <f t="shared" si="0"/>
        <v>16</v>
      </c>
      <c r="P32" s="83">
        <f t="shared" si="2"/>
        <v>5871</v>
      </c>
    </row>
    <row r="33" spans="1:17" ht="15.75" customHeight="1" thickBot="1" x14ac:dyDescent="0.35">
      <c r="A33" s="76">
        <v>28</v>
      </c>
      <c r="B33" s="27">
        <f>3321+17</f>
        <v>3338</v>
      </c>
      <c r="C33" s="27">
        <v>3</v>
      </c>
      <c r="D33" s="27">
        <v>1022</v>
      </c>
      <c r="E33" s="27">
        <f>212+65</f>
        <v>277</v>
      </c>
      <c r="F33" s="27">
        <v>239</v>
      </c>
      <c r="G33" s="27">
        <v>213</v>
      </c>
      <c r="H33" s="77">
        <f t="shared" si="1"/>
        <v>5092</v>
      </c>
      <c r="I33" s="27">
        <v>0</v>
      </c>
      <c r="J33" s="80"/>
      <c r="K33" s="27">
        <v>28</v>
      </c>
      <c r="L33" s="27">
        <v>0</v>
      </c>
      <c r="M33" s="27">
        <v>12</v>
      </c>
      <c r="N33" s="27">
        <v>1</v>
      </c>
      <c r="O33" s="27">
        <f t="shared" si="0"/>
        <v>13</v>
      </c>
      <c r="P33" s="83">
        <f t="shared" si="2"/>
        <v>5871</v>
      </c>
    </row>
    <row r="34" spans="1:17" s="38" customFormat="1" ht="17.25" customHeight="1" thickBot="1" x14ac:dyDescent="0.35">
      <c r="A34" s="82">
        <v>29</v>
      </c>
      <c r="B34" s="27">
        <f>4615+10</f>
        <v>4625</v>
      </c>
      <c r="C34" s="27">
        <v>4</v>
      </c>
      <c r="D34" s="27">
        <v>839</v>
      </c>
      <c r="E34" s="27">
        <v>137</v>
      </c>
      <c r="F34" s="27">
        <v>134</v>
      </c>
      <c r="G34" s="27">
        <v>169</v>
      </c>
      <c r="H34" s="77">
        <f t="shared" si="1"/>
        <v>5908</v>
      </c>
      <c r="I34" s="25">
        <v>0</v>
      </c>
      <c r="J34" s="26"/>
      <c r="K34" s="27">
        <v>29</v>
      </c>
      <c r="L34" s="27">
        <v>0</v>
      </c>
      <c r="M34" s="27">
        <v>5</v>
      </c>
      <c r="N34" s="27">
        <v>2</v>
      </c>
      <c r="O34" s="27">
        <f>SUM(L34:N34)</f>
        <v>7</v>
      </c>
      <c r="P34" s="83">
        <f t="shared" si="2"/>
        <v>5871</v>
      </c>
    </row>
    <row r="35" spans="1:17" s="38" customFormat="1" ht="17.25" customHeight="1" thickBot="1" x14ac:dyDescent="0.35">
      <c r="A35" s="82">
        <v>30</v>
      </c>
      <c r="B35" s="27">
        <f>1913+18</f>
        <v>1931</v>
      </c>
      <c r="C35" s="27">
        <v>2</v>
      </c>
      <c r="D35" s="27">
        <v>1040</v>
      </c>
      <c r="E35" s="27">
        <v>397</v>
      </c>
      <c r="F35" s="27">
        <v>262</v>
      </c>
      <c r="G35" s="27">
        <v>264</v>
      </c>
      <c r="H35" s="77">
        <f t="shared" si="1"/>
        <v>3896</v>
      </c>
      <c r="I35" s="25">
        <v>0</v>
      </c>
      <c r="J35" s="26"/>
      <c r="K35" s="27">
        <v>30</v>
      </c>
      <c r="L35" s="27">
        <v>0</v>
      </c>
      <c r="M35" s="27">
        <v>11</v>
      </c>
      <c r="N35" s="27">
        <v>1</v>
      </c>
      <c r="O35" s="27">
        <f>SUM(L35:N35)</f>
        <v>12</v>
      </c>
      <c r="P35" s="83">
        <f t="shared" si="2"/>
        <v>5871</v>
      </c>
    </row>
    <row r="36" spans="1:17" s="38" customFormat="1" ht="17.25" customHeight="1" thickBot="1" x14ac:dyDescent="0.35">
      <c r="A36" s="82">
        <v>31</v>
      </c>
      <c r="B36" s="27"/>
      <c r="C36" s="27"/>
      <c r="D36" s="27"/>
      <c r="E36" s="27"/>
      <c r="F36" s="27"/>
      <c r="G36" s="27"/>
      <c r="H36" s="77">
        <f t="shared" si="1"/>
        <v>0</v>
      </c>
      <c r="I36" s="25">
        <v>0</v>
      </c>
      <c r="J36" s="26"/>
      <c r="K36" s="27">
        <v>31</v>
      </c>
      <c r="L36" s="27"/>
      <c r="M36" s="27"/>
      <c r="N36" s="27"/>
      <c r="O36" s="27">
        <f>SUM(L36:N36)</f>
        <v>0</v>
      </c>
      <c r="P36" s="83">
        <f t="shared" si="2"/>
        <v>5871</v>
      </c>
    </row>
    <row r="37" spans="1:17" s="51" customFormat="1" ht="18" customHeight="1" thickBot="1" x14ac:dyDescent="0.35">
      <c r="A37" s="49" t="s">
        <v>18</v>
      </c>
      <c r="B37" s="67">
        <f>SUM(B6:B36)</f>
        <v>79128</v>
      </c>
      <c r="C37" s="67">
        <f t="shared" ref="C37:H37" si="3">SUM(C6:C36)</f>
        <v>90</v>
      </c>
      <c r="D37" s="67">
        <f t="shared" si="3"/>
        <v>30388</v>
      </c>
      <c r="E37" s="67">
        <f t="shared" si="3"/>
        <v>8891</v>
      </c>
      <c r="F37" s="67">
        <f t="shared" si="3"/>
        <v>5949</v>
      </c>
      <c r="G37" s="67">
        <f t="shared" si="3"/>
        <v>7037</v>
      </c>
      <c r="H37" s="67">
        <f t="shared" si="3"/>
        <v>131483</v>
      </c>
      <c r="I37" s="67">
        <f>SUM(I6:I33)</f>
        <v>0</v>
      </c>
      <c r="J37" s="54"/>
      <c r="K37" s="49" t="s">
        <v>19</v>
      </c>
      <c r="L37" s="68">
        <f>SUM(L6:L36)</f>
        <v>16</v>
      </c>
      <c r="M37" s="68">
        <f>SUM(M6:M36)</f>
        <v>260</v>
      </c>
      <c r="N37" s="68">
        <f>SUM(N6:N36)</f>
        <v>50</v>
      </c>
      <c r="O37" s="68">
        <f>SUM(O6:O36)</f>
        <v>326</v>
      </c>
      <c r="P37" s="69"/>
      <c r="Q37" s="69"/>
    </row>
    <row r="38" spans="1:17" s="51" customFormat="1" ht="18" customHeight="1" thickBot="1" x14ac:dyDescent="0.35">
      <c r="A38" s="49" t="s">
        <v>19</v>
      </c>
      <c r="B38" s="110">
        <f>+B37+C37</f>
        <v>79218</v>
      </c>
      <c r="C38" s="111"/>
      <c r="D38" s="68">
        <f t="shared" ref="D38:I38" si="4">+D37</f>
        <v>30388</v>
      </c>
      <c r="E38" s="68">
        <f t="shared" si="4"/>
        <v>8891</v>
      </c>
      <c r="F38" s="68">
        <f t="shared" si="4"/>
        <v>5949</v>
      </c>
      <c r="G38" s="68">
        <f t="shared" si="4"/>
        <v>7037</v>
      </c>
      <c r="H38" s="68">
        <f t="shared" si="4"/>
        <v>131483</v>
      </c>
      <c r="I38" s="68">
        <f t="shared" si="4"/>
        <v>0</v>
      </c>
      <c r="J38" s="54"/>
      <c r="K38" s="49" t="s">
        <v>20</v>
      </c>
      <c r="L38" s="55" t="s">
        <v>21</v>
      </c>
      <c r="M38" s="55" t="s">
        <v>22</v>
      </c>
      <c r="N38" s="55" t="s">
        <v>21</v>
      </c>
      <c r="O38" s="55" t="s">
        <v>22</v>
      </c>
      <c r="P38" s="69"/>
      <c r="Q38" s="69"/>
    </row>
  </sheetData>
  <mergeCells count="12">
    <mergeCell ref="N4:N5"/>
    <mergeCell ref="O4:O5"/>
    <mergeCell ref="B38:C38"/>
    <mergeCell ref="A1:O1"/>
    <mergeCell ref="A2:O2"/>
    <mergeCell ref="A3:O3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3C40-2374-460B-8562-F37CCB198319}">
  <dimension ref="A1:Z38"/>
  <sheetViews>
    <sheetView workbookViewId="0">
      <selection activeCell="G12" sqref="G12"/>
    </sheetView>
  </sheetViews>
  <sheetFormatPr baseColWidth="10" defaultColWidth="11.44140625" defaultRowHeight="14.4" x14ac:dyDescent="0.3"/>
  <cols>
    <col min="1" max="1" width="13.5546875" customWidth="1"/>
    <col min="2" max="2" width="11.33203125" customWidth="1"/>
    <col min="3" max="3" width="8.5546875" customWidth="1"/>
    <col min="4" max="4" width="18.6640625" customWidth="1"/>
    <col min="5" max="5" width="13.6640625" customWidth="1"/>
    <col min="6" max="6" width="13.33203125" customWidth="1"/>
    <col min="7" max="7" width="13.109375" customWidth="1"/>
    <col min="8" max="8" width="17.109375" customWidth="1"/>
    <col min="9" max="9" width="14.44140625" bestFit="1" customWidth="1"/>
    <col min="10" max="10" width="3.88671875" customWidth="1"/>
    <col min="11" max="11" width="10.6640625" customWidth="1"/>
    <col min="12" max="12" width="14.88671875" customWidth="1"/>
    <col min="13" max="13" width="15.88671875" customWidth="1"/>
    <col min="14" max="14" width="10.109375" customWidth="1"/>
    <col min="15" max="15" width="9.88671875" customWidth="1"/>
  </cols>
  <sheetData>
    <row r="1" spans="1:19" ht="15.6" x14ac:dyDescent="0.3">
      <c r="A1" s="100" t="s">
        <v>23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19" ht="15.6" x14ac:dyDescent="0.3">
      <c r="A2" s="100" t="s">
        <v>25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</row>
    <row r="3" spans="1:19" ht="16.2" thickBot="1" x14ac:dyDescent="0.35">
      <c r="A3" s="101" t="s">
        <v>34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</row>
    <row r="4" spans="1:19" s="51" customFormat="1" ht="78" customHeight="1" thickBot="1" x14ac:dyDescent="0.35">
      <c r="A4" s="64" t="s">
        <v>0</v>
      </c>
      <c r="B4" s="112" t="s">
        <v>1</v>
      </c>
      <c r="C4" s="113"/>
      <c r="D4" s="65" t="s">
        <v>2</v>
      </c>
      <c r="E4" s="66" t="s">
        <v>3</v>
      </c>
      <c r="F4" s="66" t="s">
        <v>4</v>
      </c>
      <c r="G4" s="66" t="s">
        <v>5</v>
      </c>
      <c r="H4" s="114" t="s">
        <v>6</v>
      </c>
      <c r="I4" s="108" t="s">
        <v>7</v>
      </c>
      <c r="J4" s="39"/>
      <c r="K4" s="116" t="s">
        <v>0</v>
      </c>
      <c r="L4" s="108" t="s">
        <v>8</v>
      </c>
      <c r="M4" s="108" t="s">
        <v>9</v>
      </c>
      <c r="N4" s="108" t="s">
        <v>10</v>
      </c>
      <c r="O4" s="108" t="s">
        <v>11</v>
      </c>
    </row>
    <row r="5" spans="1:19" s="51" customFormat="1" ht="18" customHeight="1" thickBot="1" x14ac:dyDescent="0.35">
      <c r="B5" s="49" t="s">
        <v>12</v>
      </c>
      <c r="C5" s="49" t="s">
        <v>13</v>
      </c>
      <c r="D5" s="49" t="s">
        <v>14</v>
      </c>
      <c r="E5" s="49" t="s">
        <v>15</v>
      </c>
      <c r="F5" s="49" t="s">
        <v>16</v>
      </c>
      <c r="G5" s="49" t="s">
        <v>17</v>
      </c>
      <c r="H5" s="115"/>
      <c r="I5" s="109"/>
      <c r="J5" s="40"/>
      <c r="K5" s="117"/>
      <c r="L5" s="109"/>
      <c r="M5" s="109"/>
      <c r="N5" s="109"/>
      <c r="O5" s="109"/>
    </row>
    <row r="6" spans="1:19" ht="18" customHeight="1" thickBot="1" x14ac:dyDescent="0.35">
      <c r="A6" s="70">
        <v>1</v>
      </c>
      <c r="B6" s="71">
        <f>1567+19</f>
        <v>1586</v>
      </c>
      <c r="C6" s="71">
        <v>6</v>
      </c>
      <c r="D6" s="71">
        <v>1006</v>
      </c>
      <c r="E6" s="71">
        <v>375</v>
      </c>
      <c r="F6" s="71">
        <v>172</v>
      </c>
      <c r="G6" s="71">
        <v>225</v>
      </c>
      <c r="H6" s="72">
        <f>SUM(B6:G6)</f>
        <v>3370</v>
      </c>
      <c r="I6" s="73">
        <v>0</v>
      </c>
      <c r="J6" s="74"/>
      <c r="K6" s="75">
        <v>1</v>
      </c>
      <c r="L6" s="71">
        <v>0</v>
      </c>
      <c r="M6" s="71">
        <v>23</v>
      </c>
      <c r="N6" s="71">
        <v>4</v>
      </c>
      <c r="O6" s="71">
        <f>SUM(L6:N6)</f>
        <v>27</v>
      </c>
      <c r="P6" s="83">
        <v>5871</v>
      </c>
    </row>
    <row r="7" spans="1:19" ht="18" customHeight="1" thickBot="1" x14ac:dyDescent="0.35">
      <c r="A7" s="76">
        <v>2</v>
      </c>
      <c r="B7" s="71">
        <f>1896+31</f>
        <v>1927</v>
      </c>
      <c r="C7" s="71">
        <v>6</v>
      </c>
      <c r="D7" s="71">
        <v>1125</v>
      </c>
      <c r="E7" s="71">
        <f>328+67</f>
        <v>395</v>
      </c>
      <c r="F7" s="71">
        <v>206</v>
      </c>
      <c r="G7" s="71">
        <v>283</v>
      </c>
      <c r="H7" s="77">
        <f>SUM(B7:G7)</f>
        <v>3942</v>
      </c>
      <c r="I7" s="78">
        <v>0</v>
      </c>
      <c r="J7" s="74"/>
      <c r="K7" s="79">
        <v>2</v>
      </c>
      <c r="L7" s="27">
        <v>1</v>
      </c>
      <c r="M7" s="27">
        <v>14</v>
      </c>
      <c r="N7" s="27">
        <v>2</v>
      </c>
      <c r="O7" s="27">
        <f t="shared" ref="O7:O33" si="0">SUM(L7:N7)</f>
        <v>17</v>
      </c>
      <c r="P7" s="83">
        <f>+P6</f>
        <v>5871</v>
      </c>
    </row>
    <row r="8" spans="1:19" ht="18" customHeight="1" thickBot="1" x14ac:dyDescent="0.35">
      <c r="A8" s="76">
        <v>3</v>
      </c>
      <c r="B8" s="71">
        <f>1915+26</f>
        <v>1941</v>
      </c>
      <c r="C8" s="71">
        <v>12</v>
      </c>
      <c r="D8" s="71">
        <v>1061</v>
      </c>
      <c r="E8" s="71">
        <v>380</v>
      </c>
      <c r="F8" s="71">
        <v>153</v>
      </c>
      <c r="G8" s="71">
        <v>281</v>
      </c>
      <c r="H8" s="77">
        <f t="shared" ref="H8:H36" si="1">SUM(B8:G8)</f>
        <v>3828</v>
      </c>
      <c r="I8" s="78">
        <v>0</v>
      </c>
      <c r="J8" s="74"/>
      <c r="K8" s="79">
        <v>3</v>
      </c>
      <c r="L8" s="27">
        <v>0</v>
      </c>
      <c r="M8" s="27">
        <v>27</v>
      </c>
      <c r="N8" s="27">
        <v>1</v>
      </c>
      <c r="O8" s="27">
        <f t="shared" si="0"/>
        <v>28</v>
      </c>
      <c r="P8" s="83">
        <f t="shared" ref="P8:P36" si="2">+P7</f>
        <v>5871</v>
      </c>
      <c r="S8" s="37"/>
    </row>
    <row r="9" spans="1:19" ht="18" customHeight="1" thickBot="1" x14ac:dyDescent="0.35">
      <c r="A9" s="76">
        <v>4</v>
      </c>
      <c r="B9" s="71">
        <f>3107+21</f>
        <v>3128</v>
      </c>
      <c r="C9" s="71">
        <v>4</v>
      </c>
      <c r="D9" s="71">
        <v>1138</v>
      </c>
      <c r="E9" s="71">
        <v>370</v>
      </c>
      <c r="F9" s="71">
        <v>211</v>
      </c>
      <c r="G9" s="71">
        <v>258</v>
      </c>
      <c r="H9" s="77">
        <f t="shared" si="1"/>
        <v>5109</v>
      </c>
      <c r="I9" s="78">
        <v>0</v>
      </c>
      <c r="J9" s="74"/>
      <c r="K9" s="79">
        <v>4</v>
      </c>
      <c r="L9" s="27">
        <v>1</v>
      </c>
      <c r="M9" s="27">
        <v>16</v>
      </c>
      <c r="N9" s="27">
        <v>0</v>
      </c>
      <c r="O9" s="27">
        <f t="shared" si="0"/>
        <v>17</v>
      </c>
      <c r="P9" s="83">
        <f t="shared" si="2"/>
        <v>5871</v>
      </c>
    </row>
    <row r="10" spans="1:19" ht="18" customHeight="1" thickBot="1" x14ac:dyDescent="0.35">
      <c r="A10" s="76">
        <v>5</v>
      </c>
      <c r="B10" s="27">
        <f>4148+17</f>
        <v>4165</v>
      </c>
      <c r="C10" s="27">
        <v>0</v>
      </c>
      <c r="D10" s="27">
        <v>993</v>
      </c>
      <c r="E10" s="27">
        <v>307</v>
      </c>
      <c r="F10" s="27">
        <v>171</v>
      </c>
      <c r="G10" s="27">
        <v>214</v>
      </c>
      <c r="H10" s="77">
        <f t="shared" si="1"/>
        <v>5850</v>
      </c>
      <c r="I10" s="78">
        <v>0</v>
      </c>
      <c r="J10" s="74"/>
      <c r="K10" s="79">
        <v>5</v>
      </c>
      <c r="L10" s="27">
        <v>3</v>
      </c>
      <c r="M10" s="27">
        <v>10</v>
      </c>
      <c r="N10" s="27">
        <v>1</v>
      </c>
      <c r="O10" s="27">
        <f t="shared" si="0"/>
        <v>14</v>
      </c>
      <c r="P10" s="83">
        <f t="shared" si="2"/>
        <v>5871</v>
      </c>
    </row>
    <row r="11" spans="1:19" ht="18" customHeight="1" thickBot="1" x14ac:dyDescent="0.35">
      <c r="A11" s="76">
        <v>6</v>
      </c>
      <c r="B11" s="27">
        <f>4991+10</f>
        <v>5001</v>
      </c>
      <c r="C11" s="27">
        <v>0</v>
      </c>
      <c r="D11" s="27">
        <v>864</v>
      </c>
      <c r="E11" s="27">
        <v>94</v>
      </c>
      <c r="F11" s="27">
        <v>83</v>
      </c>
      <c r="G11" s="27">
        <v>159</v>
      </c>
      <c r="H11" s="77">
        <f t="shared" si="1"/>
        <v>6201</v>
      </c>
      <c r="I11" s="78">
        <v>0</v>
      </c>
      <c r="J11" s="74"/>
      <c r="K11" s="79">
        <v>6</v>
      </c>
      <c r="L11" s="27">
        <v>0</v>
      </c>
      <c r="M11" s="27">
        <v>6</v>
      </c>
      <c r="N11" s="27">
        <v>1</v>
      </c>
      <c r="O11" s="27">
        <f t="shared" si="0"/>
        <v>7</v>
      </c>
      <c r="P11" s="83">
        <f t="shared" si="2"/>
        <v>5871</v>
      </c>
    </row>
    <row r="12" spans="1:19" ht="18" customHeight="1" thickBot="1" x14ac:dyDescent="0.35">
      <c r="A12" s="76">
        <v>7</v>
      </c>
      <c r="B12" s="27">
        <f>2596+13</f>
        <v>2609</v>
      </c>
      <c r="C12" s="27">
        <v>3</v>
      </c>
      <c r="D12" s="27">
        <v>1112</v>
      </c>
      <c r="E12" s="27">
        <v>395</v>
      </c>
      <c r="F12" s="27">
        <v>201</v>
      </c>
      <c r="G12" s="27">
        <v>281</v>
      </c>
      <c r="H12" s="77">
        <f t="shared" si="1"/>
        <v>4601</v>
      </c>
      <c r="I12" s="27">
        <v>0</v>
      </c>
      <c r="J12" s="80"/>
      <c r="K12" s="27">
        <v>7</v>
      </c>
      <c r="L12" s="27">
        <v>0</v>
      </c>
      <c r="M12" s="27">
        <v>8</v>
      </c>
      <c r="N12" s="27">
        <v>3</v>
      </c>
      <c r="O12" s="27">
        <f t="shared" si="0"/>
        <v>11</v>
      </c>
      <c r="P12" s="83">
        <f t="shared" si="2"/>
        <v>5871</v>
      </c>
    </row>
    <row r="13" spans="1:19" ht="18" customHeight="1" thickBot="1" x14ac:dyDescent="0.35">
      <c r="A13" s="76">
        <v>8</v>
      </c>
      <c r="B13" s="27">
        <v>2557</v>
      </c>
      <c r="C13" s="27">
        <v>0</v>
      </c>
      <c r="D13" s="27">
        <v>1143</v>
      </c>
      <c r="E13" s="27">
        <v>393</v>
      </c>
      <c r="F13" s="27">
        <v>187</v>
      </c>
      <c r="G13" s="27">
        <v>263</v>
      </c>
      <c r="H13" s="77">
        <f t="shared" si="1"/>
        <v>4543</v>
      </c>
      <c r="I13" s="27">
        <v>0</v>
      </c>
      <c r="J13" s="80"/>
      <c r="K13" s="27">
        <v>8</v>
      </c>
      <c r="L13" s="27">
        <v>1</v>
      </c>
      <c r="M13" s="27">
        <v>8</v>
      </c>
      <c r="N13" s="27">
        <v>0</v>
      </c>
      <c r="O13" s="27">
        <f t="shared" si="0"/>
        <v>9</v>
      </c>
      <c r="P13" s="83">
        <f t="shared" si="2"/>
        <v>5871</v>
      </c>
    </row>
    <row r="14" spans="1:19" s="51" customFormat="1" ht="18" customHeight="1" thickBot="1" x14ac:dyDescent="0.35">
      <c r="A14" s="76">
        <v>9</v>
      </c>
      <c r="B14" s="27">
        <v>3105</v>
      </c>
      <c r="C14" s="27">
        <v>3</v>
      </c>
      <c r="D14" s="27">
        <v>1202</v>
      </c>
      <c r="E14" s="27">
        <v>421</v>
      </c>
      <c r="F14" s="27">
        <v>215</v>
      </c>
      <c r="G14" s="27">
        <v>272</v>
      </c>
      <c r="H14" s="77">
        <f t="shared" si="1"/>
        <v>5218</v>
      </c>
      <c r="I14" s="27">
        <v>0</v>
      </c>
      <c r="J14" s="80"/>
      <c r="K14" s="27">
        <v>9</v>
      </c>
      <c r="L14" s="27">
        <v>0</v>
      </c>
      <c r="M14" s="27">
        <v>14</v>
      </c>
      <c r="N14" s="27">
        <v>2</v>
      </c>
      <c r="O14" s="27">
        <f t="shared" si="0"/>
        <v>16</v>
      </c>
      <c r="P14" s="84">
        <f t="shared" si="2"/>
        <v>5871</v>
      </c>
    </row>
    <row r="15" spans="1:19" ht="18" customHeight="1" thickBot="1" x14ac:dyDescent="0.35">
      <c r="A15" s="76">
        <v>10</v>
      </c>
      <c r="B15" s="27">
        <f>3809+24</f>
        <v>3833</v>
      </c>
      <c r="C15" s="27">
        <v>1</v>
      </c>
      <c r="D15" s="27">
        <v>1268</v>
      </c>
      <c r="E15" s="27">
        <v>321</v>
      </c>
      <c r="F15" s="27">
        <v>236</v>
      </c>
      <c r="G15" s="27">
        <v>298</v>
      </c>
      <c r="H15" s="77">
        <f t="shared" si="1"/>
        <v>5957</v>
      </c>
      <c r="I15" s="27">
        <v>0</v>
      </c>
      <c r="J15" s="80"/>
      <c r="K15" s="27">
        <v>10</v>
      </c>
      <c r="L15" s="27">
        <v>1</v>
      </c>
      <c r="M15" s="27">
        <v>6</v>
      </c>
      <c r="N15" s="27">
        <v>3</v>
      </c>
      <c r="O15" s="27">
        <f t="shared" si="0"/>
        <v>10</v>
      </c>
      <c r="P15" s="83">
        <f t="shared" si="2"/>
        <v>5871</v>
      </c>
    </row>
    <row r="16" spans="1:19" ht="18" customHeight="1" thickBot="1" x14ac:dyDescent="0.35">
      <c r="A16" s="76">
        <v>11</v>
      </c>
      <c r="B16" s="27">
        <f>6084+16</f>
        <v>6100</v>
      </c>
      <c r="C16" s="27">
        <v>4</v>
      </c>
      <c r="D16" s="27">
        <v>1200</v>
      </c>
      <c r="E16" s="27">
        <v>223</v>
      </c>
      <c r="F16" s="27">
        <v>215</v>
      </c>
      <c r="G16" s="27">
        <v>253</v>
      </c>
      <c r="H16" s="77">
        <f t="shared" si="1"/>
        <v>7995</v>
      </c>
      <c r="I16" s="27">
        <v>0</v>
      </c>
      <c r="J16" s="80"/>
      <c r="K16" s="27">
        <v>11</v>
      </c>
      <c r="L16" s="27">
        <v>0</v>
      </c>
      <c r="M16" s="27">
        <v>16</v>
      </c>
      <c r="N16" s="27">
        <v>1</v>
      </c>
      <c r="O16" s="27">
        <f t="shared" si="0"/>
        <v>17</v>
      </c>
      <c r="P16" s="83">
        <f t="shared" si="2"/>
        <v>5871</v>
      </c>
      <c r="Q16" s="38"/>
    </row>
    <row r="17" spans="1:26" ht="18" customHeight="1" thickBot="1" x14ac:dyDescent="0.35">
      <c r="A17" s="76">
        <v>12</v>
      </c>
      <c r="B17" s="27">
        <f>7380+12</f>
        <v>7392</v>
      </c>
      <c r="C17" s="27">
        <v>0</v>
      </c>
      <c r="D17" s="27">
        <v>898</v>
      </c>
      <c r="E17" s="27">
        <v>69</v>
      </c>
      <c r="F17" s="27">
        <v>137</v>
      </c>
      <c r="G17" s="27">
        <v>128</v>
      </c>
      <c r="H17" s="77">
        <f t="shared" si="1"/>
        <v>8624</v>
      </c>
      <c r="I17" s="27">
        <v>0</v>
      </c>
      <c r="J17" s="80"/>
      <c r="K17" s="27">
        <v>12</v>
      </c>
      <c r="L17" s="27">
        <v>0</v>
      </c>
      <c r="M17" s="27">
        <v>4</v>
      </c>
      <c r="N17" s="27">
        <v>1</v>
      </c>
      <c r="O17" s="27">
        <f t="shared" si="0"/>
        <v>5</v>
      </c>
      <c r="P17" s="83">
        <f t="shared" si="2"/>
        <v>5871</v>
      </c>
    </row>
    <row r="18" spans="1:26" ht="18" customHeight="1" thickBot="1" x14ac:dyDescent="0.35">
      <c r="A18" s="76">
        <v>13</v>
      </c>
      <c r="B18" s="27">
        <f>7763+22</f>
        <v>7785</v>
      </c>
      <c r="C18" s="27">
        <v>14</v>
      </c>
      <c r="D18" s="27">
        <v>913</v>
      </c>
      <c r="E18" s="27">
        <v>123</v>
      </c>
      <c r="F18" s="27">
        <v>171</v>
      </c>
      <c r="G18" s="27">
        <v>166</v>
      </c>
      <c r="H18" s="77">
        <f t="shared" si="1"/>
        <v>9172</v>
      </c>
      <c r="I18" s="27">
        <v>0</v>
      </c>
      <c r="J18" s="80"/>
      <c r="K18" s="27">
        <v>13</v>
      </c>
      <c r="L18" s="27">
        <v>1</v>
      </c>
      <c r="M18" s="27">
        <v>2</v>
      </c>
      <c r="N18" s="27">
        <v>1</v>
      </c>
      <c r="O18" s="27">
        <f t="shared" si="0"/>
        <v>4</v>
      </c>
      <c r="P18" s="83">
        <f t="shared" si="2"/>
        <v>5871</v>
      </c>
    </row>
    <row r="19" spans="1:26" ht="18" customHeight="1" thickBot="1" x14ac:dyDescent="0.35">
      <c r="A19" s="76">
        <v>14</v>
      </c>
      <c r="B19" s="27">
        <f>12142+17</f>
        <v>12159</v>
      </c>
      <c r="C19" s="27">
        <v>2</v>
      </c>
      <c r="D19" s="27">
        <v>808</v>
      </c>
      <c r="E19" s="27">
        <v>75</v>
      </c>
      <c r="F19" s="27">
        <v>104</v>
      </c>
      <c r="G19" s="27">
        <v>91</v>
      </c>
      <c r="H19" s="77">
        <f t="shared" si="1"/>
        <v>13239</v>
      </c>
      <c r="I19" s="27">
        <v>0</v>
      </c>
      <c r="J19" s="80"/>
      <c r="K19" s="27">
        <v>14</v>
      </c>
      <c r="L19" s="27">
        <v>0</v>
      </c>
      <c r="M19" s="27">
        <v>0</v>
      </c>
      <c r="N19" s="27">
        <v>0</v>
      </c>
      <c r="O19" s="27">
        <f t="shared" si="0"/>
        <v>0</v>
      </c>
      <c r="P19" s="83">
        <f t="shared" si="2"/>
        <v>5871</v>
      </c>
    </row>
    <row r="20" spans="1:26" ht="18" customHeight="1" thickBot="1" x14ac:dyDescent="0.35">
      <c r="A20" s="76">
        <v>15</v>
      </c>
      <c r="B20" s="27">
        <f>2356+24</f>
        <v>2380</v>
      </c>
      <c r="C20" s="27">
        <v>4</v>
      </c>
      <c r="D20" s="27">
        <v>1013</v>
      </c>
      <c r="E20" s="27">
        <f>248+76</f>
        <v>324</v>
      </c>
      <c r="F20" s="27">
        <v>230</v>
      </c>
      <c r="G20" s="27">
        <v>324</v>
      </c>
      <c r="H20" s="77">
        <f t="shared" si="1"/>
        <v>4275</v>
      </c>
      <c r="I20" s="27">
        <v>0</v>
      </c>
      <c r="J20" s="80"/>
      <c r="K20" s="27">
        <v>15</v>
      </c>
      <c r="L20" s="27">
        <v>1</v>
      </c>
      <c r="M20" s="27">
        <v>10</v>
      </c>
      <c r="N20" s="27">
        <v>3</v>
      </c>
      <c r="O20" s="27">
        <f t="shared" si="0"/>
        <v>14</v>
      </c>
      <c r="P20" s="83">
        <f t="shared" si="2"/>
        <v>5871</v>
      </c>
    </row>
    <row r="21" spans="1:26" ht="18" customHeight="1" thickBot="1" x14ac:dyDescent="0.35">
      <c r="A21" s="76">
        <v>16</v>
      </c>
      <c r="B21" s="27">
        <f>1865+21</f>
        <v>1886</v>
      </c>
      <c r="C21" s="27">
        <v>4</v>
      </c>
      <c r="D21" s="27">
        <v>1139</v>
      </c>
      <c r="E21" s="27">
        <v>363</v>
      </c>
      <c r="F21" s="27">
        <v>240</v>
      </c>
      <c r="G21" s="27">
        <v>245</v>
      </c>
      <c r="H21" s="77">
        <f t="shared" si="1"/>
        <v>3877</v>
      </c>
      <c r="I21" s="27">
        <v>0</v>
      </c>
      <c r="J21" s="80"/>
      <c r="K21" s="27">
        <v>16</v>
      </c>
      <c r="L21" s="27">
        <v>1</v>
      </c>
      <c r="M21" s="27">
        <v>17</v>
      </c>
      <c r="N21" s="27">
        <v>2</v>
      </c>
      <c r="O21" s="27">
        <f t="shared" si="0"/>
        <v>20</v>
      </c>
      <c r="P21" s="83">
        <f>+P20</f>
        <v>5871</v>
      </c>
    </row>
    <row r="22" spans="1:26" ht="18" customHeight="1" thickBot="1" x14ac:dyDescent="0.35">
      <c r="A22" s="76">
        <v>17</v>
      </c>
      <c r="B22" s="27">
        <f>2065+20</f>
        <v>2085</v>
      </c>
      <c r="C22" s="27">
        <v>2</v>
      </c>
      <c r="D22" s="27">
        <v>1201</v>
      </c>
      <c r="E22" s="27">
        <v>492</v>
      </c>
      <c r="F22" s="27">
        <v>207</v>
      </c>
      <c r="G22" s="27">
        <v>296</v>
      </c>
      <c r="H22" s="77">
        <f>SUM(B22:G22)</f>
        <v>4283</v>
      </c>
      <c r="I22" s="27">
        <v>0</v>
      </c>
      <c r="J22" s="80"/>
      <c r="K22" s="27">
        <v>17</v>
      </c>
      <c r="L22" s="27">
        <v>1</v>
      </c>
      <c r="M22" s="27">
        <v>13</v>
      </c>
      <c r="N22" s="27">
        <v>3</v>
      </c>
      <c r="O22" s="27">
        <f t="shared" si="0"/>
        <v>17</v>
      </c>
      <c r="P22" s="83">
        <f t="shared" si="2"/>
        <v>5871</v>
      </c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spans="1:26" ht="18" customHeight="1" thickBot="1" x14ac:dyDescent="0.35">
      <c r="A23" s="76">
        <v>18</v>
      </c>
      <c r="B23" s="27">
        <f>2608+24</f>
        <v>2632</v>
      </c>
      <c r="C23" s="27">
        <v>6</v>
      </c>
      <c r="D23" s="27">
        <v>1159</v>
      </c>
      <c r="E23" s="27">
        <v>534</v>
      </c>
      <c r="F23" s="27">
        <v>225</v>
      </c>
      <c r="G23" s="27">
        <v>270</v>
      </c>
      <c r="H23" s="77">
        <f t="shared" si="1"/>
        <v>4826</v>
      </c>
      <c r="I23" s="27">
        <v>0</v>
      </c>
      <c r="J23" s="80"/>
      <c r="K23" s="27">
        <v>18</v>
      </c>
      <c r="L23" s="27">
        <v>1</v>
      </c>
      <c r="M23" s="27">
        <v>11</v>
      </c>
      <c r="N23" s="27"/>
      <c r="O23" s="27">
        <f t="shared" si="0"/>
        <v>12</v>
      </c>
      <c r="P23" s="83">
        <f t="shared" si="2"/>
        <v>5871</v>
      </c>
    </row>
    <row r="24" spans="1:26" s="38" customFormat="1" ht="18" customHeight="1" thickBot="1" x14ac:dyDescent="0.35">
      <c r="A24" s="76">
        <v>19</v>
      </c>
      <c r="B24" s="27">
        <f>2776+16</f>
        <v>2792</v>
      </c>
      <c r="C24" s="27">
        <v>5</v>
      </c>
      <c r="D24" s="27">
        <v>1001</v>
      </c>
      <c r="E24" s="27">
        <v>274</v>
      </c>
      <c r="F24" s="27">
        <v>208</v>
      </c>
      <c r="G24" s="27">
        <v>243</v>
      </c>
      <c r="H24" s="77">
        <f t="shared" si="1"/>
        <v>4523</v>
      </c>
      <c r="I24" s="27">
        <v>0</v>
      </c>
      <c r="J24" s="80"/>
      <c r="K24" s="27">
        <v>19</v>
      </c>
      <c r="L24" s="27">
        <v>0</v>
      </c>
      <c r="M24" s="27">
        <v>4</v>
      </c>
      <c r="N24" s="27">
        <v>1</v>
      </c>
      <c r="O24" s="27">
        <f t="shared" si="0"/>
        <v>5</v>
      </c>
      <c r="P24" s="83">
        <f t="shared" si="2"/>
        <v>5871</v>
      </c>
    </row>
    <row r="25" spans="1:26" ht="18" customHeight="1" thickBot="1" x14ac:dyDescent="0.35">
      <c r="A25" s="76">
        <v>20</v>
      </c>
      <c r="B25" s="27">
        <f>3754+6</f>
        <v>3760</v>
      </c>
      <c r="C25" s="27">
        <v>5</v>
      </c>
      <c r="D25" s="27">
        <v>781</v>
      </c>
      <c r="E25" s="27">
        <v>143</v>
      </c>
      <c r="F25" s="27">
        <v>150</v>
      </c>
      <c r="G25" s="27">
        <v>151</v>
      </c>
      <c r="H25" s="77">
        <f t="shared" si="1"/>
        <v>4990</v>
      </c>
      <c r="I25" s="27">
        <v>0</v>
      </c>
      <c r="J25" s="80"/>
      <c r="K25" s="27">
        <v>20</v>
      </c>
      <c r="L25" s="27">
        <v>0</v>
      </c>
      <c r="M25" s="27">
        <v>3</v>
      </c>
      <c r="N25" s="27">
        <v>1</v>
      </c>
      <c r="O25" s="27">
        <f t="shared" si="0"/>
        <v>4</v>
      </c>
      <c r="P25" s="83">
        <f t="shared" si="2"/>
        <v>5871</v>
      </c>
    </row>
    <row r="26" spans="1:26" ht="18" customHeight="1" thickBot="1" x14ac:dyDescent="0.35">
      <c r="A26" s="76">
        <v>21</v>
      </c>
      <c r="B26" s="27">
        <f>1865+19</f>
        <v>1884</v>
      </c>
      <c r="C26" s="27">
        <v>0</v>
      </c>
      <c r="D26" s="27">
        <v>1033</v>
      </c>
      <c r="E26" s="27">
        <v>357</v>
      </c>
      <c r="F26" s="27">
        <v>194</v>
      </c>
      <c r="G26" s="27">
        <v>263</v>
      </c>
      <c r="H26" s="77">
        <f t="shared" si="1"/>
        <v>3731</v>
      </c>
      <c r="I26" s="27">
        <v>0</v>
      </c>
      <c r="J26" s="80"/>
      <c r="K26" s="27">
        <v>21</v>
      </c>
      <c r="L26" s="27">
        <v>1</v>
      </c>
      <c r="M26" s="27">
        <v>4</v>
      </c>
      <c r="N26" s="27">
        <v>4</v>
      </c>
      <c r="O26" s="27">
        <f t="shared" si="0"/>
        <v>9</v>
      </c>
      <c r="P26" s="83">
        <f t="shared" si="2"/>
        <v>5871</v>
      </c>
    </row>
    <row r="27" spans="1:26" ht="18" customHeight="1" thickBot="1" x14ac:dyDescent="0.35">
      <c r="A27" s="76">
        <v>22</v>
      </c>
      <c r="B27" s="27">
        <f>1788+28</f>
        <v>1816</v>
      </c>
      <c r="C27" s="27">
        <v>2</v>
      </c>
      <c r="D27" s="27">
        <v>1140</v>
      </c>
      <c r="E27" s="27">
        <v>365</v>
      </c>
      <c r="F27" s="27">
        <v>238</v>
      </c>
      <c r="G27" s="27">
        <v>261</v>
      </c>
      <c r="H27" s="77">
        <f t="shared" si="1"/>
        <v>3822</v>
      </c>
      <c r="I27" s="27">
        <v>0</v>
      </c>
      <c r="J27" s="80"/>
      <c r="K27" s="27">
        <v>22</v>
      </c>
      <c r="L27" s="27">
        <v>2</v>
      </c>
      <c r="M27" s="27">
        <v>16</v>
      </c>
      <c r="N27" s="27">
        <v>3</v>
      </c>
      <c r="O27" s="27">
        <f t="shared" si="0"/>
        <v>21</v>
      </c>
      <c r="P27" s="83">
        <f t="shared" si="2"/>
        <v>5871</v>
      </c>
    </row>
    <row r="28" spans="1:26" ht="18" customHeight="1" thickBot="1" x14ac:dyDescent="0.35">
      <c r="A28" s="76">
        <v>23</v>
      </c>
      <c r="B28" s="27">
        <f>1727+25</f>
        <v>1752</v>
      </c>
      <c r="C28" s="27">
        <v>0</v>
      </c>
      <c r="D28" s="27">
        <v>1157</v>
      </c>
      <c r="E28" s="27">
        <v>240</v>
      </c>
      <c r="F28" s="27">
        <v>211</v>
      </c>
      <c r="G28" s="27">
        <v>315</v>
      </c>
      <c r="H28" s="77">
        <f t="shared" si="1"/>
        <v>3675</v>
      </c>
      <c r="I28" s="27">
        <v>0</v>
      </c>
      <c r="J28" s="80"/>
      <c r="K28" s="27">
        <v>23</v>
      </c>
      <c r="L28" s="27">
        <v>1</v>
      </c>
      <c r="M28" s="27">
        <v>6</v>
      </c>
      <c r="N28" s="27">
        <v>3</v>
      </c>
      <c r="O28" s="27">
        <f t="shared" si="0"/>
        <v>10</v>
      </c>
      <c r="P28" s="83">
        <f t="shared" si="2"/>
        <v>5871</v>
      </c>
    </row>
    <row r="29" spans="1:26" ht="18" customHeight="1" thickBot="1" x14ac:dyDescent="0.35">
      <c r="A29" s="76">
        <v>24</v>
      </c>
      <c r="B29" s="27">
        <f>2038</f>
        <v>2038</v>
      </c>
      <c r="C29" s="27">
        <v>0</v>
      </c>
      <c r="D29" s="27">
        <v>1271</v>
      </c>
      <c r="E29" s="27">
        <v>282</v>
      </c>
      <c r="F29" s="27">
        <v>254</v>
      </c>
      <c r="G29" s="27">
        <v>356</v>
      </c>
      <c r="H29" s="77">
        <f t="shared" si="1"/>
        <v>4201</v>
      </c>
      <c r="I29" s="27">
        <v>0</v>
      </c>
      <c r="J29" s="80"/>
      <c r="K29" s="27">
        <v>24</v>
      </c>
      <c r="L29" s="27">
        <v>0</v>
      </c>
      <c r="M29" s="27">
        <v>19</v>
      </c>
      <c r="N29" s="27">
        <v>0</v>
      </c>
      <c r="O29" s="27">
        <f t="shared" si="0"/>
        <v>19</v>
      </c>
      <c r="P29" s="83">
        <f t="shared" si="2"/>
        <v>5871</v>
      </c>
    </row>
    <row r="30" spans="1:26" s="38" customFormat="1" ht="18" customHeight="1" thickBot="1" x14ac:dyDescent="0.35">
      <c r="A30" s="76">
        <v>25</v>
      </c>
      <c r="B30" s="27">
        <f>2551+19</f>
        <v>2570</v>
      </c>
      <c r="C30" s="27">
        <v>5</v>
      </c>
      <c r="D30" s="27">
        <v>1202</v>
      </c>
      <c r="E30" s="27">
        <v>262</v>
      </c>
      <c r="F30" s="27">
        <v>245</v>
      </c>
      <c r="G30" s="27">
        <v>318</v>
      </c>
      <c r="H30" s="77">
        <f t="shared" si="1"/>
        <v>4602</v>
      </c>
      <c r="I30" s="27">
        <v>0</v>
      </c>
      <c r="J30" s="80"/>
      <c r="K30" s="27">
        <v>25</v>
      </c>
      <c r="L30" s="27">
        <v>1</v>
      </c>
      <c r="M30" s="27">
        <v>10</v>
      </c>
      <c r="N30" s="27">
        <v>3</v>
      </c>
      <c r="O30" s="27">
        <f t="shared" si="0"/>
        <v>14</v>
      </c>
      <c r="P30" s="83">
        <f t="shared" si="2"/>
        <v>5871</v>
      </c>
    </row>
    <row r="31" spans="1:26" ht="18" customHeight="1" thickBot="1" x14ac:dyDescent="0.35">
      <c r="A31" s="76">
        <v>26</v>
      </c>
      <c r="B31" s="27">
        <f>2878+13</f>
        <v>2891</v>
      </c>
      <c r="C31" s="27">
        <v>5</v>
      </c>
      <c r="D31" s="27">
        <v>1027</v>
      </c>
      <c r="E31" s="27">
        <v>198</v>
      </c>
      <c r="F31" s="27">
        <v>225</v>
      </c>
      <c r="G31" s="27">
        <v>243</v>
      </c>
      <c r="H31" s="77">
        <f t="shared" si="1"/>
        <v>4589</v>
      </c>
      <c r="I31" s="27">
        <v>0</v>
      </c>
      <c r="J31" s="80"/>
      <c r="K31" s="27">
        <v>26</v>
      </c>
      <c r="L31" s="27">
        <v>1</v>
      </c>
      <c r="M31" s="27">
        <v>4</v>
      </c>
      <c r="N31" s="27">
        <v>1</v>
      </c>
      <c r="O31" s="27">
        <f t="shared" si="0"/>
        <v>6</v>
      </c>
      <c r="P31" s="83">
        <f t="shared" si="2"/>
        <v>5871</v>
      </c>
    </row>
    <row r="32" spans="1:26" ht="18" customHeight="1" thickBot="1" x14ac:dyDescent="0.35">
      <c r="A32" s="76">
        <v>27</v>
      </c>
      <c r="B32" s="27">
        <f>3762+20</f>
        <v>3782</v>
      </c>
      <c r="C32" s="27">
        <v>3</v>
      </c>
      <c r="D32" s="27">
        <v>811</v>
      </c>
      <c r="E32" s="27">
        <v>103</v>
      </c>
      <c r="F32" s="27">
        <v>99</v>
      </c>
      <c r="G32" s="27">
        <v>190</v>
      </c>
      <c r="H32" s="77">
        <f t="shared" si="1"/>
        <v>4988</v>
      </c>
      <c r="I32" s="27">
        <v>0</v>
      </c>
      <c r="J32" s="80"/>
      <c r="K32" s="27">
        <v>27</v>
      </c>
      <c r="L32" s="27">
        <v>0</v>
      </c>
      <c r="M32" s="27">
        <v>4</v>
      </c>
      <c r="N32" s="27">
        <v>1</v>
      </c>
      <c r="O32" s="27">
        <f t="shared" si="0"/>
        <v>5</v>
      </c>
      <c r="P32" s="83">
        <f t="shared" si="2"/>
        <v>5871</v>
      </c>
    </row>
    <row r="33" spans="1:17" ht="15.75" customHeight="1" thickBot="1" x14ac:dyDescent="0.35">
      <c r="A33" s="76">
        <v>28</v>
      </c>
      <c r="B33" s="27">
        <v>1722</v>
      </c>
      <c r="C33" s="27">
        <v>9</v>
      </c>
      <c r="D33" s="27">
        <v>975</v>
      </c>
      <c r="E33" s="27">
        <v>245</v>
      </c>
      <c r="F33" s="27">
        <v>207</v>
      </c>
      <c r="G33" s="27">
        <v>313</v>
      </c>
      <c r="H33" s="77">
        <f t="shared" si="1"/>
        <v>3471</v>
      </c>
      <c r="I33" s="27">
        <v>0</v>
      </c>
      <c r="J33" s="80"/>
      <c r="K33" s="27">
        <v>28</v>
      </c>
      <c r="L33" s="27">
        <v>0</v>
      </c>
      <c r="M33" s="27">
        <v>20</v>
      </c>
      <c r="N33" s="27">
        <v>1</v>
      </c>
      <c r="O33" s="27">
        <f t="shared" si="0"/>
        <v>21</v>
      </c>
      <c r="P33" s="83">
        <f t="shared" si="2"/>
        <v>5871</v>
      </c>
    </row>
    <row r="34" spans="1:17" s="38" customFormat="1" ht="17.25" customHeight="1" thickBot="1" x14ac:dyDescent="0.35">
      <c r="A34" s="82">
        <v>29</v>
      </c>
      <c r="B34" s="27">
        <v>1866</v>
      </c>
      <c r="C34" s="27">
        <v>0</v>
      </c>
      <c r="D34" s="27">
        <v>1170</v>
      </c>
      <c r="E34" s="27">
        <v>399</v>
      </c>
      <c r="F34" s="27">
        <v>248</v>
      </c>
      <c r="G34" s="27">
        <v>254</v>
      </c>
      <c r="H34" s="77">
        <f t="shared" si="1"/>
        <v>3937</v>
      </c>
      <c r="I34" s="25">
        <v>0</v>
      </c>
      <c r="J34" s="26"/>
      <c r="K34" s="27">
        <v>29</v>
      </c>
      <c r="L34" s="27">
        <v>1</v>
      </c>
      <c r="M34" s="27">
        <v>9</v>
      </c>
      <c r="N34" s="27">
        <v>6</v>
      </c>
      <c r="O34" s="27">
        <f>SUM(L34:N34)</f>
        <v>16</v>
      </c>
      <c r="P34" s="83">
        <f t="shared" si="2"/>
        <v>5871</v>
      </c>
    </row>
    <row r="35" spans="1:17" s="38" customFormat="1" ht="17.25" customHeight="1" thickBot="1" x14ac:dyDescent="0.35">
      <c r="A35" s="82">
        <v>30</v>
      </c>
      <c r="B35" s="27">
        <v>1840</v>
      </c>
      <c r="C35" s="27">
        <v>2</v>
      </c>
      <c r="D35" s="27">
        <v>1169</v>
      </c>
      <c r="E35" s="27">
        <v>397</v>
      </c>
      <c r="F35" s="27">
        <v>219</v>
      </c>
      <c r="G35" s="27">
        <v>306</v>
      </c>
      <c r="H35" s="77">
        <f t="shared" si="1"/>
        <v>3933</v>
      </c>
      <c r="I35" s="25">
        <v>0</v>
      </c>
      <c r="J35" s="26"/>
      <c r="K35" s="27">
        <v>30</v>
      </c>
      <c r="L35" s="27">
        <v>0</v>
      </c>
      <c r="M35" s="27">
        <v>10</v>
      </c>
      <c r="N35" s="27">
        <v>1</v>
      </c>
      <c r="O35" s="27">
        <f>SUM(L35:N35)</f>
        <v>11</v>
      </c>
      <c r="P35" s="83">
        <f t="shared" si="2"/>
        <v>5871</v>
      </c>
    </row>
    <row r="36" spans="1:17" s="38" customFormat="1" ht="17.25" customHeight="1" thickBot="1" x14ac:dyDescent="0.35">
      <c r="A36" s="82">
        <v>31</v>
      </c>
      <c r="B36" s="27">
        <v>1875</v>
      </c>
      <c r="C36" s="27">
        <v>2</v>
      </c>
      <c r="D36" s="27">
        <v>1110</v>
      </c>
      <c r="E36" s="27">
        <v>418</v>
      </c>
      <c r="F36" s="27">
        <v>204</v>
      </c>
      <c r="G36" s="27">
        <v>297</v>
      </c>
      <c r="H36" s="77">
        <f t="shared" si="1"/>
        <v>3906</v>
      </c>
      <c r="I36" s="25">
        <v>0</v>
      </c>
      <c r="J36" s="26"/>
      <c r="K36" s="27">
        <v>31</v>
      </c>
      <c r="L36" s="27">
        <v>4</v>
      </c>
      <c r="M36" s="27">
        <v>10</v>
      </c>
      <c r="N36" s="27">
        <v>1</v>
      </c>
      <c r="O36" s="27">
        <f>SUM(L36:N36)</f>
        <v>15</v>
      </c>
      <c r="P36" s="83">
        <f t="shared" si="2"/>
        <v>5871</v>
      </c>
    </row>
    <row r="37" spans="1:17" s="51" customFormat="1" ht="18" customHeight="1" thickBot="1" x14ac:dyDescent="0.35">
      <c r="A37" s="49" t="s">
        <v>18</v>
      </c>
      <c r="B37" s="67">
        <f>SUM(B6:B36)</f>
        <v>102859</v>
      </c>
      <c r="C37" s="67">
        <f t="shared" ref="C37:H37" si="3">SUM(C6:C36)</f>
        <v>109</v>
      </c>
      <c r="D37" s="67">
        <f t="shared" si="3"/>
        <v>33090</v>
      </c>
      <c r="E37" s="67">
        <f t="shared" si="3"/>
        <v>9337</v>
      </c>
      <c r="F37" s="67">
        <f t="shared" si="3"/>
        <v>6066</v>
      </c>
      <c r="G37" s="67">
        <f t="shared" si="3"/>
        <v>7817</v>
      </c>
      <c r="H37" s="67">
        <f t="shared" si="3"/>
        <v>159278</v>
      </c>
      <c r="I37" s="67">
        <f>SUM(I6:I33)</f>
        <v>0</v>
      </c>
      <c r="J37" s="54"/>
      <c r="K37" s="49" t="s">
        <v>19</v>
      </c>
      <c r="L37" s="68">
        <f>SUM(L6:L36)</f>
        <v>23</v>
      </c>
      <c r="M37" s="68">
        <f>SUM(M6:M36)</f>
        <v>324</v>
      </c>
      <c r="N37" s="68">
        <f>SUM(N6:N36)</f>
        <v>54</v>
      </c>
      <c r="O37" s="68">
        <f>SUM(O6:O36)</f>
        <v>401</v>
      </c>
      <c r="P37" s="69"/>
      <c r="Q37" s="69"/>
    </row>
    <row r="38" spans="1:17" s="51" customFormat="1" ht="18" customHeight="1" thickBot="1" x14ac:dyDescent="0.35">
      <c r="A38" s="49" t="s">
        <v>19</v>
      </c>
      <c r="B38" s="110">
        <f>+B37+C37</f>
        <v>102968</v>
      </c>
      <c r="C38" s="111"/>
      <c r="D38" s="68">
        <f t="shared" ref="D38:I38" si="4">+D37</f>
        <v>33090</v>
      </c>
      <c r="E38" s="68">
        <f t="shared" si="4"/>
        <v>9337</v>
      </c>
      <c r="F38" s="68">
        <f t="shared" si="4"/>
        <v>6066</v>
      </c>
      <c r="G38" s="68">
        <f t="shared" si="4"/>
        <v>7817</v>
      </c>
      <c r="H38" s="68">
        <f t="shared" si="4"/>
        <v>159278</v>
      </c>
      <c r="I38" s="68">
        <f t="shared" si="4"/>
        <v>0</v>
      </c>
      <c r="J38" s="54"/>
      <c r="K38" s="49" t="s">
        <v>20</v>
      </c>
      <c r="L38" s="55" t="s">
        <v>21</v>
      </c>
      <c r="M38" s="55" t="s">
        <v>22</v>
      </c>
      <c r="N38" s="55" t="s">
        <v>21</v>
      </c>
      <c r="O38" s="55" t="s">
        <v>22</v>
      </c>
      <c r="P38" s="69"/>
      <c r="Q38" s="69"/>
    </row>
  </sheetData>
  <mergeCells count="12">
    <mergeCell ref="N4:N5"/>
    <mergeCell ref="O4:O5"/>
    <mergeCell ref="B38:C38"/>
    <mergeCell ref="A1:O1"/>
    <mergeCell ref="A2:O2"/>
    <mergeCell ref="A3:O3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AC502-5004-4EA1-96CD-B8B21F423E38}">
  <dimension ref="A1:Z38"/>
  <sheetViews>
    <sheetView workbookViewId="0">
      <selection activeCell="H11" sqref="H11"/>
    </sheetView>
  </sheetViews>
  <sheetFormatPr baseColWidth="10" defaultColWidth="11.44140625" defaultRowHeight="14.4" x14ac:dyDescent="0.3"/>
  <cols>
    <col min="1" max="1" width="13.5546875" customWidth="1"/>
    <col min="2" max="2" width="11.33203125" customWidth="1"/>
    <col min="3" max="3" width="8.5546875" customWidth="1"/>
    <col min="4" max="4" width="18.6640625" customWidth="1"/>
    <col min="5" max="5" width="13.6640625" customWidth="1"/>
    <col min="6" max="6" width="13.33203125" customWidth="1"/>
    <col min="7" max="7" width="13.109375" customWidth="1"/>
    <col min="8" max="8" width="17.109375" customWidth="1"/>
    <col min="9" max="9" width="14.44140625" bestFit="1" customWidth="1"/>
    <col min="10" max="10" width="3.88671875" customWidth="1"/>
    <col min="11" max="11" width="10.6640625" customWidth="1"/>
    <col min="12" max="12" width="14.88671875" customWidth="1"/>
    <col min="13" max="13" width="15.88671875" customWidth="1"/>
    <col min="14" max="14" width="10.109375" customWidth="1"/>
    <col min="15" max="15" width="9.88671875" customWidth="1"/>
  </cols>
  <sheetData>
    <row r="1" spans="1:19" ht="15.6" x14ac:dyDescent="0.3">
      <c r="A1" s="100" t="s">
        <v>23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19" ht="15.6" x14ac:dyDescent="0.3">
      <c r="A2" s="100" t="s">
        <v>25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</row>
    <row r="3" spans="1:19" ht="16.2" thickBot="1" x14ac:dyDescent="0.35">
      <c r="A3" s="101" t="s">
        <v>35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</row>
    <row r="4" spans="1:19" s="51" customFormat="1" ht="78" customHeight="1" thickBot="1" x14ac:dyDescent="0.35">
      <c r="A4" s="64" t="s">
        <v>0</v>
      </c>
      <c r="B4" s="112" t="s">
        <v>1</v>
      </c>
      <c r="C4" s="113"/>
      <c r="D4" s="65" t="s">
        <v>2</v>
      </c>
      <c r="E4" s="66" t="s">
        <v>3</v>
      </c>
      <c r="F4" s="66" t="s">
        <v>4</v>
      </c>
      <c r="G4" s="66" t="s">
        <v>5</v>
      </c>
      <c r="H4" s="114" t="s">
        <v>6</v>
      </c>
      <c r="I4" s="108" t="s">
        <v>7</v>
      </c>
      <c r="J4" s="39"/>
      <c r="K4" s="116" t="s">
        <v>0</v>
      </c>
      <c r="L4" s="108" t="s">
        <v>8</v>
      </c>
      <c r="M4" s="108" t="s">
        <v>9</v>
      </c>
      <c r="N4" s="108" t="s">
        <v>10</v>
      </c>
      <c r="O4" s="108" t="s">
        <v>11</v>
      </c>
    </row>
    <row r="5" spans="1:19" s="51" customFormat="1" ht="18" customHeight="1" thickBot="1" x14ac:dyDescent="0.35">
      <c r="B5" s="49" t="s">
        <v>12</v>
      </c>
      <c r="C5" s="49" t="s">
        <v>13</v>
      </c>
      <c r="D5" s="49" t="s">
        <v>14</v>
      </c>
      <c r="E5" s="49" t="s">
        <v>15</v>
      </c>
      <c r="F5" s="49" t="s">
        <v>16</v>
      </c>
      <c r="G5" s="49" t="s">
        <v>17</v>
      </c>
      <c r="H5" s="115"/>
      <c r="I5" s="109"/>
      <c r="J5" s="40"/>
      <c r="K5" s="117"/>
      <c r="L5" s="109"/>
      <c r="M5" s="109"/>
      <c r="N5" s="109"/>
      <c r="O5" s="109"/>
    </row>
    <row r="6" spans="1:19" ht="18" customHeight="1" thickBot="1" x14ac:dyDescent="0.35">
      <c r="A6" s="70">
        <v>1</v>
      </c>
      <c r="B6" s="71">
        <v>4094</v>
      </c>
      <c r="C6" s="71">
        <v>7</v>
      </c>
      <c r="D6" s="71">
        <v>1211</v>
      </c>
      <c r="E6" s="71">
        <v>346</v>
      </c>
      <c r="F6" s="71">
        <v>230</v>
      </c>
      <c r="G6" s="71">
        <v>253</v>
      </c>
      <c r="H6" s="72">
        <f>SUM(B6:G6)</f>
        <v>6141</v>
      </c>
      <c r="I6" s="73">
        <v>0</v>
      </c>
      <c r="J6" s="74"/>
      <c r="K6" s="75">
        <v>1</v>
      </c>
      <c r="L6" s="71">
        <v>0</v>
      </c>
      <c r="M6" s="71">
        <v>11</v>
      </c>
      <c r="N6" s="71">
        <v>2</v>
      </c>
      <c r="O6" s="71">
        <f>SUM(L6:N6)</f>
        <v>13</v>
      </c>
      <c r="P6" s="83">
        <v>5871</v>
      </c>
    </row>
    <row r="7" spans="1:19" ht="18" customHeight="1" thickBot="1" x14ac:dyDescent="0.35">
      <c r="A7" s="76">
        <v>2</v>
      </c>
      <c r="B7" s="71">
        <v>5304</v>
      </c>
      <c r="C7" s="71">
        <v>3</v>
      </c>
      <c r="D7" s="71">
        <v>796</v>
      </c>
      <c r="E7" s="71">
        <v>69</v>
      </c>
      <c r="F7" s="71">
        <v>135</v>
      </c>
      <c r="G7" s="71">
        <v>109</v>
      </c>
      <c r="H7" s="77">
        <f>SUM(B7:G7)</f>
        <v>6416</v>
      </c>
      <c r="I7" s="78">
        <v>0</v>
      </c>
      <c r="J7" s="74"/>
      <c r="K7" s="79">
        <v>2</v>
      </c>
      <c r="L7" s="27">
        <v>0</v>
      </c>
      <c r="M7" s="27">
        <v>3</v>
      </c>
      <c r="N7" s="27">
        <v>1</v>
      </c>
      <c r="O7" s="27">
        <f t="shared" ref="O7:O33" si="0">SUM(L7:N7)</f>
        <v>4</v>
      </c>
      <c r="P7" s="83">
        <f>+P6</f>
        <v>5871</v>
      </c>
    </row>
    <row r="8" spans="1:19" ht="18" customHeight="1" thickBot="1" x14ac:dyDescent="0.35">
      <c r="A8" s="76">
        <v>3</v>
      </c>
      <c r="B8" s="71">
        <v>4502</v>
      </c>
      <c r="C8" s="71">
        <v>4</v>
      </c>
      <c r="D8" s="71">
        <v>897</v>
      </c>
      <c r="E8" s="71">
        <v>111</v>
      </c>
      <c r="F8" s="71">
        <v>201</v>
      </c>
      <c r="G8" s="71">
        <v>198</v>
      </c>
      <c r="H8" s="77">
        <f t="shared" ref="H8:H36" si="1">SUM(B8:G8)</f>
        <v>5913</v>
      </c>
      <c r="I8" s="78">
        <v>0</v>
      </c>
      <c r="J8" s="74"/>
      <c r="K8" s="79">
        <v>3</v>
      </c>
      <c r="L8" s="27">
        <v>0</v>
      </c>
      <c r="M8" s="27">
        <v>1</v>
      </c>
      <c r="N8" s="27">
        <v>0</v>
      </c>
      <c r="O8" s="27">
        <f t="shared" si="0"/>
        <v>1</v>
      </c>
      <c r="P8" s="83">
        <f t="shared" ref="P8:P36" si="2">+P7</f>
        <v>5871</v>
      </c>
      <c r="S8" s="37"/>
    </row>
    <row r="9" spans="1:19" ht="18" customHeight="1" thickBot="1" x14ac:dyDescent="0.35">
      <c r="A9" s="76">
        <v>4</v>
      </c>
      <c r="B9" s="71">
        <v>7308</v>
      </c>
      <c r="C9" s="71">
        <v>0</v>
      </c>
      <c r="D9" s="71">
        <v>650</v>
      </c>
      <c r="E9" s="71">
        <v>69</v>
      </c>
      <c r="F9" s="71">
        <v>70</v>
      </c>
      <c r="G9" s="71">
        <v>81</v>
      </c>
      <c r="H9" s="77">
        <f t="shared" si="1"/>
        <v>8178</v>
      </c>
      <c r="I9" s="78">
        <v>0</v>
      </c>
      <c r="J9" s="74"/>
      <c r="K9" s="79">
        <v>4</v>
      </c>
      <c r="L9" s="27">
        <v>0</v>
      </c>
      <c r="M9" s="27">
        <v>0</v>
      </c>
      <c r="N9" s="27">
        <v>0</v>
      </c>
      <c r="O9" s="27">
        <f t="shared" si="0"/>
        <v>0</v>
      </c>
      <c r="P9" s="83">
        <f t="shared" si="2"/>
        <v>5871</v>
      </c>
    </row>
    <row r="10" spans="1:19" ht="18" customHeight="1" thickBot="1" x14ac:dyDescent="0.35">
      <c r="A10" s="76">
        <v>5</v>
      </c>
      <c r="B10" s="27">
        <v>1991</v>
      </c>
      <c r="C10" s="27">
        <v>3</v>
      </c>
      <c r="D10" s="27">
        <v>1016</v>
      </c>
      <c r="E10" s="27">
        <v>311</v>
      </c>
      <c r="F10" s="27">
        <v>196</v>
      </c>
      <c r="G10" s="27">
        <v>265</v>
      </c>
      <c r="H10" s="77">
        <f t="shared" si="1"/>
        <v>3782</v>
      </c>
      <c r="I10" s="78">
        <v>0</v>
      </c>
      <c r="J10" s="74"/>
      <c r="K10" s="79">
        <v>5</v>
      </c>
      <c r="L10" s="27">
        <v>0</v>
      </c>
      <c r="M10" s="27">
        <v>8</v>
      </c>
      <c r="N10" s="27">
        <v>7</v>
      </c>
      <c r="O10" s="27">
        <f t="shared" si="0"/>
        <v>15</v>
      </c>
      <c r="P10" s="83">
        <f t="shared" si="2"/>
        <v>5871</v>
      </c>
    </row>
    <row r="11" spans="1:19" ht="18" customHeight="1" thickBot="1" x14ac:dyDescent="0.35">
      <c r="A11" s="76">
        <v>6</v>
      </c>
      <c r="B11" s="27">
        <v>1850</v>
      </c>
      <c r="C11" s="27">
        <v>4</v>
      </c>
      <c r="D11" s="27">
        <v>1161</v>
      </c>
      <c r="E11" s="27">
        <v>317</v>
      </c>
      <c r="F11" s="27">
        <v>218</v>
      </c>
      <c r="G11" s="27">
        <v>302</v>
      </c>
      <c r="H11" s="77">
        <f t="shared" si="1"/>
        <v>3852</v>
      </c>
      <c r="I11" s="78">
        <v>0</v>
      </c>
      <c r="J11" s="74"/>
      <c r="K11" s="79">
        <v>6</v>
      </c>
      <c r="L11" s="27">
        <v>0</v>
      </c>
      <c r="M11" s="27">
        <v>5</v>
      </c>
      <c r="N11" s="27">
        <v>3</v>
      </c>
      <c r="O11" s="27">
        <f t="shared" si="0"/>
        <v>8</v>
      </c>
      <c r="P11" s="83">
        <f t="shared" si="2"/>
        <v>5871</v>
      </c>
    </row>
    <row r="12" spans="1:19" ht="18" customHeight="1" thickBot="1" x14ac:dyDescent="0.35">
      <c r="A12" s="76">
        <v>7</v>
      </c>
      <c r="B12" s="27">
        <v>1982</v>
      </c>
      <c r="C12" s="27">
        <v>0</v>
      </c>
      <c r="D12" s="27">
        <v>1228</v>
      </c>
      <c r="E12" s="27">
        <v>357</v>
      </c>
      <c r="F12" s="27">
        <v>205</v>
      </c>
      <c r="G12" s="27">
        <v>278</v>
      </c>
      <c r="H12" s="77">
        <f t="shared" si="1"/>
        <v>4050</v>
      </c>
      <c r="I12" s="27">
        <v>0</v>
      </c>
      <c r="J12" s="80"/>
      <c r="K12" s="27">
        <v>7</v>
      </c>
      <c r="L12" s="27">
        <v>0</v>
      </c>
      <c r="M12" s="27">
        <v>26</v>
      </c>
      <c r="N12" s="27">
        <v>1</v>
      </c>
      <c r="O12" s="27">
        <f t="shared" si="0"/>
        <v>27</v>
      </c>
      <c r="P12" s="83">
        <f t="shared" si="2"/>
        <v>5871</v>
      </c>
    </row>
    <row r="13" spans="1:19" ht="18" customHeight="1" thickBot="1" x14ac:dyDescent="0.35">
      <c r="A13" s="76">
        <v>8</v>
      </c>
      <c r="B13" s="27">
        <v>4104</v>
      </c>
      <c r="C13" s="27">
        <v>9</v>
      </c>
      <c r="D13" s="27">
        <v>1286</v>
      </c>
      <c r="E13" s="27">
        <v>365</v>
      </c>
      <c r="F13" s="27">
        <v>238</v>
      </c>
      <c r="G13" s="27">
        <v>270</v>
      </c>
      <c r="H13" s="77">
        <f t="shared" si="1"/>
        <v>6272</v>
      </c>
      <c r="I13" s="27">
        <v>0</v>
      </c>
      <c r="J13" s="80"/>
      <c r="K13" s="27">
        <v>8</v>
      </c>
      <c r="L13" s="27">
        <v>0</v>
      </c>
      <c r="M13" s="27">
        <v>14</v>
      </c>
      <c r="N13" s="27">
        <v>2</v>
      </c>
      <c r="O13" s="27">
        <f t="shared" si="0"/>
        <v>16</v>
      </c>
      <c r="P13" s="83">
        <f t="shared" si="2"/>
        <v>5871</v>
      </c>
    </row>
    <row r="14" spans="1:19" s="51" customFormat="1" ht="18" customHeight="1" thickBot="1" x14ac:dyDescent="0.35">
      <c r="A14" s="76">
        <v>9</v>
      </c>
      <c r="B14" s="27">
        <v>5494</v>
      </c>
      <c r="C14" s="27">
        <v>1</v>
      </c>
      <c r="D14" s="27">
        <v>818</v>
      </c>
      <c r="E14" s="27">
        <v>91</v>
      </c>
      <c r="F14" s="27">
        <v>146</v>
      </c>
      <c r="G14" s="27">
        <v>106</v>
      </c>
      <c r="H14" s="77">
        <f t="shared" si="1"/>
        <v>6656</v>
      </c>
      <c r="I14" s="27">
        <v>0</v>
      </c>
      <c r="J14" s="80"/>
      <c r="K14" s="27">
        <v>9</v>
      </c>
      <c r="L14" s="27">
        <v>0</v>
      </c>
      <c r="M14" s="27">
        <v>2</v>
      </c>
      <c r="N14" s="27">
        <v>1</v>
      </c>
      <c r="O14" s="27">
        <f t="shared" si="0"/>
        <v>3</v>
      </c>
      <c r="P14" s="84">
        <f t="shared" si="2"/>
        <v>5871</v>
      </c>
    </row>
    <row r="15" spans="1:19" ht="18" customHeight="1" thickBot="1" x14ac:dyDescent="0.35">
      <c r="A15" s="76">
        <v>10</v>
      </c>
      <c r="B15" s="27">
        <v>4795</v>
      </c>
      <c r="C15" s="27">
        <v>2</v>
      </c>
      <c r="D15" s="27">
        <v>889</v>
      </c>
      <c r="E15" s="27">
        <v>97</v>
      </c>
      <c r="F15" s="27">
        <v>183</v>
      </c>
      <c r="G15" s="27">
        <v>195</v>
      </c>
      <c r="H15" s="77">
        <f t="shared" si="1"/>
        <v>6161</v>
      </c>
      <c r="I15" s="27">
        <v>0</v>
      </c>
      <c r="J15" s="80"/>
      <c r="K15" s="27">
        <v>10</v>
      </c>
      <c r="L15" s="27">
        <v>0</v>
      </c>
      <c r="M15" s="27">
        <v>4</v>
      </c>
      <c r="N15" s="27">
        <v>2</v>
      </c>
      <c r="O15" s="27">
        <f t="shared" si="0"/>
        <v>6</v>
      </c>
      <c r="P15" s="83">
        <f t="shared" si="2"/>
        <v>5871</v>
      </c>
    </row>
    <row r="16" spans="1:19" ht="18" customHeight="1" thickBot="1" x14ac:dyDescent="0.35">
      <c r="A16" s="76">
        <v>11</v>
      </c>
      <c r="B16" s="27">
        <v>7750</v>
      </c>
      <c r="C16" s="27">
        <v>2</v>
      </c>
      <c r="D16" s="27">
        <v>661</v>
      </c>
      <c r="E16" s="27">
        <v>84</v>
      </c>
      <c r="F16" s="27">
        <v>75</v>
      </c>
      <c r="G16" s="27">
        <v>90</v>
      </c>
      <c r="H16" s="77">
        <f t="shared" si="1"/>
        <v>8662</v>
      </c>
      <c r="I16" s="27">
        <v>0</v>
      </c>
      <c r="J16" s="80"/>
      <c r="K16" s="27">
        <v>11</v>
      </c>
      <c r="L16" s="27">
        <v>0</v>
      </c>
      <c r="M16" s="27">
        <v>5</v>
      </c>
      <c r="N16" s="27">
        <v>0</v>
      </c>
      <c r="O16" s="27">
        <f t="shared" si="0"/>
        <v>5</v>
      </c>
      <c r="P16" s="83">
        <f t="shared" si="2"/>
        <v>5871</v>
      </c>
      <c r="Q16" s="38"/>
    </row>
    <row r="17" spans="1:26" ht="18" customHeight="1" thickBot="1" x14ac:dyDescent="0.35">
      <c r="A17" s="76">
        <v>12</v>
      </c>
      <c r="B17" s="27">
        <v>1888</v>
      </c>
      <c r="C17" s="27">
        <v>4</v>
      </c>
      <c r="D17" s="27">
        <v>1083</v>
      </c>
      <c r="E17" s="27">
        <v>400</v>
      </c>
      <c r="F17" s="27">
        <v>205</v>
      </c>
      <c r="G17" s="27">
        <v>273</v>
      </c>
      <c r="H17" s="77">
        <f t="shared" si="1"/>
        <v>3853</v>
      </c>
      <c r="I17" s="27">
        <v>0</v>
      </c>
      <c r="J17" s="80"/>
      <c r="K17" s="27">
        <v>12</v>
      </c>
      <c r="L17" s="27">
        <v>1</v>
      </c>
      <c r="M17" s="27">
        <v>6</v>
      </c>
      <c r="N17" s="27">
        <v>1</v>
      </c>
      <c r="O17" s="27">
        <f t="shared" si="0"/>
        <v>8</v>
      </c>
      <c r="P17" s="83">
        <f t="shared" si="2"/>
        <v>5871</v>
      </c>
    </row>
    <row r="18" spans="1:26" ht="18" customHeight="1" thickBot="1" x14ac:dyDescent="0.35">
      <c r="A18" s="76">
        <v>13</v>
      </c>
      <c r="B18" s="27">
        <v>1801</v>
      </c>
      <c r="C18" s="27">
        <v>0</v>
      </c>
      <c r="D18" s="27">
        <v>1156</v>
      </c>
      <c r="E18" s="27">
        <v>383</v>
      </c>
      <c r="F18" s="27">
        <v>189</v>
      </c>
      <c r="G18" s="27">
        <v>252</v>
      </c>
      <c r="H18" s="77">
        <f t="shared" si="1"/>
        <v>3781</v>
      </c>
      <c r="I18" s="27">
        <v>0</v>
      </c>
      <c r="J18" s="80"/>
      <c r="K18" s="27">
        <v>13</v>
      </c>
      <c r="L18" s="27">
        <v>0</v>
      </c>
      <c r="M18" s="27">
        <v>13</v>
      </c>
      <c r="N18" s="27">
        <v>3</v>
      </c>
      <c r="O18" s="27">
        <f t="shared" si="0"/>
        <v>16</v>
      </c>
      <c r="P18" s="83">
        <f t="shared" si="2"/>
        <v>5871</v>
      </c>
    </row>
    <row r="19" spans="1:26" ht="18" customHeight="1" thickBot="1" x14ac:dyDescent="0.35">
      <c r="A19" s="76">
        <v>14</v>
      </c>
      <c r="B19" s="27">
        <v>1807</v>
      </c>
      <c r="C19" s="27">
        <v>2</v>
      </c>
      <c r="D19" s="27">
        <v>1225</v>
      </c>
      <c r="E19" s="27">
        <v>360</v>
      </c>
      <c r="F19" s="27">
        <v>239</v>
      </c>
      <c r="G19" s="27">
        <v>297</v>
      </c>
      <c r="H19" s="77">
        <f t="shared" si="1"/>
        <v>3930</v>
      </c>
      <c r="I19" s="27">
        <v>0</v>
      </c>
      <c r="J19" s="80"/>
      <c r="K19" s="27">
        <v>14</v>
      </c>
      <c r="L19" s="27">
        <v>1</v>
      </c>
      <c r="M19" s="27">
        <v>16</v>
      </c>
      <c r="N19" s="27">
        <v>2</v>
      </c>
      <c r="O19" s="27">
        <f t="shared" si="0"/>
        <v>19</v>
      </c>
      <c r="P19" s="83">
        <f t="shared" si="2"/>
        <v>5871</v>
      </c>
    </row>
    <row r="20" spans="1:26" ht="18" customHeight="1" thickBot="1" x14ac:dyDescent="0.35">
      <c r="A20" s="76">
        <v>15</v>
      </c>
      <c r="B20" s="27">
        <v>2481</v>
      </c>
      <c r="C20" s="27">
        <v>5</v>
      </c>
      <c r="D20" s="27">
        <v>1200</v>
      </c>
      <c r="E20" s="27">
        <v>373</v>
      </c>
      <c r="F20" s="27">
        <v>229</v>
      </c>
      <c r="G20" s="27">
        <v>279</v>
      </c>
      <c r="H20" s="77">
        <f t="shared" si="1"/>
        <v>4567</v>
      </c>
      <c r="I20" s="27">
        <v>0</v>
      </c>
      <c r="J20" s="80"/>
      <c r="K20" s="27">
        <v>15</v>
      </c>
      <c r="L20" s="27">
        <v>3</v>
      </c>
      <c r="M20" s="27">
        <v>20</v>
      </c>
      <c r="N20" s="27">
        <v>1</v>
      </c>
      <c r="O20" s="27">
        <f t="shared" si="0"/>
        <v>24</v>
      </c>
      <c r="P20" s="83">
        <f t="shared" si="2"/>
        <v>5871</v>
      </c>
    </row>
    <row r="21" spans="1:26" ht="18" customHeight="1" thickBot="1" x14ac:dyDescent="0.35">
      <c r="A21" s="76">
        <v>16</v>
      </c>
      <c r="B21" s="27">
        <v>2778</v>
      </c>
      <c r="C21" s="27">
        <v>9</v>
      </c>
      <c r="D21" s="27">
        <v>1075</v>
      </c>
      <c r="E21" s="27">
        <v>213</v>
      </c>
      <c r="F21" s="27">
        <v>195</v>
      </c>
      <c r="G21" s="27">
        <v>243</v>
      </c>
      <c r="H21" s="77">
        <f t="shared" si="1"/>
        <v>4513</v>
      </c>
      <c r="I21" s="27">
        <v>0</v>
      </c>
      <c r="J21" s="80"/>
      <c r="K21" s="27">
        <v>16</v>
      </c>
      <c r="L21" s="27">
        <v>0</v>
      </c>
      <c r="M21" s="27">
        <v>0</v>
      </c>
      <c r="N21" s="27">
        <v>1</v>
      </c>
      <c r="O21" s="27">
        <f t="shared" si="0"/>
        <v>1</v>
      </c>
      <c r="P21" s="83">
        <f>+P20</f>
        <v>5871</v>
      </c>
    </row>
    <row r="22" spans="1:26" ht="18" customHeight="1" thickBot="1" x14ac:dyDescent="0.35">
      <c r="A22" s="76">
        <v>17</v>
      </c>
      <c r="B22" s="27">
        <v>3579</v>
      </c>
      <c r="C22" s="27">
        <v>4</v>
      </c>
      <c r="D22" s="27">
        <v>826</v>
      </c>
      <c r="E22" s="27">
        <v>106</v>
      </c>
      <c r="F22" s="27">
        <v>110</v>
      </c>
      <c r="G22" s="27">
        <v>175</v>
      </c>
      <c r="H22" s="77">
        <f>SUM(B22:G22)</f>
        <v>4800</v>
      </c>
      <c r="I22" s="27">
        <v>0</v>
      </c>
      <c r="J22" s="80"/>
      <c r="K22" s="27">
        <v>17</v>
      </c>
      <c r="L22" s="27">
        <v>0</v>
      </c>
      <c r="M22" s="27">
        <v>0</v>
      </c>
      <c r="N22" s="27"/>
      <c r="O22" s="27">
        <f t="shared" si="0"/>
        <v>0</v>
      </c>
      <c r="P22" s="83">
        <f t="shared" si="2"/>
        <v>5871</v>
      </c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spans="1:26" ht="18" customHeight="1" thickBot="1" x14ac:dyDescent="0.35">
      <c r="A23" s="76">
        <v>18</v>
      </c>
      <c r="B23" s="27">
        <v>1902</v>
      </c>
      <c r="C23" s="27">
        <v>0</v>
      </c>
      <c r="D23" s="27">
        <v>998</v>
      </c>
      <c r="E23" s="27">
        <v>387</v>
      </c>
      <c r="F23" s="27">
        <v>183</v>
      </c>
      <c r="G23" s="27">
        <v>265</v>
      </c>
      <c r="H23" s="77">
        <f t="shared" si="1"/>
        <v>3735</v>
      </c>
      <c r="I23" s="27">
        <v>0</v>
      </c>
      <c r="J23" s="80"/>
      <c r="K23" s="27">
        <v>18</v>
      </c>
      <c r="L23" s="27">
        <v>0</v>
      </c>
      <c r="M23" s="27">
        <v>33</v>
      </c>
      <c r="N23" s="27">
        <v>3</v>
      </c>
      <c r="O23" s="27">
        <f t="shared" si="0"/>
        <v>36</v>
      </c>
      <c r="P23" s="83">
        <f t="shared" si="2"/>
        <v>5871</v>
      </c>
    </row>
    <row r="24" spans="1:26" s="38" customFormat="1" ht="18" customHeight="1" thickBot="1" x14ac:dyDescent="0.35">
      <c r="A24" s="76">
        <v>19</v>
      </c>
      <c r="B24" s="27">
        <v>1819</v>
      </c>
      <c r="C24" s="27">
        <v>2</v>
      </c>
      <c r="D24" s="27">
        <v>1100</v>
      </c>
      <c r="E24" s="27">
        <v>279</v>
      </c>
      <c r="F24" s="27">
        <v>193</v>
      </c>
      <c r="G24" s="27">
        <v>248</v>
      </c>
      <c r="H24" s="77">
        <f t="shared" si="1"/>
        <v>3641</v>
      </c>
      <c r="I24" s="27">
        <v>0</v>
      </c>
      <c r="J24" s="80"/>
      <c r="K24" s="27">
        <v>19</v>
      </c>
      <c r="L24" s="27">
        <v>0</v>
      </c>
      <c r="M24" s="27">
        <v>26</v>
      </c>
      <c r="N24" s="27">
        <v>2</v>
      </c>
      <c r="O24" s="27">
        <f t="shared" si="0"/>
        <v>28</v>
      </c>
      <c r="P24" s="83">
        <f t="shared" si="2"/>
        <v>5871</v>
      </c>
    </row>
    <row r="25" spans="1:26" ht="18" customHeight="1" thickBot="1" x14ac:dyDescent="0.35">
      <c r="A25" s="76">
        <v>20</v>
      </c>
      <c r="B25" s="27">
        <v>1821</v>
      </c>
      <c r="C25" s="27">
        <v>2</v>
      </c>
      <c r="D25" s="27">
        <v>1104</v>
      </c>
      <c r="E25" s="27">
        <v>263</v>
      </c>
      <c r="F25" s="27">
        <v>187</v>
      </c>
      <c r="G25" s="27">
        <v>281</v>
      </c>
      <c r="H25" s="77">
        <f t="shared" si="1"/>
        <v>3658</v>
      </c>
      <c r="I25" s="27">
        <v>0</v>
      </c>
      <c r="J25" s="80"/>
      <c r="K25" s="27">
        <v>20</v>
      </c>
      <c r="L25" s="27">
        <v>0</v>
      </c>
      <c r="M25" s="27">
        <v>17</v>
      </c>
      <c r="N25" s="27">
        <v>2</v>
      </c>
      <c r="O25" s="27">
        <f t="shared" si="0"/>
        <v>19</v>
      </c>
      <c r="P25" s="83">
        <f t="shared" si="2"/>
        <v>5871</v>
      </c>
    </row>
    <row r="26" spans="1:26" ht="18" customHeight="1" thickBot="1" x14ac:dyDescent="0.35">
      <c r="A26" s="76">
        <v>21</v>
      </c>
      <c r="B26" s="27">
        <v>1911</v>
      </c>
      <c r="C26" s="27">
        <v>1</v>
      </c>
      <c r="D26" s="27">
        <v>1313</v>
      </c>
      <c r="E26" s="27">
        <v>250</v>
      </c>
      <c r="F26" s="27">
        <v>227</v>
      </c>
      <c r="G26" s="27">
        <v>316</v>
      </c>
      <c r="H26" s="77">
        <f t="shared" si="1"/>
        <v>4018</v>
      </c>
      <c r="I26" s="27">
        <v>0</v>
      </c>
      <c r="J26" s="80"/>
      <c r="K26" s="27">
        <v>21</v>
      </c>
      <c r="L26" s="27">
        <v>0</v>
      </c>
      <c r="M26" s="27">
        <v>23</v>
      </c>
      <c r="N26" s="27">
        <v>2</v>
      </c>
      <c r="O26" s="27">
        <f t="shared" si="0"/>
        <v>25</v>
      </c>
      <c r="P26" s="83">
        <f t="shared" si="2"/>
        <v>5871</v>
      </c>
    </row>
    <row r="27" spans="1:26" ht="18" customHeight="1" thickBot="1" x14ac:dyDescent="0.35">
      <c r="A27" s="76">
        <v>22</v>
      </c>
      <c r="B27" s="27">
        <v>2686</v>
      </c>
      <c r="C27" s="27">
        <v>12</v>
      </c>
      <c r="D27" s="27">
        <v>1153</v>
      </c>
      <c r="E27" s="27">
        <v>264</v>
      </c>
      <c r="F27" s="27">
        <v>195</v>
      </c>
      <c r="G27" s="27">
        <v>274</v>
      </c>
      <c r="H27" s="77">
        <f t="shared" si="1"/>
        <v>4584</v>
      </c>
      <c r="I27" s="27">
        <v>0</v>
      </c>
      <c r="J27" s="80"/>
      <c r="K27" s="27">
        <v>22</v>
      </c>
      <c r="L27" s="27">
        <v>1</v>
      </c>
      <c r="M27" s="27">
        <v>13</v>
      </c>
      <c r="N27" s="27">
        <v>1</v>
      </c>
      <c r="O27" s="27">
        <f t="shared" si="0"/>
        <v>15</v>
      </c>
      <c r="P27" s="83">
        <f t="shared" si="2"/>
        <v>5871</v>
      </c>
    </row>
    <row r="28" spans="1:26" ht="18" customHeight="1" thickBot="1" x14ac:dyDescent="0.35">
      <c r="A28" s="76">
        <v>23</v>
      </c>
      <c r="B28" s="27">
        <v>3056</v>
      </c>
      <c r="C28" s="27">
        <v>9</v>
      </c>
      <c r="D28" s="27">
        <v>1062</v>
      </c>
      <c r="E28" s="27">
        <v>173</v>
      </c>
      <c r="F28" s="27">
        <v>203</v>
      </c>
      <c r="G28" s="27">
        <v>219</v>
      </c>
      <c r="H28" s="77">
        <f t="shared" si="1"/>
        <v>4722</v>
      </c>
      <c r="I28" s="27">
        <v>0</v>
      </c>
      <c r="J28" s="80"/>
      <c r="K28" s="27">
        <v>23</v>
      </c>
      <c r="L28" s="27">
        <v>0</v>
      </c>
      <c r="M28" s="27">
        <v>13</v>
      </c>
      <c r="N28" s="27">
        <v>1</v>
      </c>
      <c r="O28" s="27">
        <f t="shared" si="0"/>
        <v>14</v>
      </c>
      <c r="P28" s="83">
        <f t="shared" si="2"/>
        <v>5871</v>
      </c>
    </row>
    <row r="29" spans="1:26" ht="18" customHeight="1" thickBot="1" x14ac:dyDescent="0.35">
      <c r="A29" s="76">
        <v>24</v>
      </c>
      <c r="B29" s="27">
        <v>3956</v>
      </c>
      <c r="C29" s="27">
        <v>4</v>
      </c>
      <c r="D29" s="27">
        <v>801</v>
      </c>
      <c r="E29" s="27">
        <v>95</v>
      </c>
      <c r="F29" s="27">
        <v>106</v>
      </c>
      <c r="G29" s="27">
        <v>151</v>
      </c>
      <c r="H29" s="77">
        <f t="shared" si="1"/>
        <v>5113</v>
      </c>
      <c r="I29" s="27">
        <v>0</v>
      </c>
      <c r="J29" s="80"/>
      <c r="K29" s="27">
        <v>24</v>
      </c>
      <c r="L29" s="27">
        <v>0</v>
      </c>
      <c r="M29" s="27">
        <v>0</v>
      </c>
      <c r="N29" s="27">
        <v>0</v>
      </c>
      <c r="O29" s="27">
        <f t="shared" si="0"/>
        <v>0</v>
      </c>
      <c r="P29" s="83">
        <f t="shared" si="2"/>
        <v>5871</v>
      </c>
    </row>
    <row r="30" spans="1:26" s="38" customFormat="1" ht="18" customHeight="1" thickBot="1" x14ac:dyDescent="0.35">
      <c r="A30" s="76">
        <v>25</v>
      </c>
      <c r="B30" s="27">
        <f>1925+29</f>
        <v>1954</v>
      </c>
      <c r="C30" s="27">
        <v>4</v>
      </c>
      <c r="D30" s="27">
        <v>1057</v>
      </c>
      <c r="E30" s="27">
        <v>233</v>
      </c>
      <c r="F30" s="27">
        <v>198</v>
      </c>
      <c r="G30" s="27">
        <v>305</v>
      </c>
      <c r="H30" s="77">
        <f t="shared" si="1"/>
        <v>3751</v>
      </c>
      <c r="I30" s="27">
        <v>0</v>
      </c>
      <c r="J30" s="80"/>
      <c r="K30" s="27">
        <v>25</v>
      </c>
      <c r="L30" s="27">
        <v>1</v>
      </c>
      <c r="M30" s="27">
        <v>21</v>
      </c>
      <c r="N30" s="27">
        <v>2</v>
      </c>
      <c r="O30" s="27">
        <f t="shared" si="0"/>
        <v>24</v>
      </c>
      <c r="P30" s="83">
        <f t="shared" si="2"/>
        <v>5871</v>
      </c>
    </row>
    <row r="31" spans="1:26" ht="18" customHeight="1" thickBot="1" x14ac:dyDescent="0.35">
      <c r="A31" s="76">
        <v>26</v>
      </c>
      <c r="B31" s="27">
        <f>1787+22</f>
        <v>1809</v>
      </c>
      <c r="C31" s="27">
        <v>0</v>
      </c>
      <c r="D31" s="27">
        <v>1111</v>
      </c>
      <c r="E31" s="27">
        <v>318</v>
      </c>
      <c r="F31" s="27">
        <v>194</v>
      </c>
      <c r="G31" s="27">
        <v>259</v>
      </c>
      <c r="H31" s="77">
        <f t="shared" si="1"/>
        <v>3691</v>
      </c>
      <c r="I31" s="27">
        <v>0</v>
      </c>
      <c r="J31" s="80"/>
      <c r="K31" s="27">
        <v>26</v>
      </c>
      <c r="L31" s="27">
        <v>0</v>
      </c>
      <c r="M31" s="27">
        <v>17</v>
      </c>
      <c r="N31" s="27">
        <v>3</v>
      </c>
      <c r="O31" s="27">
        <f t="shared" si="0"/>
        <v>20</v>
      </c>
      <c r="P31" s="83">
        <f t="shared" si="2"/>
        <v>5871</v>
      </c>
    </row>
    <row r="32" spans="1:26" ht="18" customHeight="1" thickBot="1" x14ac:dyDescent="0.35">
      <c r="A32" s="76">
        <v>27</v>
      </c>
      <c r="B32" s="27">
        <f>1974+24</f>
        <v>1998</v>
      </c>
      <c r="C32" s="27">
        <v>4</v>
      </c>
      <c r="D32" s="27">
        <v>1246</v>
      </c>
      <c r="E32" s="27">
        <v>323</v>
      </c>
      <c r="F32" s="27">
        <v>197</v>
      </c>
      <c r="G32" s="27">
        <v>315</v>
      </c>
      <c r="H32" s="77">
        <f t="shared" si="1"/>
        <v>4083</v>
      </c>
      <c r="I32" s="27">
        <v>0</v>
      </c>
      <c r="J32" s="80"/>
      <c r="K32" s="27">
        <v>27</v>
      </c>
      <c r="L32" s="27">
        <v>0</v>
      </c>
      <c r="M32" s="27">
        <v>15</v>
      </c>
      <c r="N32" s="27">
        <v>4</v>
      </c>
      <c r="O32" s="27">
        <f t="shared" si="0"/>
        <v>19</v>
      </c>
      <c r="P32" s="83">
        <f t="shared" si="2"/>
        <v>5871</v>
      </c>
    </row>
    <row r="33" spans="1:17" ht="15.75" customHeight="1" thickBot="1" x14ac:dyDescent="0.35">
      <c r="A33" s="76">
        <v>28</v>
      </c>
      <c r="B33" s="27">
        <f>2208+23</f>
        <v>2231</v>
      </c>
      <c r="C33" s="27">
        <v>4</v>
      </c>
      <c r="D33" s="27">
        <v>1253</v>
      </c>
      <c r="E33" s="27">
        <v>325</v>
      </c>
      <c r="F33" s="27">
        <v>165</v>
      </c>
      <c r="G33" s="27">
        <v>256</v>
      </c>
      <c r="H33" s="77">
        <f t="shared" si="1"/>
        <v>4234</v>
      </c>
      <c r="I33" s="27">
        <v>0</v>
      </c>
      <c r="J33" s="80"/>
      <c r="K33" s="27">
        <v>28</v>
      </c>
      <c r="L33" s="27">
        <v>2</v>
      </c>
      <c r="M33" s="27">
        <v>7</v>
      </c>
      <c r="N33" s="27">
        <v>1</v>
      </c>
      <c r="O33" s="27">
        <f t="shared" si="0"/>
        <v>10</v>
      </c>
      <c r="P33" s="83">
        <f t="shared" si="2"/>
        <v>5871</v>
      </c>
    </row>
    <row r="34" spans="1:17" s="38" customFormat="1" ht="17.25" customHeight="1" thickBot="1" x14ac:dyDescent="0.35">
      <c r="A34" s="82">
        <v>29</v>
      </c>
      <c r="B34" s="27">
        <f>2981+15</f>
        <v>2996</v>
      </c>
      <c r="C34" s="27">
        <v>4</v>
      </c>
      <c r="D34" s="27">
        <v>1291</v>
      </c>
      <c r="E34" s="27">
        <v>445</v>
      </c>
      <c r="F34" s="27">
        <v>201</v>
      </c>
      <c r="G34" s="27">
        <v>274</v>
      </c>
      <c r="H34" s="77">
        <f t="shared" si="1"/>
        <v>5211</v>
      </c>
      <c r="I34" s="25">
        <v>0</v>
      </c>
      <c r="J34" s="26"/>
      <c r="K34" s="27">
        <v>29</v>
      </c>
      <c r="L34" s="27">
        <v>0</v>
      </c>
      <c r="M34" s="27">
        <v>5</v>
      </c>
      <c r="N34" s="27">
        <v>2</v>
      </c>
      <c r="O34" s="27">
        <f>SUM(L34:N34)</f>
        <v>7</v>
      </c>
      <c r="P34" s="83">
        <f t="shared" si="2"/>
        <v>5871</v>
      </c>
    </row>
    <row r="35" spans="1:17" s="38" customFormat="1" ht="17.25" customHeight="1" thickBot="1" x14ac:dyDescent="0.35">
      <c r="A35" s="82">
        <v>30</v>
      </c>
      <c r="B35" s="27">
        <f>3394+11</f>
        <v>3405</v>
      </c>
      <c r="C35" s="27">
        <v>6</v>
      </c>
      <c r="D35" s="27">
        <v>1169</v>
      </c>
      <c r="E35" s="27">
        <v>176</v>
      </c>
      <c r="F35" s="27">
        <v>206</v>
      </c>
      <c r="G35" s="27">
        <v>190</v>
      </c>
      <c r="H35" s="77">
        <f t="shared" si="1"/>
        <v>5152</v>
      </c>
      <c r="I35" s="25">
        <v>0</v>
      </c>
      <c r="J35" s="26"/>
      <c r="K35" s="27">
        <v>30</v>
      </c>
      <c r="L35" s="27">
        <v>1</v>
      </c>
      <c r="M35" s="27">
        <v>4</v>
      </c>
      <c r="N35" s="27">
        <v>1</v>
      </c>
      <c r="O35" s="27">
        <f>SUM(L35:N35)</f>
        <v>6</v>
      </c>
      <c r="P35" s="83">
        <f t="shared" si="2"/>
        <v>5871</v>
      </c>
    </row>
    <row r="36" spans="1:17" s="38" customFormat="1" ht="17.25" customHeight="1" thickBot="1" x14ac:dyDescent="0.35">
      <c r="A36" s="82">
        <v>31</v>
      </c>
      <c r="B36" s="27"/>
      <c r="C36" s="27"/>
      <c r="D36" s="27"/>
      <c r="E36" s="27"/>
      <c r="F36" s="27"/>
      <c r="G36" s="27"/>
      <c r="H36" s="77">
        <f t="shared" si="1"/>
        <v>0</v>
      </c>
      <c r="I36" s="25">
        <v>0</v>
      </c>
      <c r="J36" s="26"/>
      <c r="K36" s="27">
        <v>31</v>
      </c>
      <c r="L36" s="27"/>
      <c r="M36" s="27"/>
      <c r="N36" s="27"/>
      <c r="O36" s="27">
        <f>SUM(L36:N36)</f>
        <v>0</v>
      </c>
      <c r="P36" s="83">
        <f t="shared" si="2"/>
        <v>5871</v>
      </c>
    </row>
    <row r="37" spans="1:17" s="51" customFormat="1" ht="18" customHeight="1" thickBot="1" x14ac:dyDescent="0.35">
      <c r="A37" s="49" t="s">
        <v>18</v>
      </c>
      <c r="B37" s="67">
        <f>SUM(B6:B36)</f>
        <v>95052</v>
      </c>
      <c r="C37" s="67">
        <f t="shared" ref="C37:H37" si="3">SUM(C6:C36)</f>
        <v>111</v>
      </c>
      <c r="D37" s="67">
        <f t="shared" si="3"/>
        <v>31836</v>
      </c>
      <c r="E37" s="67">
        <f t="shared" si="3"/>
        <v>7583</v>
      </c>
      <c r="F37" s="67">
        <f t="shared" si="3"/>
        <v>5519</v>
      </c>
      <c r="G37" s="67">
        <f t="shared" si="3"/>
        <v>7019</v>
      </c>
      <c r="H37" s="67">
        <f t="shared" si="3"/>
        <v>147120</v>
      </c>
      <c r="I37" s="67">
        <f>SUM(I6:I33)</f>
        <v>0</v>
      </c>
      <c r="J37" s="54"/>
      <c r="K37" s="49" t="s">
        <v>19</v>
      </c>
      <c r="L37" s="68">
        <f>SUM(L6:L36)</f>
        <v>10</v>
      </c>
      <c r="M37" s="68">
        <f>SUM(M6:M36)</f>
        <v>328</v>
      </c>
      <c r="N37" s="68">
        <f>SUM(N6:N36)</f>
        <v>51</v>
      </c>
      <c r="O37" s="68">
        <f>SUM(O6:O36)</f>
        <v>389</v>
      </c>
      <c r="P37" s="69"/>
      <c r="Q37" s="69"/>
    </row>
    <row r="38" spans="1:17" s="51" customFormat="1" ht="18" customHeight="1" thickBot="1" x14ac:dyDescent="0.35">
      <c r="A38" s="49" t="s">
        <v>19</v>
      </c>
      <c r="B38" s="110">
        <f>+B37+C37</f>
        <v>95163</v>
      </c>
      <c r="C38" s="111"/>
      <c r="D38" s="68">
        <f t="shared" ref="D38:I38" si="4">+D37</f>
        <v>31836</v>
      </c>
      <c r="E38" s="68">
        <f t="shared" si="4"/>
        <v>7583</v>
      </c>
      <c r="F38" s="68">
        <f t="shared" si="4"/>
        <v>5519</v>
      </c>
      <c r="G38" s="68">
        <f t="shared" si="4"/>
        <v>7019</v>
      </c>
      <c r="H38" s="68">
        <f t="shared" si="4"/>
        <v>147120</v>
      </c>
      <c r="I38" s="68">
        <f t="shared" si="4"/>
        <v>0</v>
      </c>
      <c r="J38" s="54"/>
      <c r="K38" s="49" t="s">
        <v>20</v>
      </c>
      <c r="L38" s="55" t="s">
        <v>21</v>
      </c>
      <c r="M38" s="55" t="s">
        <v>22</v>
      </c>
      <c r="N38" s="55" t="s">
        <v>21</v>
      </c>
      <c r="O38" s="55" t="s">
        <v>22</v>
      </c>
      <c r="P38" s="69"/>
      <c r="Q38" s="69"/>
    </row>
  </sheetData>
  <mergeCells count="12">
    <mergeCell ref="N4:N5"/>
    <mergeCell ref="O4:O5"/>
    <mergeCell ref="B38:C38"/>
    <mergeCell ref="A1:O1"/>
    <mergeCell ref="A2:O2"/>
    <mergeCell ref="A3:O3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46CC7-8D26-4BCF-9CCD-47508BDFFD4A}">
  <dimension ref="A1:Z46"/>
  <sheetViews>
    <sheetView tabSelected="1" topLeftCell="A24" workbookViewId="0">
      <selection activeCell="G8" sqref="G8"/>
    </sheetView>
  </sheetViews>
  <sheetFormatPr baseColWidth="10" defaultColWidth="11.44140625" defaultRowHeight="14.4" x14ac:dyDescent="0.3"/>
  <cols>
    <col min="1" max="1" width="13.5546875" customWidth="1"/>
    <col min="2" max="2" width="11.33203125" customWidth="1"/>
    <col min="3" max="3" width="8.5546875" customWidth="1"/>
    <col min="4" max="4" width="18.6640625" customWidth="1"/>
    <col min="5" max="5" width="13.6640625" customWidth="1"/>
    <col min="6" max="6" width="13.33203125" customWidth="1"/>
    <col min="7" max="7" width="13.109375" customWidth="1"/>
    <col min="8" max="8" width="17.109375" customWidth="1"/>
    <col min="9" max="9" width="14.44140625" bestFit="1" customWidth="1"/>
    <col min="10" max="10" width="3.88671875" customWidth="1"/>
    <col min="11" max="11" width="10.6640625" customWidth="1"/>
    <col min="12" max="12" width="14.88671875" customWidth="1"/>
    <col min="13" max="13" width="15.88671875" customWidth="1"/>
    <col min="14" max="14" width="10.109375" customWidth="1"/>
    <col min="15" max="15" width="9.88671875" customWidth="1"/>
  </cols>
  <sheetData>
    <row r="1" spans="1:19" ht="15.6" x14ac:dyDescent="0.3">
      <c r="A1" s="100" t="s">
        <v>23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19" ht="15.6" x14ac:dyDescent="0.3">
      <c r="A2" s="100" t="s">
        <v>25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</row>
    <row r="3" spans="1:19" ht="15.6" x14ac:dyDescent="0.3">
      <c r="A3" s="101" t="s">
        <v>36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</row>
    <row r="4" spans="1:19" ht="78" customHeight="1" x14ac:dyDescent="0.3">
      <c r="A4" s="120" t="s">
        <v>0</v>
      </c>
      <c r="B4" s="118" t="s">
        <v>1</v>
      </c>
      <c r="C4" s="118"/>
      <c r="D4" s="85" t="s">
        <v>2</v>
      </c>
      <c r="E4" s="85" t="s">
        <v>3</v>
      </c>
      <c r="F4" s="85" t="s">
        <v>4</v>
      </c>
      <c r="G4" s="85" t="s">
        <v>5</v>
      </c>
      <c r="H4" s="118" t="s">
        <v>6</v>
      </c>
      <c r="I4" s="118" t="s">
        <v>7</v>
      </c>
      <c r="J4" s="86"/>
      <c r="K4" s="122" t="s">
        <v>0</v>
      </c>
      <c r="L4" s="118" t="s">
        <v>8</v>
      </c>
      <c r="M4" s="118" t="s">
        <v>9</v>
      </c>
      <c r="N4" s="118" t="s">
        <v>10</v>
      </c>
      <c r="O4" s="118" t="s">
        <v>11</v>
      </c>
    </row>
    <row r="5" spans="1:19" ht="18" customHeight="1" x14ac:dyDescent="0.3">
      <c r="A5" s="121"/>
      <c r="B5" s="87" t="s">
        <v>12</v>
      </c>
      <c r="C5" s="87" t="s">
        <v>13</v>
      </c>
      <c r="D5" s="87" t="s">
        <v>14</v>
      </c>
      <c r="E5" s="87" t="s">
        <v>15</v>
      </c>
      <c r="F5" s="87" t="s">
        <v>16</v>
      </c>
      <c r="G5" s="87" t="s">
        <v>17</v>
      </c>
      <c r="H5" s="118"/>
      <c r="I5" s="118"/>
      <c r="J5" s="86"/>
      <c r="K5" s="122"/>
      <c r="L5" s="118"/>
      <c r="M5" s="118"/>
      <c r="N5" s="118"/>
      <c r="O5" s="118"/>
    </row>
    <row r="6" spans="1:19" ht="18" customHeight="1" thickBot="1" x14ac:dyDescent="0.35">
      <c r="A6" s="88">
        <v>1</v>
      </c>
      <c r="B6" s="89">
        <v>4477</v>
      </c>
      <c r="C6" s="89">
        <v>2</v>
      </c>
      <c r="D6" s="89">
        <v>876</v>
      </c>
      <c r="E6" s="89">
        <v>78</v>
      </c>
      <c r="F6" s="89">
        <v>101</v>
      </c>
      <c r="G6" s="89">
        <v>176</v>
      </c>
      <c r="H6" s="89">
        <f>SUM(B6:G6)</f>
        <v>5710</v>
      </c>
      <c r="I6" s="89">
        <v>0</v>
      </c>
      <c r="J6" s="90"/>
      <c r="K6" s="89">
        <v>1</v>
      </c>
      <c r="L6" s="89">
        <v>0</v>
      </c>
      <c r="M6" s="89">
        <v>0</v>
      </c>
      <c r="N6" s="89">
        <v>2</v>
      </c>
      <c r="O6" s="89">
        <f>SUM(L6:N6)</f>
        <v>2</v>
      </c>
      <c r="P6" s="83">
        <v>5871</v>
      </c>
    </row>
    <row r="7" spans="1:19" ht="18" customHeight="1" thickTop="1" thickBot="1" x14ac:dyDescent="0.35">
      <c r="A7" s="88">
        <v>2</v>
      </c>
      <c r="B7" s="89">
        <v>2273</v>
      </c>
      <c r="C7" s="89">
        <v>1</v>
      </c>
      <c r="D7" s="89">
        <v>1172</v>
      </c>
      <c r="E7" s="89">
        <v>317</v>
      </c>
      <c r="F7" s="89">
        <v>203</v>
      </c>
      <c r="G7" s="89">
        <v>273</v>
      </c>
      <c r="H7" s="89">
        <f>SUM(B7:G7)</f>
        <v>4239</v>
      </c>
      <c r="I7" s="89">
        <v>0</v>
      </c>
      <c r="J7" s="90"/>
      <c r="K7" s="89">
        <v>2</v>
      </c>
      <c r="L7" s="89">
        <v>1</v>
      </c>
      <c r="M7" s="89">
        <v>4</v>
      </c>
      <c r="N7" s="89">
        <v>1</v>
      </c>
      <c r="O7" s="89">
        <f t="shared" ref="O7:O33" si="0">SUM(L7:N7)</f>
        <v>6</v>
      </c>
      <c r="P7" s="83">
        <f>+P6</f>
        <v>5871</v>
      </c>
    </row>
    <row r="8" spans="1:19" ht="18" customHeight="1" thickTop="1" thickBot="1" x14ac:dyDescent="0.35">
      <c r="A8" s="88">
        <v>3</v>
      </c>
      <c r="B8" s="89">
        <f>2164+17</f>
        <v>2181</v>
      </c>
      <c r="C8" s="89">
        <v>1</v>
      </c>
      <c r="D8" s="89">
        <v>1311</v>
      </c>
      <c r="E8" s="89">
        <v>316</v>
      </c>
      <c r="F8" s="89">
        <v>187</v>
      </c>
      <c r="G8" s="89">
        <v>259</v>
      </c>
      <c r="H8" s="89">
        <f t="shared" ref="H8:H36" si="1">SUM(B8:G8)</f>
        <v>4255</v>
      </c>
      <c r="I8" s="89">
        <v>0</v>
      </c>
      <c r="J8" s="90"/>
      <c r="K8" s="89">
        <v>3</v>
      </c>
      <c r="L8" s="89">
        <v>0</v>
      </c>
      <c r="M8" s="89">
        <v>8</v>
      </c>
      <c r="N8" s="89">
        <v>0</v>
      </c>
      <c r="O8" s="89">
        <f t="shared" si="0"/>
        <v>8</v>
      </c>
      <c r="P8" s="83">
        <f t="shared" ref="P8:P36" si="2">+P7</f>
        <v>5871</v>
      </c>
      <c r="S8" s="37"/>
    </row>
    <row r="9" spans="1:19" ht="18" customHeight="1" thickTop="1" thickBot="1" x14ac:dyDescent="0.35">
      <c r="A9" s="88">
        <v>4</v>
      </c>
      <c r="B9" s="89">
        <f>2459+19</f>
        <v>2478</v>
      </c>
      <c r="C9" s="89">
        <v>8</v>
      </c>
      <c r="D9" s="89">
        <v>1287</v>
      </c>
      <c r="E9" s="89">
        <v>325</v>
      </c>
      <c r="F9" s="89">
        <v>196</v>
      </c>
      <c r="G9" s="89">
        <v>332</v>
      </c>
      <c r="H9" s="89">
        <f t="shared" si="1"/>
        <v>4626</v>
      </c>
      <c r="I9" s="89">
        <v>0</v>
      </c>
      <c r="J9" s="90"/>
      <c r="K9" s="89">
        <v>4</v>
      </c>
      <c r="L9" s="89">
        <v>0</v>
      </c>
      <c r="M9" s="89">
        <v>11</v>
      </c>
      <c r="N9" s="89">
        <v>2</v>
      </c>
      <c r="O9" s="89">
        <f t="shared" si="0"/>
        <v>13</v>
      </c>
      <c r="P9" s="83">
        <f t="shared" si="2"/>
        <v>5871</v>
      </c>
    </row>
    <row r="10" spans="1:19" ht="18" customHeight="1" thickTop="1" thickBot="1" x14ac:dyDescent="0.35">
      <c r="A10" s="88">
        <v>5</v>
      </c>
      <c r="B10" s="89">
        <f>2509+15</f>
        <v>2524</v>
      </c>
      <c r="C10" s="89">
        <v>6</v>
      </c>
      <c r="D10" s="89">
        <f>1266+9</f>
        <v>1275</v>
      </c>
      <c r="E10" s="89">
        <f>293+114</f>
        <v>407</v>
      </c>
      <c r="F10" s="89">
        <v>211</v>
      </c>
      <c r="G10" s="89">
        <v>334</v>
      </c>
      <c r="H10" s="89">
        <f t="shared" si="1"/>
        <v>4757</v>
      </c>
      <c r="I10" s="89">
        <v>0</v>
      </c>
      <c r="J10" s="90"/>
      <c r="K10" s="89">
        <v>5</v>
      </c>
      <c r="L10" s="89">
        <v>0</v>
      </c>
      <c r="M10" s="89">
        <v>17</v>
      </c>
      <c r="N10" s="89">
        <v>2</v>
      </c>
      <c r="O10" s="89">
        <f t="shared" si="0"/>
        <v>19</v>
      </c>
      <c r="P10" s="83">
        <f t="shared" si="2"/>
        <v>5871</v>
      </c>
    </row>
    <row r="11" spans="1:19" ht="18" customHeight="1" thickTop="1" thickBot="1" x14ac:dyDescent="0.35">
      <c r="A11" s="88">
        <v>6</v>
      </c>
      <c r="B11" s="89">
        <f>3744+23</f>
        <v>3767</v>
      </c>
      <c r="C11" s="89">
        <v>4</v>
      </c>
      <c r="D11" s="89">
        <v>1344</v>
      </c>
      <c r="E11" s="89">
        <v>251</v>
      </c>
      <c r="F11" s="89">
        <v>204</v>
      </c>
      <c r="G11" s="89">
        <v>278</v>
      </c>
      <c r="H11" s="89">
        <f t="shared" si="1"/>
        <v>5848</v>
      </c>
      <c r="I11" s="89">
        <v>0</v>
      </c>
      <c r="J11" s="90"/>
      <c r="K11" s="89">
        <v>6</v>
      </c>
      <c r="L11" s="89">
        <v>0</v>
      </c>
      <c r="M11" s="89">
        <v>5</v>
      </c>
      <c r="N11" s="89">
        <v>0</v>
      </c>
      <c r="O11" s="89">
        <f t="shared" si="0"/>
        <v>5</v>
      </c>
      <c r="P11" s="83">
        <f t="shared" si="2"/>
        <v>5871</v>
      </c>
    </row>
    <row r="12" spans="1:19" ht="18" customHeight="1" thickTop="1" thickBot="1" x14ac:dyDescent="0.35">
      <c r="A12" s="88">
        <v>7</v>
      </c>
      <c r="B12" s="89">
        <f>3605+20</f>
        <v>3625</v>
      </c>
      <c r="C12" s="89">
        <v>2</v>
      </c>
      <c r="D12" s="89">
        <v>821</v>
      </c>
      <c r="E12" s="89">
        <v>73</v>
      </c>
      <c r="F12" s="89">
        <v>130</v>
      </c>
      <c r="G12" s="89">
        <v>118</v>
      </c>
      <c r="H12" s="89">
        <f t="shared" si="1"/>
        <v>4769</v>
      </c>
      <c r="I12" s="89">
        <v>0</v>
      </c>
      <c r="J12" s="91"/>
      <c r="K12" s="89">
        <v>7</v>
      </c>
      <c r="L12" s="89">
        <v>0</v>
      </c>
      <c r="M12" s="89">
        <v>0</v>
      </c>
      <c r="N12" s="89">
        <v>0</v>
      </c>
      <c r="O12" s="89">
        <f t="shared" si="0"/>
        <v>0</v>
      </c>
      <c r="P12" s="83">
        <f t="shared" si="2"/>
        <v>5871</v>
      </c>
    </row>
    <row r="13" spans="1:19" ht="18" customHeight="1" thickTop="1" thickBot="1" x14ac:dyDescent="0.35">
      <c r="A13" s="88">
        <v>8</v>
      </c>
      <c r="B13" s="89">
        <v>4943</v>
      </c>
      <c r="C13" s="89">
        <v>0</v>
      </c>
      <c r="D13" s="89">
        <v>799</v>
      </c>
      <c r="E13" s="89">
        <v>93</v>
      </c>
      <c r="F13" s="89">
        <v>99</v>
      </c>
      <c r="G13" s="89">
        <v>150</v>
      </c>
      <c r="H13" s="89">
        <f t="shared" si="1"/>
        <v>6084</v>
      </c>
      <c r="I13" s="89">
        <v>0</v>
      </c>
      <c r="J13" s="91"/>
      <c r="K13" s="89">
        <v>8</v>
      </c>
      <c r="L13" s="89">
        <v>0</v>
      </c>
      <c r="M13" s="89">
        <v>2</v>
      </c>
      <c r="N13" s="89">
        <v>0</v>
      </c>
      <c r="O13" s="89">
        <f t="shared" si="0"/>
        <v>2</v>
      </c>
      <c r="P13" s="83">
        <f t="shared" si="2"/>
        <v>5871</v>
      </c>
    </row>
    <row r="14" spans="1:19" s="51" customFormat="1" ht="18" customHeight="1" thickTop="1" thickBot="1" x14ac:dyDescent="0.35">
      <c r="A14" s="88">
        <v>9</v>
      </c>
      <c r="B14" s="89">
        <f>2739+24</f>
        <v>2763</v>
      </c>
      <c r="C14" s="89">
        <v>0</v>
      </c>
      <c r="D14" s="89">
        <v>1204</v>
      </c>
      <c r="E14" s="89">
        <v>291</v>
      </c>
      <c r="F14" s="89">
        <v>201</v>
      </c>
      <c r="G14" s="89">
        <v>299</v>
      </c>
      <c r="H14" s="89">
        <f t="shared" si="1"/>
        <v>4758</v>
      </c>
      <c r="I14" s="89">
        <v>0</v>
      </c>
      <c r="J14" s="91"/>
      <c r="K14" s="89">
        <v>9</v>
      </c>
      <c r="L14" s="89">
        <v>0</v>
      </c>
      <c r="M14" s="89">
        <v>6</v>
      </c>
      <c r="N14" s="89">
        <v>0</v>
      </c>
      <c r="O14" s="89">
        <f t="shared" si="0"/>
        <v>6</v>
      </c>
      <c r="P14" s="84">
        <f t="shared" si="2"/>
        <v>5871</v>
      </c>
    </row>
    <row r="15" spans="1:19" ht="18" customHeight="1" thickTop="1" thickBot="1" x14ac:dyDescent="0.35">
      <c r="A15" s="88">
        <v>10</v>
      </c>
      <c r="B15" s="89">
        <f>2463+20</f>
        <v>2483</v>
      </c>
      <c r="C15" s="89">
        <v>2</v>
      </c>
      <c r="D15" s="89">
        <v>1286</v>
      </c>
      <c r="E15" s="89">
        <v>268</v>
      </c>
      <c r="F15" s="89">
        <v>201</v>
      </c>
      <c r="G15" s="89">
        <v>282</v>
      </c>
      <c r="H15" s="89">
        <f t="shared" si="1"/>
        <v>4522</v>
      </c>
      <c r="I15" s="89">
        <v>0</v>
      </c>
      <c r="J15" s="91"/>
      <c r="K15" s="89">
        <v>10</v>
      </c>
      <c r="L15" s="89">
        <v>0</v>
      </c>
      <c r="M15" s="89">
        <v>7</v>
      </c>
      <c r="N15" s="89">
        <v>3</v>
      </c>
      <c r="O15" s="89">
        <f t="shared" si="0"/>
        <v>10</v>
      </c>
      <c r="P15" s="83">
        <f t="shared" si="2"/>
        <v>5871</v>
      </c>
    </row>
    <row r="16" spans="1:19" ht="18" customHeight="1" thickTop="1" thickBot="1" x14ac:dyDescent="0.35">
      <c r="A16" s="88">
        <v>11</v>
      </c>
      <c r="B16" s="89">
        <f>2596+28</f>
        <v>2624</v>
      </c>
      <c r="C16" s="89">
        <v>2</v>
      </c>
      <c r="D16" s="89">
        <v>1353</v>
      </c>
      <c r="E16" s="89">
        <v>274</v>
      </c>
      <c r="F16" s="89">
        <v>198</v>
      </c>
      <c r="G16" s="89">
        <v>269</v>
      </c>
      <c r="H16" s="89">
        <f t="shared" si="1"/>
        <v>4720</v>
      </c>
      <c r="I16" s="89">
        <v>0</v>
      </c>
      <c r="J16" s="91"/>
      <c r="K16" s="89">
        <v>11</v>
      </c>
      <c r="L16" s="89">
        <v>1</v>
      </c>
      <c r="M16" s="89">
        <v>13</v>
      </c>
      <c r="N16" s="89">
        <v>2</v>
      </c>
      <c r="O16" s="89">
        <f t="shared" si="0"/>
        <v>16</v>
      </c>
      <c r="P16" s="83">
        <f t="shared" si="2"/>
        <v>5871</v>
      </c>
      <c r="Q16" s="38"/>
    </row>
    <row r="17" spans="1:26" ht="18" customHeight="1" thickTop="1" thickBot="1" x14ac:dyDescent="0.35">
      <c r="A17" s="88">
        <v>12</v>
      </c>
      <c r="B17" s="89">
        <f>2739+29</f>
        <v>2768</v>
      </c>
      <c r="C17" s="89">
        <v>4</v>
      </c>
      <c r="D17" s="89">
        <v>1365</v>
      </c>
      <c r="E17" s="89">
        <v>268</v>
      </c>
      <c r="F17" s="89">
        <v>219</v>
      </c>
      <c r="G17" s="89">
        <v>315</v>
      </c>
      <c r="H17" s="89">
        <f t="shared" si="1"/>
        <v>4939</v>
      </c>
      <c r="I17" s="89">
        <v>0</v>
      </c>
      <c r="J17" s="91"/>
      <c r="K17" s="89">
        <v>12</v>
      </c>
      <c r="L17" s="89">
        <v>0</v>
      </c>
      <c r="M17" s="89">
        <v>13</v>
      </c>
      <c r="N17" s="89">
        <v>4</v>
      </c>
      <c r="O17" s="89">
        <f t="shared" si="0"/>
        <v>17</v>
      </c>
      <c r="P17" s="83">
        <f t="shared" si="2"/>
        <v>5871</v>
      </c>
    </row>
    <row r="18" spans="1:26" ht="18" customHeight="1" thickTop="1" thickBot="1" x14ac:dyDescent="0.35">
      <c r="A18" s="88">
        <v>13</v>
      </c>
      <c r="B18" s="89">
        <f>3516+24</f>
        <v>3540</v>
      </c>
      <c r="C18" s="89">
        <v>4</v>
      </c>
      <c r="D18" s="89">
        <v>1321</v>
      </c>
      <c r="E18" s="89">
        <f>208+16</f>
        <v>224</v>
      </c>
      <c r="F18" s="89">
        <v>197</v>
      </c>
      <c r="G18" s="89">
        <v>276</v>
      </c>
      <c r="H18" s="89">
        <f t="shared" si="1"/>
        <v>5562</v>
      </c>
      <c r="I18" s="89">
        <v>0</v>
      </c>
      <c r="J18" s="91"/>
      <c r="K18" s="89">
        <v>13</v>
      </c>
      <c r="L18" s="89">
        <v>0</v>
      </c>
      <c r="M18" s="89">
        <v>3</v>
      </c>
      <c r="N18" s="89">
        <v>1</v>
      </c>
      <c r="O18" s="89">
        <f t="shared" si="0"/>
        <v>4</v>
      </c>
      <c r="P18" s="83">
        <f t="shared" si="2"/>
        <v>5871</v>
      </c>
    </row>
    <row r="19" spans="1:26" ht="18" customHeight="1" thickTop="1" thickBot="1" x14ac:dyDescent="0.35">
      <c r="A19" s="88">
        <v>14</v>
      </c>
      <c r="B19" s="89">
        <f>4358+10</f>
        <v>4368</v>
      </c>
      <c r="C19" s="89"/>
      <c r="D19" s="89">
        <v>1123</v>
      </c>
      <c r="E19" s="89">
        <v>125</v>
      </c>
      <c r="F19" s="89">
        <v>193</v>
      </c>
      <c r="G19" s="89">
        <v>248</v>
      </c>
      <c r="H19" s="89">
        <f t="shared" si="1"/>
        <v>6057</v>
      </c>
      <c r="I19" s="89">
        <v>0</v>
      </c>
      <c r="J19" s="91"/>
      <c r="K19" s="89">
        <v>14</v>
      </c>
      <c r="L19" s="89">
        <v>0</v>
      </c>
      <c r="M19" s="89">
        <v>3</v>
      </c>
      <c r="N19" s="89">
        <v>1</v>
      </c>
      <c r="O19" s="89">
        <f t="shared" si="0"/>
        <v>4</v>
      </c>
      <c r="P19" s="83">
        <f t="shared" si="2"/>
        <v>5871</v>
      </c>
    </row>
    <row r="20" spans="1:26" ht="18" customHeight="1" thickTop="1" thickBot="1" x14ac:dyDescent="0.35">
      <c r="A20" s="88">
        <v>15</v>
      </c>
      <c r="B20" s="89">
        <f>4966+7</f>
        <v>4973</v>
      </c>
      <c r="C20" s="89">
        <v>4</v>
      </c>
      <c r="D20" s="89">
        <v>883</v>
      </c>
      <c r="E20" s="89">
        <v>92</v>
      </c>
      <c r="F20" s="89">
        <v>109</v>
      </c>
      <c r="G20" s="89">
        <v>178</v>
      </c>
      <c r="H20" s="89">
        <f t="shared" si="1"/>
        <v>6239</v>
      </c>
      <c r="I20" s="89">
        <v>0</v>
      </c>
      <c r="J20" s="91"/>
      <c r="K20" s="89">
        <v>15</v>
      </c>
      <c r="L20" s="89">
        <v>0</v>
      </c>
      <c r="M20" s="89">
        <v>2</v>
      </c>
      <c r="N20" s="89">
        <v>1</v>
      </c>
      <c r="O20" s="89">
        <f t="shared" si="0"/>
        <v>3</v>
      </c>
      <c r="P20" s="83">
        <f t="shared" si="2"/>
        <v>5871</v>
      </c>
    </row>
    <row r="21" spans="1:26" ht="18" customHeight="1" thickTop="1" thickBot="1" x14ac:dyDescent="0.35">
      <c r="A21" s="88">
        <v>16</v>
      </c>
      <c r="B21" s="89">
        <f>2798+24</f>
        <v>2822</v>
      </c>
      <c r="C21" s="89">
        <v>2</v>
      </c>
      <c r="D21" s="89">
        <v>1176</v>
      </c>
      <c r="E21" s="89">
        <v>183</v>
      </c>
      <c r="F21" s="89">
        <v>182</v>
      </c>
      <c r="G21" s="89">
        <v>284</v>
      </c>
      <c r="H21" s="89">
        <f t="shared" si="1"/>
        <v>4649</v>
      </c>
      <c r="I21" s="89">
        <v>0</v>
      </c>
      <c r="J21" s="91"/>
      <c r="K21" s="89">
        <v>16</v>
      </c>
      <c r="L21" s="89">
        <v>0</v>
      </c>
      <c r="M21" s="89">
        <v>5</v>
      </c>
      <c r="N21" s="89">
        <v>2</v>
      </c>
      <c r="O21" s="89">
        <f t="shared" si="0"/>
        <v>7</v>
      </c>
      <c r="P21" s="83">
        <f>+P20</f>
        <v>5871</v>
      </c>
    </row>
    <row r="22" spans="1:26" ht="18" customHeight="1" thickTop="1" thickBot="1" x14ac:dyDescent="0.35">
      <c r="A22" s="88">
        <v>17</v>
      </c>
      <c r="B22" s="89">
        <f>2712+41</f>
        <v>2753</v>
      </c>
      <c r="C22" s="89">
        <v>1</v>
      </c>
      <c r="D22" s="89">
        <v>1284</v>
      </c>
      <c r="E22" s="89">
        <v>240</v>
      </c>
      <c r="F22" s="89">
        <v>184</v>
      </c>
      <c r="G22" s="89">
        <v>315</v>
      </c>
      <c r="H22" s="89">
        <f>SUM(B22:G22)</f>
        <v>4777</v>
      </c>
      <c r="I22" s="89">
        <v>0</v>
      </c>
      <c r="J22" s="91"/>
      <c r="K22" s="89">
        <v>17</v>
      </c>
      <c r="L22" s="89">
        <v>1</v>
      </c>
      <c r="M22" s="89">
        <v>10</v>
      </c>
      <c r="N22" s="89">
        <v>1</v>
      </c>
      <c r="O22" s="89">
        <f t="shared" si="0"/>
        <v>12</v>
      </c>
      <c r="P22" s="83">
        <f t="shared" si="2"/>
        <v>5871</v>
      </c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spans="1:26" ht="18" customHeight="1" thickTop="1" thickBot="1" x14ac:dyDescent="0.35">
      <c r="A23" s="88">
        <v>18</v>
      </c>
      <c r="B23" s="89">
        <f>2911+26</f>
        <v>2937</v>
      </c>
      <c r="C23" s="89">
        <v>4</v>
      </c>
      <c r="D23" s="89">
        <v>1320</v>
      </c>
      <c r="E23" s="89">
        <v>265</v>
      </c>
      <c r="F23" s="89">
        <v>212</v>
      </c>
      <c r="G23" s="89">
        <v>299</v>
      </c>
      <c r="H23" s="89">
        <f t="shared" si="1"/>
        <v>5037</v>
      </c>
      <c r="I23" s="89">
        <v>0</v>
      </c>
      <c r="J23" s="91"/>
      <c r="K23" s="89">
        <v>18</v>
      </c>
      <c r="L23" s="89">
        <v>1</v>
      </c>
      <c r="M23" s="89">
        <v>9</v>
      </c>
      <c r="N23" s="89">
        <v>5</v>
      </c>
      <c r="O23" s="89">
        <f t="shared" si="0"/>
        <v>15</v>
      </c>
      <c r="P23" s="83">
        <f t="shared" si="2"/>
        <v>5871</v>
      </c>
    </row>
    <row r="24" spans="1:26" s="38" customFormat="1" ht="18" customHeight="1" thickTop="1" thickBot="1" x14ac:dyDescent="0.3">
      <c r="A24" s="88">
        <v>19</v>
      </c>
      <c r="B24" s="89">
        <f>3522+30</f>
        <v>3552</v>
      </c>
      <c r="C24" s="89">
        <v>4</v>
      </c>
      <c r="D24" s="89">
        <v>1410</v>
      </c>
      <c r="E24" s="89">
        <v>202</v>
      </c>
      <c r="F24" s="89">
        <v>209</v>
      </c>
      <c r="G24" s="89">
        <v>334</v>
      </c>
      <c r="H24" s="89">
        <f t="shared" si="1"/>
        <v>5711</v>
      </c>
      <c r="I24" s="89">
        <v>0</v>
      </c>
      <c r="J24" s="91"/>
      <c r="K24" s="89">
        <v>19</v>
      </c>
      <c r="L24" s="89">
        <v>1</v>
      </c>
      <c r="M24" s="89">
        <v>12</v>
      </c>
      <c r="N24" s="89">
        <v>4</v>
      </c>
      <c r="O24" s="89">
        <f t="shared" si="0"/>
        <v>17</v>
      </c>
      <c r="P24" s="83">
        <f t="shared" si="2"/>
        <v>5871</v>
      </c>
    </row>
    <row r="25" spans="1:26" ht="18" customHeight="1" thickTop="1" thickBot="1" x14ac:dyDescent="0.35">
      <c r="A25" s="88">
        <v>20</v>
      </c>
      <c r="B25" s="89">
        <f>5748+31</f>
        <v>5779</v>
      </c>
      <c r="C25" s="89">
        <v>4</v>
      </c>
      <c r="D25" s="89">
        <v>1426</v>
      </c>
      <c r="E25" s="89">
        <v>161</v>
      </c>
      <c r="F25" s="89">
        <v>198</v>
      </c>
      <c r="G25" s="89">
        <v>269</v>
      </c>
      <c r="H25" s="89">
        <f t="shared" si="1"/>
        <v>7837</v>
      </c>
      <c r="I25" s="89">
        <v>0</v>
      </c>
      <c r="J25" s="91"/>
      <c r="K25" s="89">
        <v>20</v>
      </c>
      <c r="L25" s="89">
        <v>1</v>
      </c>
      <c r="M25" s="89">
        <v>9</v>
      </c>
      <c r="N25" s="89">
        <v>7</v>
      </c>
      <c r="O25" s="89">
        <f t="shared" si="0"/>
        <v>17</v>
      </c>
      <c r="P25" s="83">
        <f t="shared" si="2"/>
        <v>5871</v>
      </c>
    </row>
    <row r="26" spans="1:26" ht="18" customHeight="1" thickTop="1" thickBot="1" x14ac:dyDescent="0.35">
      <c r="A26" s="88">
        <v>21</v>
      </c>
      <c r="B26" s="89">
        <f>6946+27</f>
        <v>6973</v>
      </c>
      <c r="C26" s="89">
        <v>2</v>
      </c>
      <c r="D26" s="89">
        <v>1036</v>
      </c>
      <c r="E26" s="89">
        <v>70</v>
      </c>
      <c r="F26" s="89">
        <v>135</v>
      </c>
      <c r="G26" s="89">
        <v>121</v>
      </c>
      <c r="H26" s="89">
        <f t="shared" si="1"/>
        <v>8337</v>
      </c>
      <c r="I26" s="89">
        <v>0</v>
      </c>
      <c r="J26" s="91"/>
      <c r="K26" s="89">
        <v>21</v>
      </c>
      <c r="L26" s="89">
        <v>0</v>
      </c>
      <c r="M26" s="89">
        <v>2</v>
      </c>
      <c r="N26" s="89">
        <v>0</v>
      </c>
      <c r="O26" s="89">
        <f t="shared" si="0"/>
        <v>2</v>
      </c>
      <c r="P26" s="83">
        <f t="shared" si="2"/>
        <v>5871</v>
      </c>
    </row>
    <row r="27" spans="1:26" ht="18" customHeight="1" thickTop="1" thickBot="1" x14ac:dyDescent="0.35">
      <c r="A27" s="88">
        <v>22</v>
      </c>
      <c r="B27" s="89">
        <f>6600+9</f>
        <v>6609</v>
      </c>
      <c r="C27" s="89">
        <v>8</v>
      </c>
      <c r="D27" s="89">
        <v>1283</v>
      </c>
      <c r="E27" s="89">
        <v>118</v>
      </c>
      <c r="F27" s="89">
        <v>169</v>
      </c>
      <c r="G27" s="89">
        <v>183</v>
      </c>
      <c r="H27" s="89">
        <f t="shared" si="1"/>
        <v>8370</v>
      </c>
      <c r="I27" s="89">
        <v>0</v>
      </c>
      <c r="J27" s="91"/>
      <c r="K27" s="89">
        <v>22</v>
      </c>
      <c r="L27" s="89"/>
      <c r="M27" s="89">
        <v>2</v>
      </c>
      <c r="N27" s="89"/>
      <c r="O27" s="89">
        <f t="shared" si="0"/>
        <v>2</v>
      </c>
      <c r="P27" s="83">
        <f t="shared" si="2"/>
        <v>5871</v>
      </c>
    </row>
    <row r="28" spans="1:26" ht="18" customHeight="1" thickTop="1" thickBot="1" x14ac:dyDescent="0.35">
      <c r="A28" s="88">
        <v>23</v>
      </c>
      <c r="B28" s="89">
        <f>5140+23</f>
        <v>5163</v>
      </c>
      <c r="C28" s="89">
        <v>5</v>
      </c>
      <c r="D28" s="89">
        <v>1202</v>
      </c>
      <c r="E28" s="89">
        <v>122</v>
      </c>
      <c r="F28" s="89">
        <v>171</v>
      </c>
      <c r="G28" s="89">
        <v>216</v>
      </c>
      <c r="H28" s="89">
        <f t="shared" si="1"/>
        <v>6879</v>
      </c>
      <c r="I28" s="89">
        <v>0</v>
      </c>
      <c r="J28" s="91"/>
      <c r="K28" s="89">
        <v>23</v>
      </c>
      <c r="L28" s="89">
        <v>0</v>
      </c>
      <c r="M28" s="89">
        <v>8</v>
      </c>
      <c r="N28" s="89"/>
      <c r="O28" s="89">
        <f t="shared" si="0"/>
        <v>8</v>
      </c>
      <c r="P28" s="83">
        <f t="shared" si="2"/>
        <v>5871</v>
      </c>
    </row>
    <row r="29" spans="1:26" ht="18" customHeight="1" thickTop="1" thickBot="1" x14ac:dyDescent="0.35">
      <c r="A29" s="88">
        <v>24</v>
      </c>
      <c r="B29" s="89">
        <f>4025+17</f>
        <v>4042</v>
      </c>
      <c r="C29" s="89">
        <v>0</v>
      </c>
      <c r="D29" s="89">
        <v>691</v>
      </c>
      <c r="E29" s="89">
        <v>29</v>
      </c>
      <c r="F29" s="89">
        <v>66</v>
      </c>
      <c r="G29" s="89">
        <v>59</v>
      </c>
      <c r="H29" s="89">
        <f t="shared" si="1"/>
        <v>4887</v>
      </c>
      <c r="I29" s="89">
        <v>0</v>
      </c>
      <c r="J29" s="91"/>
      <c r="K29" s="89">
        <v>24</v>
      </c>
      <c r="L29" s="89">
        <v>0</v>
      </c>
      <c r="M29" s="89">
        <v>0</v>
      </c>
      <c r="N29" s="89">
        <v>2</v>
      </c>
      <c r="O29" s="89">
        <f t="shared" si="0"/>
        <v>2</v>
      </c>
      <c r="P29" s="83">
        <f t="shared" si="2"/>
        <v>5871</v>
      </c>
    </row>
    <row r="30" spans="1:26" s="38" customFormat="1" ht="18" customHeight="1" thickTop="1" thickBot="1" x14ac:dyDescent="0.3">
      <c r="A30" s="88">
        <v>25</v>
      </c>
      <c r="B30" s="89">
        <f>6587+10</f>
        <v>6597</v>
      </c>
      <c r="C30" s="89">
        <v>0</v>
      </c>
      <c r="D30" s="89">
        <v>542</v>
      </c>
      <c r="E30" s="89">
        <v>42</v>
      </c>
      <c r="F30" s="89">
        <v>37</v>
      </c>
      <c r="G30" s="89">
        <v>94</v>
      </c>
      <c r="H30" s="89">
        <f t="shared" si="1"/>
        <v>7312</v>
      </c>
      <c r="I30" s="89">
        <v>0</v>
      </c>
      <c r="J30" s="91"/>
      <c r="K30" s="89">
        <v>25</v>
      </c>
      <c r="L30" s="89">
        <v>0</v>
      </c>
      <c r="M30" s="89">
        <v>6</v>
      </c>
      <c r="N30" s="89">
        <v>1</v>
      </c>
      <c r="O30" s="89">
        <f t="shared" si="0"/>
        <v>7</v>
      </c>
      <c r="P30" s="83">
        <f t="shared" si="2"/>
        <v>5871</v>
      </c>
    </row>
    <row r="31" spans="1:26" ht="18" customHeight="1" thickTop="1" thickBot="1" x14ac:dyDescent="0.35">
      <c r="A31" s="88">
        <v>26</v>
      </c>
      <c r="B31" s="89">
        <f>6642+23</f>
        <v>6665</v>
      </c>
      <c r="C31" s="89">
        <v>2</v>
      </c>
      <c r="D31" s="89">
        <v>1195</v>
      </c>
      <c r="E31" s="89">
        <v>111</v>
      </c>
      <c r="F31" s="89">
        <v>173</v>
      </c>
      <c r="G31" s="89">
        <v>274</v>
      </c>
      <c r="H31" s="89">
        <f t="shared" si="1"/>
        <v>8420</v>
      </c>
      <c r="I31" s="89">
        <v>0</v>
      </c>
      <c r="J31" s="91"/>
      <c r="K31" s="89">
        <v>26</v>
      </c>
      <c r="L31" s="89">
        <v>0</v>
      </c>
      <c r="M31" s="89">
        <v>7</v>
      </c>
      <c r="N31" s="89">
        <v>3</v>
      </c>
      <c r="O31" s="89">
        <f t="shared" si="0"/>
        <v>10</v>
      </c>
      <c r="P31" s="83">
        <f t="shared" si="2"/>
        <v>5871</v>
      </c>
    </row>
    <row r="32" spans="1:26" ht="18" customHeight="1" thickTop="1" thickBot="1" x14ac:dyDescent="0.35">
      <c r="A32" s="88">
        <v>27</v>
      </c>
      <c r="B32" s="89">
        <f>9051+25</f>
        <v>9076</v>
      </c>
      <c r="C32" s="89">
        <v>5</v>
      </c>
      <c r="D32" s="89">
        <v>1273</v>
      </c>
      <c r="E32" s="89">
        <v>133</v>
      </c>
      <c r="F32" s="89">
        <v>172</v>
      </c>
      <c r="G32" s="89">
        <v>188</v>
      </c>
      <c r="H32" s="89">
        <f t="shared" si="1"/>
        <v>10847</v>
      </c>
      <c r="I32" s="89">
        <v>0</v>
      </c>
      <c r="J32" s="91"/>
      <c r="K32" s="89">
        <v>27</v>
      </c>
      <c r="L32" s="89">
        <v>0</v>
      </c>
      <c r="M32" s="89">
        <v>3</v>
      </c>
      <c r="N32" s="89">
        <v>0</v>
      </c>
      <c r="O32" s="89">
        <f t="shared" si="0"/>
        <v>3</v>
      </c>
      <c r="P32" s="83">
        <f t="shared" si="2"/>
        <v>5871</v>
      </c>
    </row>
    <row r="33" spans="1:17" ht="15.75" customHeight="1" thickTop="1" thickBot="1" x14ac:dyDescent="0.35">
      <c r="A33" s="88">
        <v>28</v>
      </c>
      <c r="B33" s="89">
        <f>11115+17</f>
        <v>11132</v>
      </c>
      <c r="C33" s="89">
        <v>0</v>
      </c>
      <c r="D33" s="89">
        <v>1135</v>
      </c>
      <c r="E33" s="89">
        <v>69</v>
      </c>
      <c r="F33" s="89">
        <v>88</v>
      </c>
      <c r="G33" s="89">
        <v>105</v>
      </c>
      <c r="H33" s="89">
        <f t="shared" si="1"/>
        <v>12529</v>
      </c>
      <c r="I33" s="89">
        <v>0</v>
      </c>
      <c r="J33" s="91"/>
      <c r="K33" s="89">
        <v>28</v>
      </c>
      <c r="L33" s="89">
        <v>0</v>
      </c>
      <c r="M33" s="89">
        <v>3</v>
      </c>
      <c r="N33" s="89">
        <v>1</v>
      </c>
      <c r="O33" s="89">
        <f t="shared" si="0"/>
        <v>4</v>
      </c>
      <c r="P33" s="83">
        <f t="shared" si="2"/>
        <v>5871</v>
      </c>
    </row>
    <row r="34" spans="1:17" s="38" customFormat="1" ht="17.25" customHeight="1" thickTop="1" thickBot="1" x14ac:dyDescent="0.3">
      <c r="A34" s="88">
        <v>29</v>
      </c>
      <c r="B34" s="89">
        <v>9111</v>
      </c>
      <c r="C34" s="89">
        <v>4</v>
      </c>
      <c r="D34" s="89">
        <v>1074</v>
      </c>
      <c r="E34" s="89">
        <v>81</v>
      </c>
      <c r="F34" s="89">
        <v>117</v>
      </c>
      <c r="G34" s="89">
        <v>132</v>
      </c>
      <c r="H34" s="89">
        <f t="shared" si="1"/>
        <v>10519</v>
      </c>
      <c r="I34" s="89">
        <v>1</v>
      </c>
      <c r="J34" s="91"/>
      <c r="K34" s="89">
        <v>29</v>
      </c>
      <c r="L34" s="89">
        <v>0</v>
      </c>
      <c r="M34" s="89">
        <v>6</v>
      </c>
      <c r="N34" s="89">
        <v>0</v>
      </c>
      <c r="O34" s="89">
        <f>SUM(L34:N34)</f>
        <v>6</v>
      </c>
      <c r="P34" s="83">
        <f t="shared" si="2"/>
        <v>5871</v>
      </c>
    </row>
    <row r="35" spans="1:17" s="38" customFormat="1" ht="17.25" customHeight="1" thickTop="1" thickBot="1" x14ac:dyDescent="0.3">
      <c r="A35" s="88">
        <v>30</v>
      </c>
      <c r="B35" s="89">
        <f>8546+27</f>
        <v>8573</v>
      </c>
      <c r="C35" s="89">
        <v>8</v>
      </c>
      <c r="D35" s="89">
        <v>1353</v>
      </c>
      <c r="E35" s="89">
        <v>193</v>
      </c>
      <c r="F35" s="89">
        <v>305</v>
      </c>
      <c r="G35" s="89">
        <v>288</v>
      </c>
      <c r="H35" s="89">
        <f t="shared" si="1"/>
        <v>10720</v>
      </c>
      <c r="I35" s="89">
        <v>0</v>
      </c>
      <c r="J35" s="91"/>
      <c r="K35" s="89">
        <v>30</v>
      </c>
      <c r="L35" s="89">
        <v>0</v>
      </c>
      <c r="M35" s="89">
        <v>2</v>
      </c>
      <c r="N35" s="89">
        <v>1</v>
      </c>
      <c r="O35" s="89">
        <f>SUM(L35:N35)</f>
        <v>3</v>
      </c>
      <c r="P35" s="83">
        <f t="shared" si="2"/>
        <v>5871</v>
      </c>
    </row>
    <row r="36" spans="1:17" s="38" customFormat="1" ht="17.25" customHeight="1" thickTop="1" thickBot="1" x14ac:dyDescent="0.3">
      <c r="A36" s="88">
        <v>31</v>
      </c>
      <c r="B36" s="89">
        <f>6809+23</f>
        <v>6832</v>
      </c>
      <c r="C36" s="89">
        <v>0</v>
      </c>
      <c r="D36" s="89">
        <v>603</v>
      </c>
      <c r="E36" s="89">
        <v>15</v>
      </c>
      <c r="F36" s="89">
        <v>34</v>
      </c>
      <c r="G36" s="89">
        <v>41</v>
      </c>
      <c r="H36" s="89">
        <f t="shared" si="1"/>
        <v>7525</v>
      </c>
      <c r="I36" s="89">
        <v>0</v>
      </c>
      <c r="J36" s="91"/>
      <c r="K36" s="89">
        <v>31</v>
      </c>
      <c r="L36" s="89">
        <v>0</v>
      </c>
      <c r="M36" s="89">
        <v>2</v>
      </c>
      <c r="N36" s="89">
        <v>1</v>
      </c>
      <c r="O36" s="89">
        <f>SUM(L36:N36)</f>
        <v>3</v>
      </c>
      <c r="P36" s="83">
        <f t="shared" si="2"/>
        <v>5871</v>
      </c>
    </row>
    <row r="37" spans="1:17" ht="18" customHeight="1" thickTop="1" x14ac:dyDescent="0.3">
      <c r="A37" s="87" t="s">
        <v>18</v>
      </c>
      <c r="B37" s="92">
        <f>SUM(B6:B36)</f>
        <v>148403</v>
      </c>
      <c r="C37" s="92">
        <f t="shared" ref="C37:H37" si="3">SUM(C6:C36)</f>
        <v>89</v>
      </c>
      <c r="D37" s="92">
        <f t="shared" si="3"/>
        <v>35423</v>
      </c>
      <c r="E37" s="92">
        <f t="shared" si="3"/>
        <v>5436</v>
      </c>
      <c r="F37" s="92">
        <f t="shared" si="3"/>
        <v>5101</v>
      </c>
      <c r="G37" s="92">
        <f t="shared" si="3"/>
        <v>6989</v>
      </c>
      <c r="H37" s="92">
        <f t="shared" si="3"/>
        <v>201441</v>
      </c>
      <c r="I37" s="92">
        <v>1</v>
      </c>
      <c r="J37" s="93"/>
      <c r="K37" s="87" t="s">
        <v>19</v>
      </c>
      <c r="L37" s="92">
        <f>SUM(L6:L36)</f>
        <v>6</v>
      </c>
      <c r="M37" s="92">
        <f>SUM(M6:M36)</f>
        <v>180</v>
      </c>
      <c r="N37" s="92">
        <f>SUM(N6:N36)</f>
        <v>47</v>
      </c>
      <c r="O37" s="92">
        <f>SUM(O6:O36)</f>
        <v>233</v>
      </c>
      <c r="P37" s="38"/>
      <c r="Q37" s="38"/>
    </row>
    <row r="38" spans="1:17" ht="18" customHeight="1" x14ac:dyDescent="0.3">
      <c r="A38" s="87" t="s">
        <v>19</v>
      </c>
      <c r="B38" s="119">
        <f>+B37+C37</f>
        <v>148492</v>
      </c>
      <c r="C38" s="119"/>
      <c r="D38" s="92">
        <f t="shared" ref="D38:I38" si="4">+D37</f>
        <v>35423</v>
      </c>
      <c r="E38" s="92">
        <f t="shared" si="4"/>
        <v>5436</v>
      </c>
      <c r="F38" s="92">
        <f t="shared" si="4"/>
        <v>5101</v>
      </c>
      <c r="G38" s="92">
        <f t="shared" si="4"/>
        <v>6989</v>
      </c>
      <c r="H38" s="92">
        <f t="shared" si="4"/>
        <v>201441</v>
      </c>
      <c r="I38" s="92">
        <f t="shared" si="4"/>
        <v>1</v>
      </c>
      <c r="J38" s="94"/>
      <c r="K38" s="87" t="s">
        <v>20</v>
      </c>
      <c r="L38" s="93" t="s">
        <v>21</v>
      </c>
      <c r="M38" s="93" t="s">
        <v>22</v>
      </c>
      <c r="N38" s="93" t="s">
        <v>21</v>
      </c>
      <c r="O38" s="93" t="s">
        <v>22</v>
      </c>
      <c r="P38" s="38"/>
      <c r="Q38" s="38"/>
    </row>
    <row r="39" spans="1:17" ht="17.399999999999999" x14ac:dyDescent="0.3">
      <c r="A39" s="95"/>
      <c r="B39" s="56"/>
      <c r="C39" s="56"/>
      <c r="D39" s="56"/>
      <c r="E39" s="56"/>
      <c r="F39" s="56"/>
      <c r="G39" s="56"/>
      <c r="H39" s="56"/>
      <c r="I39" s="38"/>
      <c r="J39" s="38"/>
      <c r="K39" s="38"/>
      <c r="L39" s="57"/>
      <c r="M39" s="38"/>
      <c r="N39" s="38"/>
      <c r="O39" s="38"/>
    </row>
    <row r="40" spans="1:17" ht="17.399999999999999" x14ac:dyDescent="0.3">
      <c r="A40" s="58"/>
      <c r="B40" s="59"/>
      <c r="C40" s="59"/>
      <c r="D40" s="59"/>
      <c r="E40" s="59"/>
      <c r="F40" s="59"/>
      <c r="G40" s="59"/>
      <c r="H40" s="59"/>
      <c r="I40" s="59"/>
      <c r="J40" s="60"/>
      <c r="K40" s="29"/>
      <c r="L40" s="29"/>
    </row>
    <row r="41" spans="1:17" ht="17.399999999999999" x14ac:dyDescent="0.3">
      <c r="A41" s="37"/>
      <c r="H41" s="37"/>
      <c r="K41" s="29"/>
      <c r="L41" s="29"/>
    </row>
    <row r="42" spans="1:17" ht="17.399999999999999" x14ac:dyDescent="0.3">
      <c r="A42" s="61"/>
      <c r="K42" s="29"/>
      <c r="L42" s="29"/>
    </row>
    <row r="43" spans="1:17" ht="15.6" x14ac:dyDescent="0.3">
      <c r="A43" s="61"/>
      <c r="I43" s="37"/>
      <c r="J43" s="37"/>
    </row>
    <row r="45" spans="1:17" x14ac:dyDescent="0.3">
      <c r="A45" s="62"/>
    </row>
    <row r="46" spans="1:17" x14ac:dyDescent="0.3">
      <c r="A46" s="63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</row>
  </sheetData>
  <mergeCells count="13">
    <mergeCell ref="N4:N5"/>
    <mergeCell ref="O4:O5"/>
    <mergeCell ref="B38:C38"/>
    <mergeCell ref="A1:O1"/>
    <mergeCell ref="A2:O2"/>
    <mergeCell ref="A4:A5"/>
    <mergeCell ref="B4:C4"/>
    <mergeCell ref="H4:H5"/>
    <mergeCell ref="I4:I5"/>
    <mergeCell ref="K4:K5"/>
    <mergeCell ref="L4:L5"/>
    <mergeCell ref="M4:M5"/>
    <mergeCell ref="A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 2013</vt:lpstr>
      <vt:lpstr>FEBRERO 2013</vt:lpstr>
      <vt:lpstr>MARZO 2013</vt:lpstr>
      <vt:lpstr>ABRIL 2013</vt:lpstr>
      <vt:lpstr>MAYO 2013</vt:lpstr>
      <vt:lpstr>JUNIO 2013</vt:lpstr>
      <vt:lpstr>JULIO 2013</vt:lpstr>
      <vt:lpstr>AGOSTO 2013</vt:lpstr>
      <vt:lpstr>SEPTIEMBRE 2013</vt:lpstr>
      <vt:lpstr>OCTUBRE 2013</vt:lpstr>
      <vt:lpstr>NOVIEMBRE 2013</vt:lpstr>
      <vt:lpstr>DICIEMBRE 2013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Gonzalez</dc:creator>
  <cp:lastModifiedBy>JUAN CAMILO RODRIGUEZ VILLALBA</cp:lastModifiedBy>
  <dcterms:created xsi:type="dcterms:W3CDTF">2026-01-14T17:32:18Z</dcterms:created>
  <dcterms:modified xsi:type="dcterms:W3CDTF">2026-01-24T19:37:32Z</dcterms:modified>
</cp:coreProperties>
</file>