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9E2979F3-E444-4870-A8A1-D45A4D849109}" xr6:coauthVersionLast="47" xr6:coauthVersionMax="47" xr10:uidLastSave="{00000000-0000-0000-0000-000000000000}"/>
  <bookViews>
    <workbookView xWindow="-108" yWindow="-108" windowWidth="23256" windowHeight="12456" firstSheet="1" activeTab="7" xr2:uid="{F9B97ED5-8928-40B7-8DCA-AE0942372D06}"/>
  </bookViews>
  <sheets>
    <sheet name="ENERO 2016" sheetId="1" r:id="rId1"/>
    <sheet name="FEBRERO 2016" sheetId="2" r:id="rId2"/>
    <sheet name="MARZO 2016" sheetId="3" r:id="rId3"/>
    <sheet name="ABRIL 2016" sheetId="4" r:id="rId4"/>
    <sheet name="MAYO 2016" sheetId="5" r:id="rId5"/>
    <sheet name="JUNIO 2016" sheetId="6" r:id="rId6"/>
    <sheet name="JULIO 2016" sheetId="7" r:id="rId7"/>
    <sheet name="AGOSTO 2016" sheetId="8" r:id="rId8"/>
    <sheet name="SEPTIEMBRE 2016" sheetId="9" r:id="rId9"/>
    <sheet name="OCTUBRE 2016" sheetId="10" r:id="rId10"/>
    <sheet name="NOVIEMBRE 2016" sheetId="11" r:id="rId11"/>
    <sheet name="DICIEMBRE 2016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2" l="1"/>
  <c r="N37" i="12"/>
  <c r="M37" i="12"/>
  <c r="L37" i="12"/>
  <c r="I37" i="12"/>
  <c r="G37" i="12"/>
  <c r="G38" i="12" s="1"/>
  <c r="F37" i="12"/>
  <c r="F38" i="12" s="1"/>
  <c r="E37" i="12"/>
  <c r="E38" i="12" s="1"/>
  <c r="D37" i="12"/>
  <c r="D38" i="12" s="1"/>
  <c r="C37" i="12"/>
  <c r="B37" i="12"/>
  <c r="B38" i="12" s="1"/>
  <c r="O36" i="12"/>
  <c r="H36" i="12"/>
  <c r="O35" i="12"/>
  <c r="H35" i="12"/>
  <c r="O34" i="12"/>
  <c r="H34" i="12"/>
  <c r="O33" i="12"/>
  <c r="H33" i="12"/>
  <c r="O32" i="12"/>
  <c r="H32" i="12"/>
  <c r="O31" i="12"/>
  <c r="H31" i="12"/>
  <c r="O30" i="12"/>
  <c r="H30" i="12"/>
  <c r="O29" i="12"/>
  <c r="H29" i="12"/>
  <c r="O28" i="12"/>
  <c r="H28" i="12"/>
  <c r="O27" i="12"/>
  <c r="H27" i="12"/>
  <c r="O26" i="12"/>
  <c r="H26" i="12"/>
  <c r="O25" i="12"/>
  <c r="H25" i="12"/>
  <c r="O24" i="12"/>
  <c r="H24" i="12"/>
  <c r="O23" i="12"/>
  <c r="H23" i="12"/>
  <c r="O22" i="12"/>
  <c r="H22" i="12"/>
  <c r="O21" i="12"/>
  <c r="H21" i="12"/>
  <c r="O20" i="12"/>
  <c r="H20" i="12"/>
  <c r="O19" i="12"/>
  <c r="H19" i="12"/>
  <c r="O18" i="12"/>
  <c r="H18" i="12"/>
  <c r="O17" i="12"/>
  <c r="H17" i="12"/>
  <c r="O16" i="12"/>
  <c r="H16" i="12"/>
  <c r="O15" i="12"/>
  <c r="H15" i="12"/>
  <c r="O14" i="12"/>
  <c r="H14" i="12"/>
  <c r="O13" i="12"/>
  <c r="H13" i="12"/>
  <c r="O12" i="12"/>
  <c r="H12" i="12"/>
  <c r="O11" i="12"/>
  <c r="H11" i="12"/>
  <c r="O10" i="12"/>
  <c r="H10" i="12"/>
  <c r="O9" i="12"/>
  <c r="H9" i="12"/>
  <c r="O8" i="12"/>
  <c r="H8" i="12"/>
  <c r="P7" i="12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O7" i="12"/>
  <c r="H7" i="12"/>
  <c r="O6" i="12"/>
  <c r="H6" i="12"/>
  <c r="H37" i="12" s="1"/>
  <c r="H38" i="12" s="1"/>
  <c r="O37" i="11" l="1"/>
  <c r="O37" i="10"/>
  <c r="O37" i="9"/>
  <c r="O37" i="8"/>
  <c r="D38" i="8"/>
  <c r="B38" i="8"/>
  <c r="N37" i="8"/>
  <c r="M37" i="8"/>
  <c r="L37" i="8"/>
  <c r="I37" i="8"/>
  <c r="G37" i="8"/>
  <c r="G38" i="8" s="1"/>
  <c r="F37" i="8"/>
  <c r="F38" i="8" s="1"/>
  <c r="E37" i="8"/>
  <c r="E38" i="8" s="1"/>
  <c r="D37" i="8"/>
  <c r="C37" i="8"/>
  <c r="B37" i="8"/>
  <c r="O36" i="8"/>
  <c r="H36" i="8"/>
  <c r="O35" i="8"/>
  <c r="H35" i="8"/>
  <c r="O34" i="8"/>
  <c r="H34" i="8"/>
  <c r="O33" i="8"/>
  <c r="H33" i="8"/>
  <c r="O32" i="8"/>
  <c r="H32" i="8"/>
  <c r="O31" i="8"/>
  <c r="H31" i="8"/>
  <c r="O30" i="8"/>
  <c r="H30" i="8"/>
  <c r="O29" i="8"/>
  <c r="H29" i="8"/>
  <c r="O28" i="8"/>
  <c r="H28" i="8"/>
  <c r="O27" i="8"/>
  <c r="H27" i="8"/>
  <c r="O26" i="8"/>
  <c r="H26" i="8"/>
  <c r="O25" i="8"/>
  <c r="H25" i="8"/>
  <c r="O24" i="8"/>
  <c r="H24" i="8"/>
  <c r="O23" i="8"/>
  <c r="H23" i="8"/>
  <c r="O22" i="8"/>
  <c r="H22" i="8"/>
  <c r="O21" i="8"/>
  <c r="H21" i="8"/>
  <c r="O20" i="8"/>
  <c r="H20" i="8"/>
  <c r="O19" i="8"/>
  <c r="H19" i="8"/>
  <c r="O18" i="8"/>
  <c r="H18" i="8"/>
  <c r="O17" i="8"/>
  <c r="H17" i="8"/>
  <c r="O16" i="8"/>
  <c r="H16" i="8"/>
  <c r="O15" i="8"/>
  <c r="H15" i="8"/>
  <c r="O14" i="8"/>
  <c r="H14" i="8"/>
  <c r="O13" i="8"/>
  <c r="H13" i="8"/>
  <c r="O12" i="8"/>
  <c r="H12" i="8"/>
  <c r="O11" i="8"/>
  <c r="H11" i="8"/>
  <c r="O10" i="8"/>
  <c r="H10" i="8"/>
  <c r="O9" i="8"/>
  <c r="H9" i="8"/>
  <c r="P8" i="8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O8" i="8"/>
  <c r="H8" i="8"/>
  <c r="P7" i="8"/>
  <c r="O7" i="8"/>
  <c r="H7" i="8"/>
  <c r="O6" i="8"/>
  <c r="H6" i="8"/>
  <c r="H37" i="8" s="1"/>
  <c r="H38" i="8" s="1"/>
  <c r="O37" i="7" l="1"/>
  <c r="O37" i="6"/>
  <c r="O37" i="5"/>
  <c r="O37" i="4"/>
  <c r="N37" i="4"/>
  <c r="M37" i="4"/>
  <c r="L37" i="4"/>
  <c r="I37" i="4"/>
  <c r="G37" i="4"/>
  <c r="G38" i="4" s="1"/>
  <c r="F37" i="4"/>
  <c r="F38" i="4" s="1"/>
  <c r="E37" i="4"/>
  <c r="E38" i="4" s="1"/>
  <c r="D37" i="4"/>
  <c r="D38" i="4" s="1"/>
  <c r="C37" i="4"/>
  <c r="B37" i="4"/>
  <c r="B38" i="4" s="1"/>
  <c r="O36" i="4"/>
  <c r="H36" i="4"/>
  <c r="O35" i="4"/>
  <c r="H35" i="4"/>
  <c r="O34" i="4"/>
  <c r="H34" i="4"/>
  <c r="O33" i="4"/>
  <c r="H33" i="4"/>
  <c r="O32" i="4"/>
  <c r="H32" i="4"/>
  <c r="O31" i="4"/>
  <c r="H31" i="4"/>
  <c r="O30" i="4"/>
  <c r="H30" i="4"/>
  <c r="O29" i="4"/>
  <c r="H29" i="4"/>
  <c r="O28" i="4"/>
  <c r="H28" i="4"/>
  <c r="O27" i="4"/>
  <c r="H27" i="4"/>
  <c r="O26" i="4"/>
  <c r="H26" i="4"/>
  <c r="O25" i="4"/>
  <c r="H25" i="4"/>
  <c r="O24" i="4"/>
  <c r="H24" i="4"/>
  <c r="O23" i="4"/>
  <c r="H23" i="4"/>
  <c r="O22" i="4"/>
  <c r="H22" i="4"/>
  <c r="O21" i="4"/>
  <c r="H21" i="4"/>
  <c r="O20" i="4"/>
  <c r="H20" i="4"/>
  <c r="O19" i="4"/>
  <c r="H19" i="4"/>
  <c r="O18" i="4"/>
  <c r="H18" i="4"/>
  <c r="O17" i="4"/>
  <c r="H17" i="4"/>
  <c r="O16" i="4"/>
  <c r="H16" i="4"/>
  <c r="O15" i="4"/>
  <c r="H15" i="4"/>
  <c r="O14" i="4"/>
  <c r="H14" i="4"/>
  <c r="O13" i="4"/>
  <c r="H13" i="4"/>
  <c r="O12" i="4"/>
  <c r="H12" i="4"/>
  <c r="O11" i="4"/>
  <c r="H11" i="4"/>
  <c r="O10" i="4"/>
  <c r="H10" i="4"/>
  <c r="O9" i="4"/>
  <c r="H9" i="4"/>
  <c r="O8" i="4"/>
  <c r="H8" i="4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O7" i="4"/>
  <c r="H7" i="4"/>
  <c r="O6" i="4"/>
  <c r="H6" i="4"/>
  <c r="H37" i="4" s="1"/>
  <c r="H38" i="4" s="1"/>
  <c r="O37" i="3" l="1"/>
  <c r="O37" i="2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6" i="1"/>
  <c r="M37" i="1"/>
  <c r="N37" i="1"/>
  <c r="L37" i="1"/>
  <c r="O37" i="1" l="1"/>
</calcChain>
</file>

<file path=xl/sharedStrings.xml><?xml version="1.0" encoding="utf-8"?>
<sst xmlns="http://schemas.openxmlformats.org/spreadsheetml/2006/main" count="360" uniqueCount="37">
  <si>
    <t>ENERO 2016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</si>
  <si>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</si>
  <si>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</si>
  <si>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</si>
  <si>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</si>
  <si>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</si>
  <si>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</si>
  <si>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</si>
  <si>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</si>
  <si>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</si>
  <si>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</si>
  <si>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</si>
  <si>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</si>
  <si>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</si>
  <si>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</si>
  <si>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</si>
  <si>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</si>
  <si>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</si>
  <si>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</si>
  <si>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</si>
  <si>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</si>
  <si>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</si>
  <si>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</si>
  <si>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CONCESIÓN SABANA DE OCCIDENTE S.A.S</t>
  </si>
  <si>
    <t xml:space="preserve"> TRÁFICO POR CATEGORIAS ESTACIÓN DE PEAJE CAIQUERO</t>
  </si>
  <si>
    <t xml:space="preserve">TOTAL </t>
  </si>
  <si>
    <t>FEBRERO 2016</t>
  </si>
  <si>
    <t>MARZO 2016</t>
  </si>
  <si>
    <t>ABRIL 2016</t>
  </si>
  <si>
    <t>MAYO 2016</t>
  </si>
  <si>
    <t>JUNIO 2016</t>
  </si>
  <si>
    <t>JULIO 2016</t>
  </si>
  <si>
    <t>AGOSTO 2016</t>
  </si>
  <si>
    <t>SEPTIEMBRE 2016</t>
  </si>
  <si>
    <t>OCTUBRE 2016</t>
  </si>
  <si>
    <t>NOVIEMBRE 2016</t>
  </si>
  <si>
    <t>DICIEMBRE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</si>
</sst>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N$&quot;* #,##0.00_);_(&quot;N$&quot;* \(#,##0.00\);_(&quot;N$&quot;* &quot;-&quot;??_);_(@_)"/>
    <numFmt numFmtId="165" formatCode="_(* #,##0_);_(* \(#,##0\);_(* &quot;-&quot;??_);_(@_)"/>
    <numFmt numFmtId="166" formatCode="#,##0_ ;\-#,##0\ "/>
    <numFmt numFmtId="167" formatCode="_([$$-240A]\ * #,##0_);_([$$-240A]\ * \(#,##0\);_([$$-240A]\ * &quot;-&quot;??_);_(@_)"/>
    <numFmt numFmtId="168" formatCode="_ [$$-240A]\ * #,##0_ ;_ [$$-240A]\ * \-#,##0_ ;_ [$$-240A]\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6">
    <xf numFmtId="0" fontId="0" fillId="0" borderId="0"/>
    <xf numFmtId="43" fontId="1" fillId="0" borderId="0" applyFont="0" applyFill="0" applyBorder="0" applyAlignment="0" applyProtection="0"/>
    <xf numFmtId="167" fontId="2" fillId="0" borderId="0">
      <alignment vertical="top"/>
    </xf>
    <xf numFmtId="167" fontId="2" fillId="0" borderId="0"/>
    <xf numFmtId="167" fontId="2" fillId="0" borderId="0"/>
    <xf numFmtId="167" fontId="3" fillId="0" borderId="0">
      <alignment vertical="top"/>
    </xf>
    <xf numFmtId="167" fontId="4" fillId="0" borderId="0"/>
    <xf numFmtId="167" fontId="4" fillId="0" borderId="0"/>
    <xf numFmtId="167" fontId="3" fillId="0" borderId="0">
      <alignment vertical="top"/>
    </xf>
    <xf numFmtId="167" fontId="3" fillId="0" borderId="0">
      <alignment vertical="top"/>
    </xf>
    <xf numFmtId="167" fontId="3" fillId="0" borderId="0">
      <alignment vertical="top"/>
    </xf>
    <xf numFmtId="167" fontId="3" fillId="0" borderId="0">
      <alignment vertical="top"/>
    </xf>
    <xf numFmtId="167" fontId="2" fillId="0" borderId="0"/>
    <xf numFmtId="167" fontId="4" fillId="2" borderId="0" applyNumberFormat="0" applyBorder="0" applyAlignment="0" applyProtection="0"/>
    <xf numFmtId="167" fontId="4" fillId="3" borderId="0" applyNumberFormat="0" applyBorder="0" applyAlignment="0" applyProtection="0"/>
    <xf numFmtId="167" fontId="4" fillId="4" borderId="0" applyNumberFormat="0" applyBorder="0" applyAlignment="0" applyProtection="0"/>
    <xf numFmtId="167" fontId="4" fillId="5" borderId="0" applyNumberFormat="0" applyBorder="0" applyAlignment="0" applyProtection="0"/>
    <xf numFmtId="167" fontId="4" fillId="6" borderId="0" applyNumberFormat="0" applyBorder="0" applyAlignment="0" applyProtection="0"/>
    <xf numFmtId="167" fontId="4" fillId="7" borderId="0" applyNumberFormat="0" applyBorder="0" applyAlignment="0" applyProtection="0"/>
    <xf numFmtId="167" fontId="4" fillId="8" borderId="0" applyNumberFormat="0" applyBorder="0" applyAlignment="0" applyProtection="0"/>
    <xf numFmtId="167" fontId="4" fillId="9" borderId="0" applyNumberFormat="0" applyBorder="0" applyAlignment="0" applyProtection="0"/>
    <xf numFmtId="167" fontId="4" fillId="10" borderId="0" applyNumberFormat="0" applyBorder="0" applyAlignment="0" applyProtection="0"/>
    <xf numFmtId="167" fontId="4" fillId="5" borderId="0" applyNumberFormat="0" applyBorder="0" applyAlignment="0" applyProtection="0"/>
    <xf numFmtId="167" fontId="4" fillId="8" borderId="0" applyNumberFormat="0" applyBorder="0" applyAlignment="0" applyProtection="0"/>
    <xf numFmtId="167" fontId="4" fillId="11" borderId="0" applyNumberFormat="0" applyBorder="0" applyAlignment="0" applyProtection="0"/>
    <xf numFmtId="167" fontId="5" fillId="12" borderId="0" applyNumberFormat="0" applyBorder="0" applyAlignment="0" applyProtection="0"/>
    <xf numFmtId="167" fontId="5" fillId="9" borderId="0" applyNumberFormat="0" applyBorder="0" applyAlignment="0" applyProtection="0"/>
    <xf numFmtId="167" fontId="5" fillId="10" borderId="0" applyNumberFormat="0" applyBorder="0" applyAlignment="0" applyProtection="0"/>
    <xf numFmtId="167" fontId="5" fillId="13" borderId="0" applyNumberFormat="0" applyBorder="0" applyAlignment="0" applyProtection="0"/>
    <xf numFmtId="167" fontId="5" fillId="14" borderId="0" applyNumberFormat="0" applyBorder="0" applyAlignment="0" applyProtection="0"/>
    <xf numFmtId="167" fontId="5" fillId="15" borderId="0" applyNumberFormat="0" applyBorder="0" applyAlignment="0" applyProtection="0"/>
    <xf numFmtId="167" fontId="6" fillId="4" borderId="0" applyNumberFormat="0" applyBorder="0" applyAlignment="0" applyProtection="0"/>
    <xf numFmtId="167" fontId="7" fillId="7" borderId="1" applyNumberFormat="0" applyAlignment="0" applyProtection="0"/>
    <xf numFmtId="167" fontId="8" fillId="16" borderId="2" applyNumberFormat="0" applyAlignment="0" applyProtection="0"/>
    <xf numFmtId="167" fontId="9" fillId="0" borderId="3" applyNumberFormat="0" applyFill="0" applyAlignment="0" applyProtection="0"/>
    <xf numFmtId="167" fontId="10" fillId="0" borderId="0" applyNumberFormat="0" applyFill="0" applyBorder="0" applyAlignment="0" applyProtection="0"/>
    <xf numFmtId="167" fontId="5" fillId="17" borderId="0" applyNumberFormat="0" applyBorder="0" applyAlignment="0" applyProtection="0"/>
    <xf numFmtId="167" fontId="5" fillId="18" borderId="0" applyNumberFormat="0" applyBorder="0" applyAlignment="0" applyProtection="0"/>
    <xf numFmtId="167" fontId="5" fillId="19" borderId="0" applyNumberFormat="0" applyBorder="0" applyAlignment="0" applyProtection="0"/>
    <xf numFmtId="167" fontId="5" fillId="13" borderId="0" applyNumberFormat="0" applyBorder="0" applyAlignment="0" applyProtection="0"/>
    <xf numFmtId="167" fontId="5" fillId="14" borderId="0" applyNumberFormat="0" applyBorder="0" applyAlignment="0" applyProtection="0"/>
    <xf numFmtId="167" fontId="5" fillId="20" borderId="0" applyNumberFormat="0" applyBorder="0" applyAlignment="0" applyProtection="0"/>
    <xf numFmtId="167" fontId="11" fillId="7" borderId="1" applyNumberFormat="0" applyAlignment="0" applyProtection="0"/>
    <xf numFmtId="167" fontId="2" fillId="0" borderId="0" applyFont="0" applyFill="0" applyBorder="0" applyAlignment="0" applyProtection="0"/>
    <xf numFmtId="167" fontId="12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13" fillId="21" borderId="0" applyNumberFormat="0" applyBorder="0" applyAlignment="0" applyProtection="0"/>
    <xf numFmtId="167" fontId="4" fillId="22" borderId="4" applyNumberFormat="0" applyFont="0" applyAlignment="0" applyProtection="0"/>
    <xf numFmtId="9" fontId="2" fillId="0" borderId="0" applyFont="0" applyFill="0" applyBorder="0" applyAlignment="0" applyProtection="0"/>
    <xf numFmtId="167" fontId="14" fillId="7" borderId="5" applyNumberFormat="0" applyAlignment="0" applyProtection="0"/>
    <xf numFmtId="167" fontId="15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167" fontId="18" fillId="0" borderId="6" applyNumberFormat="0" applyFill="0" applyAlignment="0" applyProtection="0"/>
    <xf numFmtId="167" fontId="19" fillId="0" borderId="7" applyNumberFormat="0" applyFill="0" applyAlignment="0" applyProtection="0"/>
    <xf numFmtId="167" fontId="10" fillId="0" borderId="8" applyNumberFormat="0" applyFill="0" applyAlignment="0" applyProtection="0"/>
    <xf numFmtId="167" fontId="20" fillId="0" borderId="9" applyNumberFormat="0" applyFill="0" applyAlignment="0" applyProtection="0"/>
    <xf numFmtId="168" fontId="2" fillId="0" borderId="0">
      <alignment vertical="top"/>
    </xf>
    <xf numFmtId="168" fontId="2" fillId="0" borderId="0"/>
    <xf numFmtId="168" fontId="2" fillId="0" borderId="0"/>
    <xf numFmtId="168" fontId="3" fillId="0" borderId="0">
      <alignment vertical="top"/>
    </xf>
    <xf numFmtId="168" fontId="4" fillId="0" borderId="0"/>
    <xf numFmtId="168" fontId="4" fillId="0" borderId="0"/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2" fillId="0" borderId="0"/>
    <xf numFmtId="168" fontId="4" fillId="2" borderId="0" applyNumberFormat="0" applyBorder="0" applyAlignment="0" applyProtection="0"/>
    <xf numFmtId="168" fontId="4" fillId="3" borderId="0" applyNumberFormat="0" applyBorder="0" applyAlignment="0" applyProtection="0"/>
    <xf numFmtId="168" fontId="4" fillId="4" borderId="0" applyNumberFormat="0" applyBorder="0" applyAlignment="0" applyProtection="0"/>
    <xf numFmtId="168" fontId="4" fillId="5" borderId="0" applyNumberFormat="0" applyBorder="0" applyAlignment="0" applyProtection="0"/>
    <xf numFmtId="168" fontId="4" fillId="6" borderId="0" applyNumberFormat="0" applyBorder="0" applyAlignment="0" applyProtection="0"/>
    <xf numFmtId="168" fontId="4" fillId="7" borderId="0" applyNumberFormat="0" applyBorder="0" applyAlignment="0" applyProtection="0"/>
    <xf numFmtId="168" fontId="4" fillId="8" borderId="0" applyNumberFormat="0" applyBorder="0" applyAlignment="0" applyProtection="0"/>
    <xf numFmtId="168" fontId="4" fillId="9" borderId="0" applyNumberFormat="0" applyBorder="0" applyAlignment="0" applyProtection="0"/>
    <xf numFmtId="168" fontId="4" fillId="10" borderId="0" applyNumberFormat="0" applyBorder="0" applyAlignment="0" applyProtection="0"/>
    <xf numFmtId="168" fontId="4" fillId="5" borderId="0" applyNumberFormat="0" applyBorder="0" applyAlignment="0" applyProtection="0"/>
    <xf numFmtId="168" fontId="4" fillId="8" borderId="0" applyNumberFormat="0" applyBorder="0" applyAlignment="0" applyProtection="0"/>
    <xf numFmtId="168" fontId="4" fillId="11" borderId="0" applyNumberFormat="0" applyBorder="0" applyAlignment="0" applyProtection="0"/>
    <xf numFmtId="168" fontId="5" fillId="12" borderId="0" applyNumberFormat="0" applyBorder="0" applyAlignment="0" applyProtection="0"/>
    <xf numFmtId="168" fontId="5" fillId="9" borderId="0" applyNumberFormat="0" applyBorder="0" applyAlignment="0" applyProtection="0"/>
    <xf numFmtId="168" fontId="5" fillId="10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15" borderId="0" applyNumberFormat="0" applyBorder="0" applyAlignment="0" applyProtection="0"/>
    <xf numFmtId="168" fontId="6" fillId="4" borderId="0" applyNumberFormat="0" applyBorder="0" applyAlignment="0" applyProtection="0"/>
    <xf numFmtId="168" fontId="7" fillId="7" borderId="1" applyNumberFormat="0" applyAlignment="0" applyProtection="0"/>
    <xf numFmtId="168" fontId="8" fillId="16" borderId="2" applyNumberFormat="0" applyAlignment="0" applyProtection="0"/>
    <xf numFmtId="168" fontId="9" fillId="0" borderId="3" applyNumberFormat="0" applyFill="0" applyAlignment="0" applyProtection="0"/>
    <xf numFmtId="168" fontId="10" fillId="0" borderId="0" applyNumberFormat="0" applyFill="0" applyBorder="0" applyAlignment="0" applyProtection="0"/>
    <xf numFmtId="168" fontId="5" fillId="17" borderId="0" applyNumberFormat="0" applyBorder="0" applyAlignment="0" applyProtection="0"/>
    <xf numFmtId="168" fontId="5" fillId="18" borderId="0" applyNumberFormat="0" applyBorder="0" applyAlignment="0" applyProtection="0"/>
    <xf numFmtId="168" fontId="5" fillId="19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20" borderId="0" applyNumberFormat="0" applyBorder="0" applyAlignment="0" applyProtection="0"/>
    <xf numFmtId="168" fontId="11" fillId="7" borderId="1" applyNumberFormat="0" applyAlignment="0" applyProtection="0"/>
    <xf numFmtId="168" fontId="2" fillId="0" borderId="0" applyFont="0" applyFill="0" applyBorder="0" applyAlignment="0" applyProtection="0"/>
    <xf numFmtId="168" fontId="12" fillId="3" borderId="0" applyNumberFormat="0" applyBorder="0" applyAlignment="0" applyProtection="0"/>
    <xf numFmtId="43" fontId="2" fillId="0" borderId="0" applyFont="0" applyFill="0" applyBorder="0" applyAlignment="0" applyProtection="0"/>
    <xf numFmtId="168" fontId="13" fillId="21" borderId="0" applyNumberFormat="0" applyBorder="0" applyAlignment="0" applyProtection="0"/>
    <xf numFmtId="168" fontId="4" fillId="22" borderId="4" applyNumberFormat="0" applyFont="0" applyAlignment="0" applyProtection="0"/>
    <xf numFmtId="168" fontId="14" fillId="7" borderId="5" applyNumberFormat="0" applyAlignment="0" applyProtection="0"/>
    <xf numFmtId="168" fontId="15" fillId="0" borderId="0" applyNumberFormat="0" applyFill="0" applyBorder="0" applyAlignment="0" applyProtection="0"/>
    <xf numFmtId="168" fontId="16" fillId="0" borderId="0" applyNumberFormat="0" applyFill="0" applyBorder="0" applyAlignment="0" applyProtection="0"/>
    <xf numFmtId="168" fontId="17" fillId="0" borderId="0" applyNumberFormat="0" applyFill="0" applyBorder="0" applyAlignment="0" applyProtection="0"/>
    <xf numFmtId="168" fontId="18" fillId="0" borderId="6" applyNumberFormat="0" applyFill="0" applyAlignment="0" applyProtection="0"/>
    <xf numFmtId="168" fontId="19" fillId="0" borderId="7" applyNumberFormat="0" applyFill="0" applyAlignment="0" applyProtection="0"/>
    <xf numFmtId="168" fontId="10" fillId="0" borderId="8" applyNumberFormat="0" applyFill="0" applyAlignment="0" applyProtection="0"/>
    <xf numFmtId="168" fontId="20" fillId="0" borderId="9" applyNumberFormat="0" applyFill="0" applyAlignment="0" applyProtection="0"/>
    <xf numFmtId="0" fontId="1" fillId="0" borderId="0"/>
    <xf numFmtId="167" fontId="2" fillId="0" borderId="0">
      <alignment vertical="top"/>
    </xf>
    <xf numFmtId="0" fontId="1" fillId="0" borderId="0"/>
  </cellStyleXfs>
  <cellXfs count="68">
    <xf numFmtId="0" fontId="0" fillId="0" borderId="0" xfId="0"/>
    <xf numFmtId="167" fontId="2" fillId="0" borderId="0" xfId="2" applyAlignment="1"/>
    <xf numFmtId="167" fontId="22" fillId="0" borderId="0" xfId="2" applyFont="1" applyAlignment="1">
      <alignment horizontal="center" vertical="center" wrapText="1"/>
    </xf>
    <xf numFmtId="37" fontId="22" fillId="0" borderId="10" xfId="45" applyNumberFormat="1" applyFont="1" applyFill="1" applyBorder="1" applyAlignment="1" applyProtection="1">
      <alignment horizontal="center" vertical="center"/>
    </xf>
    <xf numFmtId="37" fontId="23" fillId="0" borderId="10" xfId="45" applyNumberFormat="1" applyFont="1" applyFill="1" applyBorder="1" applyAlignment="1" applyProtection="1">
      <alignment horizontal="center" vertical="center"/>
    </xf>
    <xf numFmtId="37" fontId="23" fillId="0" borderId="0" xfId="45" applyNumberFormat="1" applyFont="1" applyFill="1" applyBorder="1" applyAlignment="1" applyProtection="1">
      <alignment horizontal="center" vertical="center" wrapText="1"/>
    </xf>
    <xf numFmtId="37" fontId="23" fillId="0" borderId="0" xfId="45" applyNumberFormat="1" applyFont="1" applyFill="1" applyBorder="1" applyAlignment="1" applyProtection="1">
      <alignment horizontal="center" vertical="center"/>
    </xf>
    <xf numFmtId="167" fontId="23" fillId="0" borderId="0" xfId="2" applyFont="1" applyAlignment="1">
      <alignment horizontal="center" vertical="center"/>
    </xf>
    <xf numFmtId="167" fontId="22" fillId="0" borderId="0" xfId="2" applyFont="1" applyAlignment="1">
      <alignment horizontal="center" vertical="center"/>
    </xf>
    <xf numFmtId="167" fontId="22" fillId="0" borderId="0" xfId="2" applyFont="1" applyAlignment="1">
      <alignment horizontal="left" vertical="center"/>
    </xf>
    <xf numFmtId="167" fontId="22" fillId="0" borderId="10" xfId="2" applyFont="1" applyBorder="1" applyAlignment="1">
      <alignment horizontal="center" vertical="center" wrapText="1"/>
    </xf>
    <xf numFmtId="167" fontId="22" fillId="0" borderId="10" xfId="2" applyFont="1" applyBorder="1" applyAlignment="1">
      <alignment horizontal="center" vertical="center"/>
    </xf>
    <xf numFmtId="3" fontId="22" fillId="0" borderId="10" xfId="2" applyNumberFormat="1" applyFont="1" applyBorder="1" applyAlignment="1">
      <alignment horizontal="center" vertical="center"/>
    </xf>
    <xf numFmtId="3" fontId="23" fillId="0" borderId="0" xfId="2" applyNumberFormat="1" applyFont="1" applyAlignment="1"/>
    <xf numFmtId="167" fontId="22" fillId="0" borderId="0" xfId="2" applyFont="1" applyAlignment="1">
      <alignment horizontal="center"/>
    </xf>
    <xf numFmtId="167" fontId="24" fillId="0" borderId="0" xfId="2" applyFont="1" applyAlignment="1"/>
    <xf numFmtId="167" fontId="23" fillId="23" borderId="0" xfId="2" applyFont="1" applyFill="1" applyAlignment="1"/>
    <xf numFmtId="3" fontId="23" fillId="0" borderId="0" xfId="2" applyNumberFormat="1" applyFont="1" applyAlignment="1">
      <alignment horizontal="right"/>
    </xf>
    <xf numFmtId="3" fontId="22" fillId="0" borderId="0" xfId="2" applyNumberFormat="1" applyFont="1" applyAlignment="1"/>
    <xf numFmtId="165" fontId="23" fillId="0" borderId="12" xfId="45" applyNumberFormat="1" applyFont="1" applyFill="1" applyBorder="1" applyAlignment="1" applyProtection="1"/>
    <xf numFmtId="165" fontId="23" fillId="23" borderId="12" xfId="45" applyNumberFormat="1" applyFont="1" applyFill="1" applyBorder="1" applyAlignment="1" applyProtection="1"/>
    <xf numFmtId="167" fontId="23" fillId="0" borderId="0" xfId="46" applyNumberFormat="1" applyFont="1" applyFill="1" applyProtection="1"/>
    <xf numFmtId="17" fontId="23" fillId="0" borderId="0" xfId="2" applyNumberFormat="1" applyFont="1" applyAlignment="1"/>
    <xf numFmtId="167" fontId="22" fillId="0" borderId="0" xfId="2" applyFont="1" applyAlignment="1">
      <alignment horizontal="left"/>
    </xf>
    <xf numFmtId="167" fontId="23" fillId="0" borderId="0" xfId="2" applyFont="1" applyAlignment="1">
      <alignment horizontal="right"/>
    </xf>
    <xf numFmtId="10" fontId="23" fillId="0" borderId="0" xfId="50" applyNumberFormat="1" applyFont="1" applyAlignment="1" applyProtection="1">
      <alignment horizontal="right"/>
    </xf>
    <xf numFmtId="10" fontId="22" fillId="0" borderId="0" xfId="50" applyNumberFormat="1" applyFont="1" applyAlignment="1" applyProtection="1">
      <alignment horizontal="right"/>
    </xf>
    <xf numFmtId="3" fontId="22" fillId="24" borderId="10" xfId="2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165" fontId="23" fillId="0" borderId="12" xfId="1" applyNumberFormat="1" applyFont="1" applyFill="1" applyBorder="1" applyAlignment="1" applyProtection="1"/>
    <xf numFmtId="0" fontId="22" fillId="0" borderId="0" xfId="0" applyFont="1"/>
    <xf numFmtId="17" fontId="23" fillId="0" borderId="0" xfId="0" applyNumberFormat="1" applyFont="1"/>
    <xf numFmtId="0" fontId="24" fillId="0" borderId="0" xfId="0" applyFont="1"/>
    <xf numFmtId="0" fontId="22" fillId="0" borderId="0" xfId="0" applyFont="1" applyAlignment="1">
      <alignment horizontal="center" vertical="center" wrapText="1"/>
    </xf>
    <xf numFmtId="37" fontId="22" fillId="0" borderId="10" xfId="1" applyNumberFormat="1" applyFont="1" applyFill="1" applyBorder="1" applyAlignment="1" applyProtection="1">
      <alignment horizontal="center" vertical="center"/>
    </xf>
    <xf numFmtId="166" fontId="23" fillId="0" borderId="10" xfId="1" applyNumberFormat="1" applyFont="1" applyFill="1" applyBorder="1" applyAlignment="1" applyProtection="1">
      <alignment horizontal="center" vertical="center"/>
    </xf>
    <xf numFmtId="37" fontId="23" fillId="0" borderId="0" xfId="1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/>
    </xf>
    <xf numFmtId="3" fontId="22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/>
    <xf numFmtId="37" fontId="23" fillId="0" borderId="10" xfId="1" applyNumberFormat="1" applyFont="1" applyFill="1" applyBorder="1" applyAlignment="1" applyProtection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165" fontId="23" fillId="23" borderId="12" xfId="1" applyNumberFormat="1" applyFont="1" applyFill="1" applyBorder="1" applyAlignment="1" applyProtection="1"/>
    <xf numFmtId="37" fontId="23" fillId="0" borderId="0" xfId="1" applyNumberFormat="1" applyFont="1" applyFill="1" applyBorder="1" applyAlignment="1" applyProtection="1">
      <alignment horizontal="center" vertical="center" wrapText="1"/>
    </xf>
    <xf numFmtId="3" fontId="23" fillId="0" borderId="0" xfId="0" applyNumberFormat="1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3" fontId="22" fillId="24" borderId="10" xfId="0" applyNumberFormat="1" applyFont="1" applyFill="1" applyBorder="1" applyAlignment="1">
      <alignment horizontal="center" vertical="center"/>
    </xf>
    <xf numFmtId="0" fontId="23" fillId="23" borderId="0" xfId="0" applyFont="1" applyFill="1"/>
    <xf numFmtId="0" fontId="22" fillId="0" borderId="0" xfId="0" applyFont="1" applyAlignment="1">
      <alignment horizontal="center" vertical="center"/>
    </xf>
    <xf numFmtId="166" fontId="23" fillId="0" borderId="10" xfId="45" applyNumberFormat="1" applyFont="1" applyFill="1" applyBorder="1" applyAlignment="1" applyProtection="1">
      <alignment horizontal="center" vertical="center"/>
    </xf>
    <xf numFmtId="167" fontId="22" fillId="0" borderId="13" xfId="2" applyFont="1" applyBorder="1" applyAlignment="1">
      <alignment horizontal="center" vertical="center"/>
    </xf>
    <xf numFmtId="167" fontId="22" fillId="0" borderId="11" xfId="2" applyFont="1" applyBorder="1" applyAlignment="1">
      <alignment horizontal="center" vertical="center"/>
    </xf>
    <xf numFmtId="167" fontId="21" fillId="0" borderId="0" xfId="2" applyFont="1" applyAlignment="1">
      <alignment horizontal="center" vertical="center"/>
    </xf>
    <xf numFmtId="49" fontId="21" fillId="0" borderId="0" xfId="2" applyNumberFormat="1" applyFont="1" applyAlignment="1">
      <alignment horizontal="center" vertical="center"/>
    </xf>
    <xf numFmtId="167" fontId="22" fillId="0" borderId="10" xfId="2" applyFont="1" applyBorder="1" applyAlignment="1">
      <alignment horizontal="center" vertical="center" wrapText="1"/>
    </xf>
    <xf numFmtId="3" fontId="22" fillId="0" borderId="10" xfId="2" applyNumberFormat="1" applyFont="1" applyBorder="1" applyAlignment="1">
      <alignment horizontal="center" vertical="center"/>
    </xf>
    <xf numFmtId="167" fontId="22" fillId="0" borderId="10" xfId="2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116">
    <cellStyle name="_ALCATRAZ RESUMEN  CEBRA MAYO DE 2008" xfId="3" xr:uid="{18B034A6-98D4-4F18-AC74-B6EBD53FE82E}"/>
    <cellStyle name="_ALCATRAZ RESUMEN  CEBRA MAYO DE 2008 2" xfId="60" xr:uid="{8A9E9504-DD6F-4444-9792-15CE42150965}"/>
    <cellStyle name="_CEBRA_CAIQUERO_MAYO(1)" xfId="4" xr:uid="{2FCA2BA8-3887-4CE8-BCE8-6F7194D8A8A9}"/>
    <cellStyle name="_CEBRA_CAIQUERO_MAYO(1) 2" xfId="61" xr:uid="{0C6A2484-A4F0-4A76-B539-F5F2229752D5}"/>
    <cellStyle name="_informe servicios mes de mayo" xfId="5" xr:uid="{EC0D79FC-5135-4CD2-A646-366E74B4F307}"/>
    <cellStyle name="_informe servicios mes de mayo 2" xfId="62" xr:uid="{F97CA655-602E-41E0-8AEB-7EE10F345466}"/>
    <cellStyle name="_INV" xfId="6" xr:uid="{AF94A403-9562-4B72-B1A7-020AFACC9BC6}"/>
    <cellStyle name="_INV 2" xfId="63" xr:uid="{71CF3448-B8A1-42D2-B6F0-F11850AACC76}"/>
    <cellStyle name="_INV MAYO" xfId="7" xr:uid="{D294614C-E77E-4DAA-A97A-8966F6A0FD7B}"/>
    <cellStyle name="_INV MAYO 2" xfId="64" xr:uid="{D96F58C4-C0AF-4712-B2C3-EC0E95B33F0B}"/>
    <cellStyle name="_INVIAS SERVICIOS UNIDADES" xfId="8" xr:uid="{23895AE1-5721-42CD-9C4B-7654AE3072FC}"/>
    <cellStyle name="_INVIAS SERVICIOS UNIDADES 2" xfId="65" xr:uid="{100B7E68-8895-4FA3-8CEC-CA009F86EAE0}"/>
    <cellStyle name="_SER CT INV" xfId="9" xr:uid="{9729B7AE-1045-4757-8E9B-99E7EEB71875}"/>
    <cellStyle name="_SER CT INV 2" xfId="66" xr:uid="{D4DAA1EF-2795-4CF4-9ED6-FAA99199B3F3}"/>
    <cellStyle name="_SER GRUA INV" xfId="10" xr:uid="{1AF98E7F-C713-401C-9A0B-09AAC2783D99}"/>
    <cellStyle name="_SER GRUA INV 2" xfId="67" xr:uid="{8DECE94C-D421-4157-B6D2-766E3B5B40FE}"/>
    <cellStyle name="_SER. POS" xfId="11" xr:uid="{44CB3EB7-76E3-44B1-ACBB-52DBAA02D2A4}"/>
    <cellStyle name="_SER. POS 2" xfId="68" xr:uid="{280E9AF1-32D8-4F8E-B5A5-11203A89946C}"/>
    <cellStyle name="_servicios de 2007 a 2008" xfId="12" xr:uid="{13A98E52-74FC-45D1-8174-EE0E087AAC24}"/>
    <cellStyle name="_servicios de 2007 a 2008 2" xfId="69" xr:uid="{A6B7152E-AF78-4494-BB25-FC98E82FEC9D}"/>
    <cellStyle name="20% - Énfasis1 2" xfId="70" xr:uid="{E17AC3BC-1C0F-486D-A5A4-E58EB93DBC89}"/>
    <cellStyle name="20% - Énfasis1 3" xfId="13" xr:uid="{96773BF8-8878-4EBA-BC82-AA8B80FE2F45}"/>
    <cellStyle name="20% - Énfasis2 2" xfId="71" xr:uid="{F1EA5F81-0481-4C1D-B6F3-103948569F36}"/>
    <cellStyle name="20% - Énfasis2 3" xfId="14" xr:uid="{AA10FBFD-9A8B-42AB-A55C-FEE1242151C6}"/>
    <cellStyle name="20% - Énfasis3 2" xfId="72" xr:uid="{5790546F-575D-4D49-A259-96F5380D7069}"/>
    <cellStyle name="20% - Énfasis3 3" xfId="15" xr:uid="{AA9813F3-EC6D-426E-A600-D618CA5FF169}"/>
    <cellStyle name="20% - Énfasis4 2" xfId="73" xr:uid="{B1463FB0-2000-4855-A33A-B53BC24DD4BA}"/>
    <cellStyle name="20% - Énfasis4 3" xfId="16" xr:uid="{311F65ED-683C-4BF5-81E6-61E7BB1254F6}"/>
    <cellStyle name="20% - Énfasis5 2" xfId="74" xr:uid="{643CB0BC-0B95-4639-A9A6-D27EFAB4E4D4}"/>
    <cellStyle name="20% - Énfasis5 3" xfId="17" xr:uid="{1A16C87C-FC00-4DE3-BFAC-C135B4E09DE4}"/>
    <cellStyle name="20% - Énfasis6 2" xfId="75" xr:uid="{65350A91-8D88-453A-B5FF-D497744CC7F0}"/>
    <cellStyle name="20% - Énfasis6 3" xfId="18" xr:uid="{7DB4BDA8-84C5-4A4F-B07C-CFEE52977EB5}"/>
    <cellStyle name="40% - Énfasis1 2" xfId="76" xr:uid="{86B10268-4D31-491F-AFCD-D5B67C9D4EAE}"/>
    <cellStyle name="40% - Énfasis1 3" xfId="19" xr:uid="{AE243ECB-1560-4323-89A6-6DB5770D4F84}"/>
    <cellStyle name="40% - Énfasis2 2" xfId="77" xr:uid="{77E624FF-FAE8-4BBD-92AC-A8A517D0B83B}"/>
    <cellStyle name="40% - Énfasis2 3" xfId="20" xr:uid="{F8468849-CF04-4A16-A93E-D2B5288E66EA}"/>
    <cellStyle name="40% - Énfasis3 2" xfId="78" xr:uid="{E895A990-E21A-4381-8B85-A422A758B554}"/>
    <cellStyle name="40% - Énfasis3 3" xfId="21" xr:uid="{888CFCD7-2DE7-4722-939A-888B649D97E8}"/>
    <cellStyle name="40% - Énfasis4 2" xfId="79" xr:uid="{89CDAD73-161B-4EBB-A38C-F2B0C6B7CE6E}"/>
    <cellStyle name="40% - Énfasis4 3" xfId="22" xr:uid="{6647FF40-806F-43A8-BD23-B84793225D97}"/>
    <cellStyle name="40% - Énfasis5 2" xfId="80" xr:uid="{1FBF1CF9-60B3-4176-B4D5-BC77790EDED5}"/>
    <cellStyle name="40% - Énfasis5 3" xfId="23" xr:uid="{D5A5CE5A-752B-4647-AB94-0804AE98B8C3}"/>
    <cellStyle name="40% - Énfasis6 2" xfId="81" xr:uid="{DB104A55-5EE9-4742-A51D-ABAD25DF3DF8}"/>
    <cellStyle name="40% - Énfasis6 3" xfId="24" xr:uid="{8EAB72E0-E56E-4BD1-B0DD-504074CECB3F}"/>
    <cellStyle name="60% - Énfasis1 2" xfId="82" xr:uid="{FBE2212C-F465-4C5B-BA0D-7BBF37D7BA3D}"/>
    <cellStyle name="60% - Énfasis1 3" xfId="25" xr:uid="{52609AC3-122B-4B91-9BDE-DBA62D349092}"/>
    <cellStyle name="60% - Énfasis2 2" xfId="83" xr:uid="{0D7F8609-132D-46B5-B87A-CF2E919DC0FD}"/>
    <cellStyle name="60% - Énfasis2 3" xfId="26" xr:uid="{D1DD36B6-31D0-465E-B3F6-2B572E818AB5}"/>
    <cellStyle name="60% - Énfasis3 2" xfId="84" xr:uid="{58EF59F1-45C6-4774-A921-DBE84A2061B1}"/>
    <cellStyle name="60% - Énfasis3 3" xfId="27" xr:uid="{4DC3D523-979F-4438-840B-2BBB49708524}"/>
    <cellStyle name="60% - Énfasis4 2" xfId="85" xr:uid="{E5238628-F556-4021-90E6-2F34BFB35D28}"/>
    <cellStyle name="60% - Énfasis4 3" xfId="28" xr:uid="{94E3C7E6-2133-4ED7-A1F9-D937763ACDDA}"/>
    <cellStyle name="60% - Énfasis5 2" xfId="86" xr:uid="{9455B63B-28B6-4B0E-9488-D18A7A33131B}"/>
    <cellStyle name="60% - Énfasis5 3" xfId="29" xr:uid="{F50B8CC0-A6AF-453F-A959-AB95150F5F51}"/>
    <cellStyle name="60% - Énfasis6 2" xfId="87" xr:uid="{824255A2-FAB6-4039-9DF7-469C3ACBD4CA}"/>
    <cellStyle name="60% - Énfasis6 3" xfId="30" xr:uid="{574D95B4-DBBC-4809-B2A3-4C42687C2FA9}"/>
    <cellStyle name="Buena 2" xfId="88" xr:uid="{6B682E63-BFDA-4B76-988B-7FD539455C64}"/>
    <cellStyle name="Bueno 2" xfId="31" xr:uid="{AF7E10EF-A0CE-4C81-9889-D266BD750A00}"/>
    <cellStyle name="Cálculo 2" xfId="89" xr:uid="{48FB8384-66A2-4514-BEA2-04CCD9AEFE31}"/>
    <cellStyle name="Cálculo 3" xfId="32" xr:uid="{52E78FFE-AE00-4421-A4AD-6A2DB2469314}"/>
    <cellStyle name="Celda de comprobación 2" xfId="90" xr:uid="{445BD833-B3BC-4567-B727-90E591806E8B}"/>
    <cellStyle name="Celda de comprobación 3" xfId="33" xr:uid="{FCF1F1A8-EE87-402D-AA16-B92553C6724E}"/>
    <cellStyle name="Celda vinculada 2" xfId="91" xr:uid="{4A18E5DB-714D-4892-A704-7200BBB089E5}"/>
    <cellStyle name="Celda vinculada 3" xfId="34" xr:uid="{5B5EEB24-54DC-4101-9E25-CD71CAF2398E}"/>
    <cellStyle name="Encabezado 1 2" xfId="109" xr:uid="{88A00E5F-E5F7-4105-821E-F86B79E128D7}"/>
    <cellStyle name="Encabezado 1 3" xfId="55" xr:uid="{A6148D43-4191-4792-87AA-D2B1908D5914}"/>
    <cellStyle name="Encabezado 4 2" xfId="92" xr:uid="{E018544F-5653-488E-B8DB-621E11F95640}"/>
    <cellStyle name="Encabezado 4 3" xfId="35" xr:uid="{5A0DF571-33B4-46E0-AFE6-71E81C8EB92C}"/>
    <cellStyle name="Énfasis1 2" xfId="93" xr:uid="{B036555B-15CF-4866-9C1C-40A22AEA9E47}"/>
    <cellStyle name="Énfasis1 3" xfId="36" xr:uid="{9EAA8563-E87E-47C8-8F5D-95B0813CFE5F}"/>
    <cellStyle name="Énfasis2 2" xfId="94" xr:uid="{10D03D05-DEAE-4E1B-97FB-79D2E7C5C9AE}"/>
    <cellStyle name="Énfasis2 3" xfId="37" xr:uid="{81C0C71F-862D-4C74-BB47-05829690674C}"/>
    <cellStyle name="Énfasis3 2" xfId="95" xr:uid="{7DFF70F2-3252-4106-9DBA-F7B7EB5FFA5C}"/>
    <cellStyle name="Énfasis3 3" xfId="38" xr:uid="{D8988C0F-9150-47B7-B972-AECC427C2E15}"/>
    <cellStyle name="Énfasis4 2" xfId="96" xr:uid="{E779EB69-3DE9-4F8D-94B8-A499468616D4}"/>
    <cellStyle name="Énfasis4 3" xfId="39" xr:uid="{6A430CB4-D598-438A-BC98-198FAF1D7C03}"/>
    <cellStyle name="Énfasis5 2" xfId="97" xr:uid="{32FDE99E-57C4-43A3-B921-5C14B5A06402}"/>
    <cellStyle name="Énfasis5 3" xfId="40" xr:uid="{05FB7293-9064-4C0D-ADE4-AF78F203F29C}"/>
    <cellStyle name="Énfasis6 2" xfId="98" xr:uid="{1D93CB3C-C80D-4196-BC45-D74791119ADA}"/>
    <cellStyle name="Énfasis6 3" xfId="41" xr:uid="{04D7A433-B60A-47A2-A336-62ADA0CAD0CC}"/>
    <cellStyle name="Entrada 2" xfId="99" xr:uid="{749530BB-16B9-4334-A552-061A4C46A30D}"/>
    <cellStyle name="Entrada 3" xfId="42" xr:uid="{C12A3F57-62DA-4F63-9B26-FAEE015C4D8F}"/>
    <cellStyle name="Euro" xfId="43" xr:uid="{5F25ABFA-AF5C-4037-986B-A83179977FCC}"/>
    <cellStyle name="Euro 2" xfId="100" xr:uid="{32B5511A-CD10-489A-87DD-C94469411F20}"/>
    <cellStyle name="Incorrecto 2" xfId="101" xr:uid="{2B7E2E92-FF21-4889-82F1-9A72471B4E15}"/>
    <cellStyle name="Incorrecto 3" xfId="44" xr:uid="{40E452AE-0673-459F-9B0B-94B29B1173D7}"/>
    <cellStyle name="Millares" xfId="1" builtinId="3"/>
    <cellStyle name="Millares 2" xfId="102" xr:uid="{CC4B3F60-3A0C-49A6-8039-47AC422CF8B7}"/>
    <cellStyle name="Millares 3" xfId="45" xr:uid="{2362E7AD-96D1-4875-9E87-57EE01CE4774}"/>
    <cellStyle name="Millares_TRAFICO CAIQUERO_1" xfId="46" xr:uid="{0A95BDC4-1C82-4155-BC98-C6F523D9FFDC}"/>
    <cellStyle name="Moneda 2" xfId="47" xr:uid="{4449BA09-4E6F-430B-93B7-FF2F22955EE6}"/>
    <cellStyle name="Neutral 2" xfId="103" xr:uid="{2E48BA39-0412-43E6-A949-8C43E9816457}"/>
    <cellStyle name="Neutral 3" xfId="48" xr:uid="{5941ACE8-DC90-4D57-9290-9BF4A28E195A}"/>
    <cellStyle name="Normal" xfId="0" builtinId="0"/>
    <cellStyle name="Normal 2" xfId="59" xr:uid="{ACAB2330-F1F7-4662-BFC4-1939859DC837}"/>
    <cellStyle name="Normal 3" xfId="2" xr:uid="{8E6507D5-3C29-4E41-8B64-62DEACF9F8E4}"/>
    <cellStyle name="Normal 3 2" xfId="113" xr:uid="{307411AD-0CBB-47D9-8DB1-D2BD70BBD9A1}"/>
    <cellStyle name="Normal 4" xfId="114" xr:uid="{925C4E1A-3ACF-4186-A996-5C2A45EC656D}"/>
    <cellStyle name="Normal 4 2" xfId="115" xr:uid="{EEEAF10B-F9BE-4374-BEC2-291BF2B37280}"/>
    <cellStyle name="Notas 2" xfId="104" xr:uid="{884DAB00-F664-4DBF-B150-784FCC1B7A4A}"/>
    <cellStyle name="Notas 3" xfId="49" xr:uid="{ECF559CD-1B1B-46E6-A41F-7D76F367C85C}"/>
    <cellStyle name="Porcentaje 2" xfId="50" xr:uid="{242FEE1C-4A9C-4E66-9069-E3CD4198F7E5}"/>
    <cellStyle name="Salida 2" xfId="105" xr:uid="{32E421D4-9E15-4193-B7FC-3B4065D9A1A4}"/>
    <cellStyle name="Salida 3" xfId="51" xr:uid="{939C8687-EED0-4449-812F-A2EDC4E6260E}"/>
    <cellStyle name="Texto de advertencia 2" xfId="106" xr:uid="{D188FD4D-E514-4DD0-BE52-DAAC7E0B4230}"/>
    <cellStyle name="Texto de advertencia 3" xfId="52" xr:uid="{D8921EFF-09A8-4C56-B5B7-98F8CFEA9029}"/>
    <cellStyle name="Texto explicativo 2" xfId="107" xr:uid="{871DEEE7-BDF0-4AC5-8F10-6FC09CD1802B}"/>
    <cellStyle name="Texto explicativo 3" xfId="53" xr:uid="{C4333E1F-A1F5-45E2-8AF7-FF0EE605C4B2}"/>
    <cellStyle name="Título 2 2" xfId="110" xr:uid="{6B132C8D-CA69-46C9-B9BD-4D898D374833}"/>
    <cellStyle name="Título 2 3" xfId="56" xr:uid="{CBC3AC39-F313-4154-BE5F-98B700D695AF}"/>
    <cellStyle name="Título 3 2" xfId="111" xr:uid="{B024D6DB-0A62-4D9F-B66B-B47FB079B235}"/>
    <cellStyle name="Título 3 3" xfId="57" xr:uid="{0270F0D4-A144-40A4-85AC-FB4832E8C2F4}"/>
    <cellStyle name="Título 4" xfId="108" xr:uid="{E712266F-9E61-4FA1-AE78-725259B97A4D}"/>
    <cellStyle name="Título 5" xfId="54" xr:uid="{41194488-70A5-494F-BB91-A864A0F1C65E}"/>
    <cellStyle name="Total 2" xfId="112" xr:uid="{7ABD71F2-1453-4F9A-8F72-9D4D1DB27C88}"/>
    <cellStyle name="Total 3" xfId="58" xr:uid="{F4FFE2BC-583A-4D2A-8D66-5B7947AF5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1A2-26D8-49BB-9F18-6A8B3F91B685}">
  <dimension ref="A1:Z46"/>
  <sheetViews>
    <sheetView workbookViewId="0">
      <selection activeCell="E14" sqref="E14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9019</v>
      </c>
      <c r="C6" s="4">
        <v>0</v>
      </c>
      <c r="D6" s="4">
        <v>496</v>
      </c>
      <c r="E6" s="4">
        <v>33</v>
      </c>
      <c r="F6" s="4">
        <v>63</v>
      </c>
      <c r="G6" s="4">
        <v>71</v>
      </c>
      <c r="H6" s="4">
        <v>9682</v>
      </c>
      <c r="I6" s="4">
        <v>0</v>
      </c>
      <c r="J6" s="5"/>
      <c r="K6" s="3">
        <v>1</v>
      </c>
      <c r="L6" s="4">
        <v>1</v>
      </c>
      <c r="M6" s="4">
        <v>4</v>
      </c>
      <c r="N6" s="4">
        <v>2</v>
      </c>
      <c r="O6" s="4">
        <f>SUM(L6:N6)</f>
        <v>7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14572</v>
      </c>
      <c r="C7" s="4">
        <v>0</v>
      </c>
      <c r="D7" s="4">
        <v>856</v>
      </c>
      <c r="E7" s="4">
        <v>60</v>
      </c>
      <c r="F7" s="4">
        <v>148</v>
      </c>
      <c r="G7" s="4">
        <v>185</v>
      </c>
      <c r="H7" s="4">
        <v>15821</v>
      </c>
      <c r="I7" s="4">
        <v>0</v>
      </c>
      <c r="J7" s="5"/>
      <c r="K7" s="3">
        <v>2</v>
      </c>
      <c r="L7" s="4">
        <v>0</v>
      </c>
      <c r="M7" s="4">
        <v>2</v>
      </c>
      <c r="N7" s="4">
        <v>0</v>
      </c>
      <c r="O7" s="4">
        <f t="shared" ref="O7:O36" si="0">SUM(L7:N7)</f>
        <v>2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19209</v>
      </c>
      <c r="C8" s="4">
        <v>2</v>
      </c>
      <c r="D8" s="4">
        <v>879</v>
      </c>
      <c r="E8" s="4">
        <v>42</v>
      </c>
      <c r="F8" s="4">
        <v>94</v>
      </c>
      <c r="G8" s="4">
        <v>75</v>
      </c>
      <c r="H8" s="4">
        <v>20301</v>
      </c>
      <c r="I8" s="4">
        <v>0</v>
      </c>
      <c r="J8" s="5"/>
      <c r="K8" s="3">
        <v>3</v>
      </c>
      <c r="L8" s="4">
        <v>0</v>
      </c>
      <c r="M8" s="4">
        <v>6</v>
      </c>
      <c r="N8" s="4">
        <v>1</v>
      </c>
      <c r="O8" s="4">
        <f t="shared" si="0"/>
        <v>7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10959</v>
      </c>
      <c r="C9" s="4">
        <v>2</v>
      </c>
      <c r="D9" s="4">
        <v>1210</v>
      </c>
      <c r="E9" s="4">
        <v>140</v>
      </c>
      <c r="F9" s="4">
        <v>233</v>
      </c>
      <c r="G9" s="4">
        <v>289</v>
      </c>
      <c r="H9" s="4">
        <v>12833</v>
      </c>
      <c r="I9" s="4">
        <v>0</v>
      </c>
      <c r="J9" s="5"/>
      <c r="K9" s="3">
        <v>4</v>
      </c>
      <c r="L9" s="4">
        <v>0</v>
      </c>
      <c r="M9" s="4">
        <v>4</v>
      </c>
      <c r="N9" s="4">
        <v>6</v>
      </c>
      <c r="O9" s="4">
        <f t="shared" si="0"/>
        <v>10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8751</v>
      </c>
      <c r="C10" s="4">
        <v>2</v>
      </c>
      <c r="D10" s="4">
        <v>1357</v>
      </c>
      <c r="E10" s="4">
        <v>138</v>
      </c>
      <c r="F10" s="4">
        <v>196</v>
      </c>
      <c r="G10" s="4">
        <v>267</v>
      </c>
      <c r="H10" s="4">
        <v>10711</v>
      </c>
      <c r="I10" s="4">
        <v>0</v>
      </c>
      <c r="J10" s="5"/>
      <c r="K10" s="3">
        <v>5</v>
      </c>
      <c r="L10" s="4">
        <v>0</v>
      </c>
      <c r="M10" s="4">
        <v>6</v>
      </c>
      <c r="N10" s="4">
        <v>2</v>
      </c>
      <c r="O10" s="4">
        <f t="shared" si="0"/>
        <v>8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8150</v>
      </c>
      <c r="C11" s="4">
        <v>0</v>
      </c>
      <c r="D11" s="4">
        <v>1415</v>
      </c>
      <c r="E11" s="4">
        <v>185</v>
      </c>
      <c r="F11" s="4">
        <v>204</v>
      </c>
      <c r="G11" s="4">
        <v>308</v>
      </c>
      <c r="H11" s="4">
        <v>10262</v>
      </c>
      <c r="I11" s="4">
        <v>0</v>
      </c>
      <c r="J11" s="5"/>
      <c r="K11" s="3">
        <v>6</v>
      </c>
      <c r="L11" s="4">
        <v>1</v>
      </c>
      <c r="M11" s="4">
        <v>7</v>
      </c>
      <c r="N11" s="4">
        <v>4</v>
      </c>
      <c r="O11" s="4">
        <f t="shared" si="0"/>
        <v>12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8390</v>
      </c>
      <c r="C12" s="4">
        <v>0</v>
      </c>
      <c r="D12" s="4">
        <v>1416</v>
      </c>
      <c r="E12" s="4">
        <v>236</v>
      </c>
      <c r="F12" s="4">
        <v>215</v>
      </c>
      <c r="G12" s="4">
        <v>279</v>
      </c>
      <c r="H12" s="4">
        <v>10536</v>
      </c>
      <c r="I12" s="4">
        <v>0</v>
      </c>
      <c r="J12" s="6"/>
      <c r="K12" s="3">
        <v>7</v>
      </c>
      <c r="L12" s="4">
        <v>1</v>
      </c>
      <c r="M12" s="4">
        <v>11</v>
      </c>
      <c r="N12" s="4">
        <v>4</v>
      </c>
      <c r="O12" s="4">
        <f t="shared" si="0"/>
        <v>16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10577</v>
      </c>
      <c r="C13" s="4">
        <v>0</v>
      </c>
      <c r="D13" s="4">
        <v>1384</v>
      </c>
      <c r="E13" s="4">
        <v>220</v>
      </c>
      <c r="F13" s="4">
        <v>237</v>
      </c>
      <c r="G13" s="4">
        <v>225</v>
      </c>
      <c r="H13" s="4">
        <v>12643</v>
      </c>
      <c r="I13" s="4">
        <v>0</v>
      </c>
      <c r="J13" s="6"/>
      <c r="K13" s="3">
        <v>8</v>
      </c>
      <c r="L13" s="4">
        <v>0</v>
      </c>
      <c r="M13" s="4">
        <v>10</v>
      </c>
      <c r="N13" s="4">
        <v>1</v>
      </c>
      <c r="O13" s="4">
        <f t="shared" si="0"/>
        <v>11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11732</v>
      </c>
      <c r="C14" s="4">
        <v>0</v>
      </c>
      <c r="D14" s="4">
        <v>1163</v>
      </c>
      <c r="E14" s="4">
        <v>84</v>
      </c>
      <c r="F14" s="4">
        <v>162</v>
      </c>
      <c r="G14" s="4">
        <v>168</v>
      </c>
      <c r="H14" s="4">
        <v>13309</v>
      </c>
      <c r="I14" s="4">
        <v>0</v>
      </c>
      <c r="J14" s="6"/>
      <c r="K14" s="3">
        <v>9</v>
      </c>
      <c r="L14" s="4">
        <v>0</v>
      </c>
      <c r="M14" s="4">
        <v>2</v>
      </c>
      <c r="N14" s="4">
        <v>0</v>
      </c>
      <c r="O14" s="4">
        <f t="shared" si="0"/>
        <v>2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13560</v>
      </c>
      <c r="C15" s="4">
        <v>2</v>
      </c>
      <c r="D15" s="4">
        <v>1022</v>
      </c>
      <c r="E15" s="4">
        <v>71</v>
      </c>
      <c r="F15" s="4">
        <v>122</v>
      </c>
      <c r="G15" s="4">
        <v>137</v>
      </c>
      <c r="H15" s="4">
        <v>14914</v>
      </c>
      <c r="I15" s="4">
        <v>0</v>
      </c>
      <c r="J15" s="6"/>
      <c r="K15" s="3">
        <v>10</v>
      </c>
      <c r="L15" s="4">
        <v>1</v>
      </c>
      <c r="M15" s="4">
        <v>4</v>
      </c>
      <c r="N15" s="4">
        <v>1</v>
      </c>
      <c r="O15" s="4">
        <f t="shared" si="0"/>
        <v>6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12384</v>
      </c>
      <c r="C16" s="4">
        <v>0</v>
      </c>
      <c r="D16" s="4">
        <v>951</v>
      </c>
      <c r="E16" s="4">
        <v>66</v>
      </c>
      <c r="F16" s="4">
        <v>69</v>
      </c>
      <c r="G16" s="4">
        <v>113</v>
      </c>
      <c r="H16" s="4">
        <v>13583</v>
      </c>
      <c r="I16" s="4">
        <v>0</v>
      </c>
      <c r="J16" s="6"/>
      <c r="K16" s="3">
        <v>11</v>
      </c>
      <c r="L16" s="4">
        <v>0</v>
      </c>
      <c r="M16" s="4">
        <v>2</v>
      </c>
      <c r="N16" s="4">
        <v>0</v>
      </c>
      <c r="O16" s="4">
        <f t="shared" si="0"/>
        <v>2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6589</v>
      </c>
      <c r="C17" s="4">
        <v>2</v>
      </c>
      <c r="D17" s="4">
        <v>1457</v>
      </c>
      <c r="E17" s="4">
        <v>201</v>
      </c>
      <c r="F17" s="4">
        <v>214</v>
      </c>
      <c r="G17" s="4">
        <v>304</v>
      </c>
      <c r="H17" s="4">
        <v>8767</v>
      </c>
      <c r="I17" s="4">
        <v>0</v>
      </c>
      <c r="J17" s="6"/>
      <c r="K17" s="3">
        <v>12</v>
      </c>
      <c r="L17" s="4">
        <v>3</v>
      </c>
      <c r="M17" s="4">
        <v>7</v>
      </c>
      <c r="N17" s="4">
        <v>12</v>
      </c>
      <c r="O17" s="4">
        <f t="shared" si="0"/>
        <v>22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5072</v>
      </c>
      <c r="C18" s="4">
        <v>0</v>
      </c>
      <c r="D18" s="4">
        <v>1433</v>
      </c>
      <c r="E18" s="4">
        <v>212</v>
      </c>
      <c r="F18" s="4">
        <v>218</v>
      </c>
      <c r="G18" s="4">
        <v>307</v>
      </c>
      <c r="H18" s="4">
        <v>7242</v>
      </c>
      <c r="I18" s="4">
        <v>0</v>
      </c>
      <c r="J18" s="6"/>
      <c r="K18" s="3">
        <v>13</v>
      </c>
      <c r="L18" s="4">
        <v>0</v>
      </c>
      <c r="M18" s="4">
        <v>10</v>
      </c>
      <c r="N18" s="4">
        <v>5</v>
      </c>
      <c r="O18" s="4">
        <f t="shared" si="0"/>
        <v>15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4574</v>
      </c>
      <c r="C19" s="4">
        <v>0</v>
      </c>
      <c r="D19" s="4">
        <v>1435</v>
      </c>
      <c r="E19" s="4">
        <v>229</v>
      </c>
      <c r="F19" s="4">
        <v>219</v>
      </c>
      <c r="G19" s="4">
        <v>298</v>
      </c>
      <c r="H19" s="4">
        <v>6755</v>
      </c>
      <c r="I19" s="4">
        <v>0</v>
      </c>
      <c r="J19" s="6"/>
      <c r="K19" s="3">
        <v>14</v>
      </c>
      <c r="L19" s="4">
        <v>0</v>
      </c>
      <c r="M19" s="4">
        <v>6</v>
      </c>
      <c r="N19" s="4">
        <v>4</v>
      </c>
      <c r="O19" s="4">
        <f t="shared" si="0"/>
        <v>10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5359</v>
      </c>
      <c r="C20" s="4">
        <v>0</v>
      </c>
      <c r="D20" s="4">
        <v>1314</v>
      </c>
      <c r="E20" s="4">
        <v>200</v>
      </c>
      <c r="F20" s="4">
        <v>215</v>
      </c>
      <c r="G20" s="4">
        <v>288</v>
      </c>
      <c r="H20" s="4">
        <v>7376</v>
      </c>
      <c r="I20" s="4">
        <v>0</v>
      </c>
      <c r="J20" s="6"/>
      <c r="K20" s="3">
        <v>15</v>
      </c>
      <c r="L20" s="4">
        <v>1</v>
      </c>
      <c r="M20" s="4">
        <v>5</v>
      </c>
      <c r="N20" s="4">
        <v>4</v>
      </c>
      <c r="O20" s="4">
        <f t="shared" si="0"/>
        <v>10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5807</v>
      </c>
      <c r="C21" s="4">
        <v>0</v>
      </c>
      <c r="D21" s="4">
        <v>1171</v>
      </c>
      <c r="E21" s="4">
        <v>153</v>
      </c>
      <c r="F21" s="4">
        <v>223</v>
      </c>
      <c r="G21" s="4">
        <v>252</v>
      </c>
      <c r="H21" s="4">
        <v>7606</v>
      </c>
      <c r="I21" s="4">
        <v>0</v>
      </c>
      <c r="J21" s="6"/>
      <c r="K21" s="3">
        <v>16</v>
      </c>
      <c r="L21" s="4">
        <v>2</v>
      </c>
      <c r="M21" s="4">
        <v>3</v>
      </c>
      <c r="N21" s="4">
        <v>2</v>
      </c>
      <c r="O21" s="4">
        <f t="shared" si="0"/>
        <v>7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7225</v>
      </c>
      <c r="C22" s="4">
        <v>0</v>
      </c>
      <c r="D22" s="4">
        <v>970</v>
      </c>
      <c r="E22" s="4">
        <v>131</v>
      </c>
      <c r="F22" s="4">
        <v>147</v>
      </c>
      <c r="G22" s="4">
        <v>225</v>
      </c>
      <c r="H22" s="4">
        <v>8698</v>
      </c>
      <c r="I22" s="4">
        <v>0</v>
      </c>
      <c r="J22" s="6"/>
      <c r="K22" s="3">
        <v>17</v>
      </c>
      <c r="L22" s="4">
        <v>0</v>
      </c>
      <c r="M22" s="4">
        <v>4</v>
      </c>
      <c r="N22" s="4">
        <v>2</v>
      </c>
      <c r="O22" s="4">
        <f t="shared" si="0"/>
        <v>6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3668</v>
      </c>
      <c r="C23" s="4">
        <v>2</v>
      </c>
      <c r="D23" s="4">
        <v>1197</v>
      </c>
      <c r="E23" s="4">
        <v>163</v>
      </c>
      <c r="F23" s="4">
        <v>239</v>
      </c>
      <c r="G23" s="4">
        <v>282</v>
      </c>
      <c r="H23" s="4">
        <v>5551</v>
      </c>
      <c r="I23" s="4">
        <v>0</v>
      </c>
      <c r="J23" s="6"/>
      <c r="K23" s="3">
        <v>18</v>
      </c>
      <c r="L23" s="4">
        <v>1</v>
      </c>
      <c r="M23" s="4">
        <v>6</v>
      </c>
      <c r="N23" s="4">
        <v>3</v>
      </c>
      <c r="O23" s="4">
        <f t="shared" si="0"/>
        <v>10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3384</v>
      </c>
      <c r="C24" s="4">
        <v>0</v>
      </c>
      <c r="D24" s="4">
        <v>1370</v>
      </c>
      <c r="E24" s="4">
        <v>195</v>
      </c>
      <c r="F24" s="4">
        <v>214</v>
      </c>
      <c r="G24" s="4">
        <v>305</v>
      </c>
      <c r="H24" s="4">
        <v>5468</v>
      </c>
      <c r="I24" s="4">
        <v>0</v>
      </c>
      <c r="J24" s="6"/>
      <c r="K24" s="3">
        <v>19</v>
      </c>
      <c r="L24" s="4">
        <v>0</v>
      </c>
      <c r="M24" s="4">
        <v>6</v>
      </c>
      <c r="N24" s="4">
        <v>0</v>
      </c>
      <c r="O24" s="4">
        <f t="shared" si="0"/>
        <v>6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3343</v>
      </c>
      <c r="C25" s="4">
        <v>4</v>
      </c>
      <c r="D25" s="4">
        <v>1345</v>
      </c>
      <c r="E25" s="4">
        <v>228</v>
      </c>
      <c r="F25" s="4">
        <v>217</v>
      </c>
      <c r="G25" s="4">
        <v>343</v>
      </c>
      <c r="H25" s="4">
        <v>5480</v>
      </c>
      <c r="I25" s="4">
        <v>0</v>
      </c>
      <c r="J25" s="6"/>
      <c r="K25" s="3">
        <v>20</v>
      </c>
      <c r="L25" s="4">
        <v>3</v>
      </c>
      <c r="M25" s="4">
        <v>6</v>
      </c>
      <c r="N25" s="4">
        <v>3</v>
      </c>
      <c r="O25" s="4">
        <f t="shared" si="0"/>
        <v>12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3467</v>
      </c>
      <c r="C26" s="4">
        <v>2</v>
      </c>
      <c r="D26" s="4">
        <v>1365</v>
      </c>
      <c r="E26" s="4">
        <v>220</v>
      </c>
      <c r="F26" s="4">
        <v>227</v>
      </c>
      <c r="G26" s="4">
        <v>353</v>
      </c>
      <c r="H26" s="4">
        <v>5634</v>
      </c>
      <c r="I26" s="4">
        <v>0</v>
      </c>
      <c r="J26" s="6"/>
      <c r="K26" s="3">
        <v>21</v>
      </c>
      <c r="L26" s="4">
        <v>1</v>
      </c>
      <c r="M26" s="4">
        <v>16</v>
      </c>
      <c r="N26" s="4">
        <v>3</v>
      </c>
      <c r="O26" s="4">
        <f t="shared" si="0"/>
        <v>20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4667</v>
      </c>
      <c r="C27" s="4">
        <v>2</v>
      </c>
      <c r="D27" s="4">
        <v>1356</v>
      </c>
      <c r="E27" s="4">
        <v>154</v>
      </c>
      <c r="F27" s="4">
        <v>208</v>
      </c>
      <c r="G27" s="4">
        <v>303</v>
      </c>
      <c r="H27" s="4">
        <v>6690</v>
      </c>
      <c r="I27" s="4">
        <v>0</v>
      </c>
      <c r="J27" s="6"/>
      <c r="K27" s="3">
        <v>22</v>
      </c>
      <c r="L27" s="4">
        <v>2</v>
      </c>
      <c r="M27" s="4">
        <v>13</v>
      </c>
      <c r="N27" s="4">
        <v>4</v>
      </c>
      <c r="O27" s="4">
        <f t="shared" si="0"/>
        <v>19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5438</v>
      </c>
      <c r="C28" s="4">
        <v>0</v>
      </c>
      <c r="D28" s="4">
        <v>1152</v>
      </c>
      <c r="E28" s="4">
        <v>110</v>
      </c>
      <c r="F28" s="4">
        <v>187</v>
      </c>
      <c r="G28" s="4">
        <v>261</v>
      </c>
      <c r="H28" s="4">
        <v>7148</v>
      </c>
      <c r="I28" s="4">
        <v>0</v>
      </c>
      <c r="J28" s="6"/>
      <c r="K28" s="3">
        <v>23</v>
      </c>
      <c r="L28" s="4">
        <v>1</v>
      </c>
      <c r="M28" s="4">
        <v>10</v>
      </c>
      <c r="N28" s="4">
        <v>2</v>
      </c>
      <c r="O28" s="4">
        <f t="shared" si="0"/>
        <v>13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7153</v>
      </c>
      <c r="C29" s="4">
        <v>0</v>
      </c>
      <c r="D29" s="4">
        <v>966</v>
      </c>
      <c r="E29" s="4">
        <v>117</v>
      </c>
      <c r="F29" s="4">
        <v>130</v>
      </c>
      <c r="G29" s="4">
        <v>233</v>
      </c>
      <c r="H29" s="4">
        <v>8599</v>
      </c>
      <c r="I29" s="4">
        <v>0</v>
      </c>
      <c r="J29" s="6"/>
      <c r="K29" s="3">
        <v>24</v>
      </c>
      <c r="L29" s="4">
        <v>0</v>
      </c>
      <c r="M29" s="4">
        <v>3</v>
      </c>
      <c r="N29" s="4">
        <v>1</v>
      </c>
      <c r="O29" s="4">
        <f t="shared" si="0"/>
        <v>4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3305</v>
      </c>
      <c r="C30" s="4">
        <v>0</v>
      </c>
      <c r="D30" s="4">
        <v>1158</v>
      </c>
      <c r="E30" s="4">
        <v>185</v>
      </c>
      <c r="F30" s="4">
        <v>206</v>
      </c>
      <c r="G30" s="4">
        <v>293</v>
      </c>
      <c r="H30" s="4">
        <v>5147</v>
      </c>
      <c r="I30" s="4">
        <v>0</v>
      </c>
      <c r="J30" s="6"/>
      <c r="K30" s="3">
        <v>25</v>
      </c>
      <c r="L30" s="4">
        <v>0</v>
      </c>
      <c r="M30" s="4">
        <v>16</v>
      </c>
      <c r="N30" s="4">
        <v>5</v>
      </c>
      <c r="O30" s="4">
        <f t="shared" si="0"/>
        <v>21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2913</v>
      </c>
      <c r="C31" s="4">
        <v>2</v>
      </c>
      <c r="D31" s="4">
        <v>1277</v>
      </c>
      <c r="E31" s="4">
        <v>186</v>
      </c>
      <c r="F31" s="4">
        <v>226</v>
      </c>
      <c r="G31" s="4">
        <v>359</v>
      </c>
      <c r="H31" s="4">
        <v>4963</v>
      </c>
      <c r="I31" s="4">
        <v>0</v>
      </c>
      <c r="J31" s="6"/>
      <c r="K31" s="3">
        <v>26</v>
      </c>
      <c r="L31" s="4">
        <v>0</v>
      </c>
      <c r="M31" s="4">
        <v>8</v>
      </c>
      <c r="N31" s="4">
        <v>8</v>
      </c>
      <c r="O31" s="4">
        <f t="shared" si="0"/>
        <v>16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2856</v>
      </c>
      <c r="C32" s="4">
        <v>0</v>
      </c>
      <c r="D32" s="4">
        <v>1345</v>
      </c>
      <c r="E32" s="4">
        <v>202</v>
      </c>
      <c r="F32" s="4">
        <v>244</v>
      </c>
      <c r="G32" s="4">
        <v>386</v>
      </c>
      <c r="H32" s="4">
        <v>5033</v>
      </c>
      <c r="I32" s="4">
        <v>0</v>
      </c>
      <c r="J32" s="6"/>
      <c r="K32" s="3">
        <v>27</v>
      </c>
      <c r="L32" s="4">
        <v>2</v>
      </c>
      <c r="M32" s="4">
        <v>6</v>
      </c>
      <c r="N32" s="4">
        <v>3</v>
      </c>
      <c r="O32" s="4">
        <f t="shared" si="0"/>
        <v>11</v>
      </c>
      <c r="P32" s="19">
        <v>6135</v>
      </c>
    </row>
    <row r="33" spans="1:16" ht="15.6" thickTop="1" thickBot="1" x14ac:dyDescent="0.35">
      <c r="A33" s="3">
        <v>28</v>
      </c>
      <c r="B33" s="4">
        <v>3066</v>
      </c>
      <c r="C33" s="4">
        <v>4</v>
      </c>
      <c r="D33" s="4">
        <v>1289</v>
      </c>
      <c r="E33" s="4">
        <v>205</v>
      </c>
      <c r="F33" s="4">
        <v>208</v>
      </c>
      <c r="G33" s="4">
        <v>351</v>
      </c>
      <c r="H33" s="4">
        <v>5123</v>
      </c>
      <c r="I33" s="4">
        <v>0</v>
      </c>
      <c r="J33" s="6"/>
      <c r="K33" s="3">
        <v>28</v>
      </c>
      <c r="L33" s="4">
        <v>1</v>
      </c>
      <c r="M33" s="4">
        <v>9</v>
      </c>
      <c r="N33" s="4">
        <v>3</v>
      </c>
      <c r="O33" s="4">
        <f t="shared" si="0"/>
        <v>13</v>
      </c>
      <c r="P33" s="19">
        <v>6135</v>
      </c>
    </row>
    <row r="34" spans="1:16" ht="15.6" thickTop="1" thickBot="1" x14ac:dyDescent="0.35">
      <c r="A34" s="3">
        <v>29</v>
      </c>
      <c r="B34" s="4">
        <v>4296</v>
      </c>
      <c r="C34" s="4">
        <v>0</v>
      </c>
      <c r="D34" s="4">
        <v>1228</v>
      </c>
      <c r="E34" s="4">
        <v>171</v>
      </c>
      <c r="F34" s="4">
        <v>186</v>
      </c>
      <c r="G34" s="4">
        <v>319</v>
      </c>
      <c r="H34" s="4">
        <v>6200</v>
      </c>
      <c r="I34" s="4">
        <v>0</v>
      </c>
      <c r="J34" s="6"/>
      <c r="K34" s="3">
        <v>29</v>
      </c>
      <c r="L34" s="4">
        <v>1</v>
      </c>
      <c r="M34" s="4">
        <v>4</v>
      </c>
      <c r="N34" s="4">
        <v>4</v>
      </c>
      <c r="O34" s="4">
        <f t="shared" si="0"/>
        <v>9</v>
      </c>
      <c r="P34" s="19">
        <v>6135</v>
      </c>
    </row>
    <row r="35" spans="1:16" ht="15.6" thickTop="1" thickBot="1" x14ac:dyDescent="0.35">
      <c r="A35" s="3">
        <v>30</v>
      </c>
      <c r="B35" s="4">
        <v>4529</v>
      </c>
      <c r="C35" s="4">
        <v>6</v>
      </c>
      <c r="D35" s="4">
        <v>1084</v>
      </c>
      <c r="E35" s="4">
        <v>132</v>
      </c>
      <c r="F35" s="4">
        <v>182</v>
      </c>
      <c r="G35" s="4">
        <v>248</v>
      </c>
      <c r="H35" s="4">
        <v>6181</v>
      </c>
      <c r="I35" s="4">
        <v>0</v>
      </c>
      <c r="J35" s="6"/>
      <c r="K35" s="3">
        <v>30</v>
      </c>
      <c r="L35" s="4">
        <v>1</v>
      </c>
      <c r="M35" s="4">
        <v>4</v>
      </c>
      <c r="N35" s="4">
        <v>6</v>
      </c>
      <c r="O35" s="4">
        <f t="shared" si="0"/>
        <v>11</v>
      </c>
      <c r="P35" s="19">
        <v>6135</v>
      </c>
    </row>
    <row r="36" spans="1:16" ht="15.6" thickTop="1" thickBot="1" x14ac:dyDescent="0.35">
      <c r="A36" s="3">
        <v>31</v>
      </c>
      <c r="B36" s="4">
        <v>5556</v>
      </c>
      <c r="C36" s="4">
        <v>0</v>
      </c>
      <c r="D36" s="4">
        <v>837</v>
      </c>
      <c r="E36" s="4">
        <v>89</v>
      </c>
      <c r="F36" s="4">
        <v>99</v>
      </c>
      <c r="G36" s="4">
        <v>232</v>
      </c>
      <c r="H36" s="4">
        <v>6813</v>
      </c>
      <c r="I36" s="4">
        <v>0</v>
      </c>
      <c r="J36" s="6"/>
      <c r="K36" s="3">
        <v>31</v>
      </c>
      <c r="L36" s="4">
        <v>1</v>
      </c>
      <c r="M36" s="4">
        <v>5</v>
      </c>
      <c r="N36" s="4">
        <v>0</v>
      </c>
      <c r="O36" s="4">
        <f t="shared" si="0"/>
        <v>6</v>
      </c>
      <c r="P36" s="19">
        <v>6135</v>
      </c>
    </row>
    <row r="37" spans="1:16" ht="15" thickTop="1" x14ac:dyDescent="0.3">
      <c r="A37" s="11" t="s">
        <v>19</v>
      </c>
      <c r="B37" s="12">
        <v>219570</v>
      </c>
      <c r="C37" s="12">
        <v>32</v>
      </c>
      <c r="D37" s="12">
        <v>36898</v>
      </c>
      <c r="E37" s="12">
        <v>4758</v>
      </c>
      <c r="F37" s="12">
        <v>5752</v>
      </c>
      <c r="G37" s="12">
        <v>8059</v>
      </c>
      <c r="H37" s="12">
        <v>275069</v>
      </c>
      <c r="I37" s="12">
        <v>0</v>
      </c>
      <c r="J37" s="12">
        <v>0</v>
      </c>
      <c r="K37" s="12" t="s">
        <v>25</v>
      </c>
      <c r="L37" s="12">
        <f>SUM(L6:L36)</f>
        <v>24</v>
      </c>
      <c r="M37" s="12">
        <f t="shared" ref="M37:O37" si="1">SUM(M6:M36)</f>
        <v>205</v>
      </c>
      <c r="N37" s="12">
        <f t="shared" si="1"/>
        <v>95</v>
      </c>
      <c r="O37" s="27">
        <f t="shared" si="1"/>
        <v>324</v>
      </c>
      <c r="P37" s="1"/>
    </row>
    <row r="38" spans="1:16" x14ac:dyDescent="0.3">
      <c r="A38" s="11" t="s">
        <v>19</v>
      </c>
      <c r="B38" s="60">
        <v>219602</v>
      </c>
      <c r="C38" s="60"/>
      <c r="D38" s="12">
        <v>36898</v>
      </c>
      <c r="E38" s="12">
        <v>4758</v>
      </c>
      <c r="F38" s="12">
        <v>5752</v>
      </c>
      <c r="G38" s="12">
        <v>8059</v>
      </c>
      <c r="H38" s="27">
        <v>275069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CFFF-1C34-4FB6-B1E4-80C4BAB12C40}">
  <dimension ref="A1:Z46"/>
  <sheetViews>
    <sheetView workbookViewId="0">
      <selection activeCell="E29" sqref="E29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26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2634</v>
      </c>
      <c r="C6" s="4">
        <v>2</v>
      </c>
      <c r="D6" s="4">
        <v>1088</v>
      </c>
      <c r="E6" s="4">
        <v>135</v>
      </c>
      <c r="F6" s="4">
        <v>199</v>
      </c>
      <c r="G6" s="4">
        <v>273</v>
      </c>
      <c r="H6" s="4">
        <v>4331</v>
      </c>
      <c r="I6" s="4">
        <v>0</v>
      </c>
      <c r="J6" s="5"/>
      <c r="K6" s="3">
        <v>1</v>
      </c>
      <c r="L6" s="54">
        <v>3</v>
      </c>
      <c r="M6" s="54">
        <v>6</v>
      </c>
      <c r="N6" s="54">
        <v>1</v>
      </c>
      <c r="O6" s="4">
        <v>10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2466</v>
      </c>
      <c r="C7" s="4">
        <v>0</v>
      </c>
      <c r="D7" s="4">
        <v>1286</v>
      </c>
      <c r="E7" s="4">
        <v>218</v>
      </c>
      <c r="F7" s="4">
        <v>213</v>
      </c>
      <c r="G7" s="4">
        <v>252</v>
      </c>
      <c r="H7" s="4">
        <v>4435</v>
      </c>
      <c r="I7" s="4">
        <v>0</v>
      </c>
      <c r="J7" s="5"/>
      <c r="K7" s="3">
        <v>2</v>
      </c>
      <c r="L7" s="54">
        <v>1</v>
      </c>
      <c r="M7" s="54">
        <v>8</v>
      </c>
      <c r="N7" s="54">
        <v>5</v>
      </c>
      <c r="O7" s="4">
        <v>14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2845</v>
      </c>
      <c r="C8" s="4">
        <v>0</v>
      </c>
      <c r="D8" s="4">
        <v>1373</v>
      </c>
      <c r="E8" s="4">
        <v>255</v>
      </c>
      <c r="F8" s="4">
        <v>224</v>
      </c>
      <c r="G8" s="4">
        <v>330</v>
      </c>
      <c r="H8" s="4">
        <v>5027</v>
      </c>
      <c r="I8" s="4">
        <v>0</v>
      </c>
      <c r="J8" s="5"/>
      <c r="K8" s="3">
        <v>3</v>
      </c>
      <c r="L8" s="54">
        <v>0</v>
      </c>
      <c r="M8" s="54">
        <v>15</v>
      </c>
      <c r="N8" s="54">
        <v>2</v>
      </c>
      <c r="O8" s="4">
        <v>17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2193</v>
      </c>
      <c r="C9" s="4">
        <v>0</v>
      </c>
      <c r="D9" s="4">
        <v>1492</v>
      </c>
      <c r="E9" s="4">
        <v>281</v>
      </c>
      <c r="F9" s="4">
        <v>248</v>
      </c>
      <c r="G9" s="4">
        <v>348</v>
      </c>
      <c r="H9" s="4">
        <v>4562</v>
      </c>
      <c r="I9" s="4">
        <v>0</v>
      </c>
      <c r="J9" s="5"/>
      <c r="K9" s="3">
        <v>4</v>
      </c>
      <c r="L9" s="54">
        <v>2</v>
      </c>
      <c r="M9" s="54">
        <v>9</v>
      </c>
      <c r="N9" s="54">
        <v>4</v>
      </c>
      <c r="O9" s="4">
        <v>15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3847</v>
      </c>
      <c r="C10" s="4">
        <v>2</v>
      </c>
      <c r="D10" s="4">
        <v>1228</v>
      </c>
      <c r="E10" s="4">
        <v>211</v>
      </c>
      <c r="F10" s="4">
        <v>233</v>
      </c>
      <c r="G10" s="4">
        <v>277</v>
      </c>
      <c r="H10" s="4">
        <v>5798</v>
      </c>
      <c r="I10" s="4">
        <v>0</v>
      </c>
      <c r="J10" s="5"/>
      <c r="K10" s="3">
        <v>5</v>
      </c>
      <c r="L10" s="54">
        <v>1</v>
      </c>
      <c r="M10" s="54">
        <v>8</v>
      </c>
      <c r="N10" s="54">
        <v>5</v>
      </c>
      <c r="O10" s="4">
        <v>14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3630</v>
      </c>
      <c r="C11" s="4">
        <v>0</v>
      </c>
      <c r="D11" s="4">
        <v>1056</v>
      </c>
      <c r="E11" s="4">
        <v>128</v>
      </c>
      <c r="F11" s="4">
        <v>174</v>
      </c>
      <c r="G11" s="4">
        <v>235</v>
      </c>
      <c r="H11" s="4">
        <v>5223</v>
      </c>
      <c r="I11" s="4">
        <v>0</v>
      </c>
      <c r="J11" s="5"/>
      <c r="K11" s="3">
        <v>6</v>
      </c>
      <c r="L11" s="54">
        <v>4</v>
      </c>
      <c r="M11" s="54">
        <v>2</v>
      </c>
      <c r="N11" s="54">
        <v>2</v>
      </c>
      <c r="O11" s="4">
        <v>8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4772</v>
      </c>
      <c r="C12" s="4">
        <v>0</v>
      </c>
      <c r="D12" s="4">
        <v>884</v>
      </c>
      <c r="E12" s="4">
        <v>133</v>
      </c>
      <c r="F12" s="4">
        <v>127</v>
      </c>
      <c r="G12" s="4">
        <v>179</v>
      </c>
      <c r="H12" s="4">
        <v>6095</v>
      </c>
      <c r="I12" s="4">
        <v>0</v>
      </c>
      <c r="J12" s="6"/>
      <c r="K12" s="3">
        <v>7</v>
      </c>
      <c r="L12" s="54">
        <v>0</v>
      </c>
      <c r="M12" s="54">
        <v>9</v>
      </c>
      <c r="N12" s="54">
        <v>0</v>
      </c>
      <c r="O12" s="4">
        <v>9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2438</v>
      </c>
      <c r="C13" s="4">
        <v>0</v>
      </c>
      <c r="D13" s="4">
        <v>1112</v>
      </c>
      <c r="E13" s="4">
        <v>160</v>
      </c>
      <c r="F13" s="4">
        <v>194</v>
      </c>
      <c r="G13" s="4">
        <v>272</v>
      </c>
      <c r="H13" s="4">
        <v>4176</v>
      </c>
      <c r="I13" s="4">
        <v>0</v>
      </c>
      <c r="J13" s="6"/>
      <c r="K13" s="3">
        <v>8</v>
      </c>
      <c r="L13" s="54">
        <v>2</v>
      </c>
      <c r="M13" s="54">
        <v>9</v>
      </c>
      <c r="N13" s="54">
        <v>3</v>
      </c>
      <c r="O13" s="4">
        <v>14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2320</v>
      </c>
      <c r="C14" s="4">
        <v>4</v>
      </c>
      <c r="D14" s="4">
        <v>1297</v>
      </c>
      <c r="E14" s="4">
        <v>152</v>
      </c>
      <c r="F14" s="4">
        <v>220</v>
      </c>
      <c r="G14" s="4">
        <v>274</v>
      </c>
      <c r="H14" s="4">
        <v>4267</v>
      </c>
      <c r="I14" s="4">
        <v>0</v>
      </c>
      <c r="J14" s="6"/>
      <c r="K14" s="3">
        <v>9</v>
      </c>
      <c r="L14" s="54">
        <v>0</v>
      </c>
      <c r="M14" s="54">
        <v>5</v>
      </c>
      <c r="N14" s="54">
        <v>1</v>
      </c>
      <c r="O14" s="4">
        <v>6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2356</v>
      </c>
      <c r="C15" s="4">
        <v>0</v>
      </c>
      <c r="D15" s="4">
        <v>1299</v>
      </c>
      <c r="E15" s="4">
        <v>151</v>
      </c>
      <c r="F15" s="4">
        <v>218</v>
      </c>
      <c r="G15" s="4">
        <v>323</v>
      </c>
      <c r="H15" s="4">
        <v>4347</v>
      </c>
      <c r="I15" s="4">
        <v>0</v>
      </c>
      <c r="J15" s="6"/>
      <c r="K15" s="3">
        <v>10</v>
      </c>
      <c r="L15" s="54">
        <v>1</v>
      </c>
      <c r="M15" s="54">
        <v>13</v>
      </c>
      <c r="N15" s="54">
        <v>4</v>
      </c>
      <c r="O15" s="4">
        <v>18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2535</v>
      </c>
      <c r="C16" s="4">
        <v>0</v>
      </c>
      <c r="D16" s="4">
        <v>1343</v>
      </c>
      <c r="E16" s="4">
        <v>279</v>
      </c>
      <c r="F16" s="4">
        <v>222</v>
      </c>
      <c r="G16" s="4">
        <v>291</v>
      </c>
      <c r="H16" s="4">
        <v>4670</v>
      </c>
      <c r="I16" s="4">
        <v>0</v>
      </c>
      <c r="J16" s="6"/>
      <c r="K16" s="3">
        <v>11</v>
      </c>
      <c r="L16" s="54">
        <v>5</v>
      </c>
      <c r="M16" s="54">
        <v>9</v>
      </c>
      <c r="N16" s="54">
        <v>3</v>
      </c>
      <c r="O16" s="4">
        <v>17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3629</v>
      </c>
      <c r="C17" s="4">
        <v>0</v>
      </c>
      <c r="D17" s="4">
        <v>1248</v>
      </c>
      <c r="E17" s="4">
        <v>191</v>
      </c>
      <c r="F17" s="4">
        <v>230</v>
      </c>
      <c r="G17" s="4">
        <v>288</v>
      </c>
      <c r="H17" s="4">
        <v>5586</v>
      </c>
      <c r="I17" s="4">
        <v>0</v>
      </c>
      <c r="J17" s="6"/>
      <c r="K17" s="3">
        <v>12</v>
      </c>
      <c r="L17" s="54">
        <v>0</v>
      </c>
      <c r="M17" s="54">
        <v>7</v>
      </c>
      <c r="N17" s="54">
        <v>4</v>
      </c>
      <c r="O17" s="4">
        <v>11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3596</v>
      </c>
      <c r="C18" s="4">
        <v>2</v>
      </c>
      <c r="D18" s="4">
        <v>988</v>
      </c>
      <c r="E18" s="4">
        <v>137</v>
      </c>
      <c r="F18" s="4">
        <v>189</v>
      </c>
      <c r="G18" s="4">
        <v>208</v>
      </c>
      <c r="H18" s="4">
        <v>5120</v>
      </c>
      <c r="I18" s="4">
        <v>0</v>
      </c>
      <c r="J18" s="6"/>
      <c r="K18" s="3">
        <v>13</v>
      </c>
      <c r="L18" s="54">
        <v>0</v>
      </c>
      <c r="M18" s="54">
        <v>4</v>
      </c>
      <c r="N18" s="54">
        <v>1</v>
      </c>
      <c r="O18" s="4">
        <v>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4882</v>
      </c>
      <c r="C19" s="4">
        <v>0</v>
      </c>
      <c r="D19" s="4">
        <v>868</v>
      </c>
      <c r="E19" s="4">
        <v>133</v>
      </c>
      <c r="F19" s="4">
        <v>139</v>
      </c>
      <c r="G19" s="4">
        <v>221</v>
      </c>
      <c r="H19" s="4">
        <v>6243</v>
      </c>
      <c r="I19" s="4">
        <v>0</v>
      </c>
      <c r="J19" s="6"/>
      <c r="K19" s="3">
        <v>14</v>
      </c>
      <c r="L19" s="54">
        <v>0</v>
      </c>
      <c r="M19" s="54">
        <v>8</v>
      </c>
      <c r="N19" s="54">
        <v>2</v>
      </c>
      <c r="O19" s="4">
        <v>10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2395</v>
      </c>
      <c r="C20" s="4">
        <v>0</v>
      </c>
      <c r="D20" s="4">
        <v>1123</v>
      </c>
      <c r="E20" s="4">
        <v>161</v>
      </c>
      <c r="F20" s="4">
        <v>214</v>
      </c>
      <c r="G20" s="4">
        <v>242</v>
      </c>
      <c r="H20" s="4">
        <v>4135</v>
      </c>
      <c r="I20" s="4">
        <v>0</v>
      </c>
      <c r="J20" s="6"/>
      <c r="K20" s="3">
        <v>15</v>
      </c>
      <c r="L20" s="54">
        <v>1</v>
      </c>
      <c r="M20" s="54">
        <v>9</v>
      </c>
      <c r="N20" s="54">
        <v>4</v>
      </c>
      <c r="O20" s="4">
        <v>14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2221</v>
      </c>
      <c r="C21" s="4">
        <v>2</v>
      </c>
      <c r="D21" s="4">
        <v>1291</v>
      </c>
      <c r="E21" s="4">
        <v>266</v>
      </c>
      <c r="F21" s="4">
        <v>214</v>
      </c>
      <c r="G21" s="4">
        <v>278</v>
      </c>
      <c r="H21" s="4">
        <v>4272</v>
      </c>
      <c r="I21" s="4">
        <v>0</v>
      </c>
      <c r="J21" s="6"/>
      <c r="K21" s="3">
        <v>16</v>
      </c>
      <c r="L21" s="54">
        <v>2</v>
      </c>
      <c r="M21" s="54">
        <v>9</v>
      </c>
      <c r="N21" s="54">
        <v>4</v>
      </c>
      <c r="O21" s="4">
        <v>15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2293</v>
      </c>
      <c r="C22" s="4">
        <v>0</v>
      </c>
      <c r="D22" s="4">
        <v>1364</v>
      </c>
      <c r="E22" s="4">
        <v>258</v>
      </c>
      <c r="F22" s="4">
        <v>251</v>
      </c>
      <c r="G22" s="4">
        <v>313</v>
      </c>
      <c r="H22" s="4">
        <v>4479</v>
      </c>
      <c r="I22" s="4">
        <v>0</v>
      </c>
      <c r="J22" s="6"/>
      <c r="K22" s="3">
        <v>17</v>
      </c>
      <c r="L22" s="54">
        <v>1</v>
      </c>
      <c r="M22" s="54">
        <v>8</v>
      </c>
      <c r="N22" s="54">
        <v>4</v>
      </c>
      <c r="O22" s="4">
        <v>13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2521</v>
      </c>
      <c r="C23" s="4">
        <v>2</v>
      </c>
      <c r="D23" s="4">
        <v>1327</v>
      </c>
      <c r="E23" s="4">
        <v>270</v>
      </c>
      <c r="F23" s="4">
        <v>235</v>
      </c>
      <c r="G23" s="4">
        <v>286</v>
      </c>
      <c r="H23" s="4">
        <v>4641</v>
      </c>
      <c r="I23" s="4">
        <v>0</v>
      </c>
      <c r="J23" s="6"/>
      <c r="K23" s="3">
        <v>18</v>
      </c>
      <c r="L23" s="54">
        <v>1</v>
      </c>
      <c r="M23" s="54">
        <v>8</v>
      </c>
      <c r="N23" s="54">
        <v>1</v>
      </c>
      <c r="O23" s="4">
        <v>10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3539</v>
      </c>
      <c r="C24" s="4">
        <v>0</v>
      </c>
      <c r="D24" s="4">
        <v>1240</v>
      </c>
      <c r="E24" s="4">
        <v>150</v>
      </c>
      <c r="F24" s="4">
        <v>244</v>
      </c>
      <c r="G24" s="4">
        <v>279</v>
      </c>
      <c r="H24" s="4">
        <v>5452</v>
      </c>
      <c r="I24" s="4">
        <v>0</v>
      </c>
      <c r="J24" s="6"/>
      <c r="K24" s="3">
        <v>19</v>
      </c>
      <c r="L24" s="54">
        <v>0</v>
      </c>
      <c r="M24" s="54">
        <v>6</v>
      </c>
      <c r="N24" s="54">
        <v>1</v>
      </c>
      <c r="O24" s="4">
        <v>7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3440</v>
      </c>
      <c r="C25" s="4">
        <v>0</v>
      </c>
      <c r="D25" s="4">
        <v>999</v>
      </c>
      <c r="E25" s="4">
        <v>130</v>
      </c>
      <c r="F25" s="4">
        <v>212</v>
      </c>
      <c r="G25" s="4">
        <v>224</v>
      </c>
      <c r="H25" s="4">
        <v>5005</v>
      </c>
      <c r="I25" s="4">
        <v>0</v>
      </c>
      <c r="J25" s="6"/>
      <c r="K25" s="3">
        <v>20</v>
      </c>
      <c r="L25" s="54">
        <v>2</v>
      </c>
      <c r="M25" s="54">
        <v>6</v>
      </c>
      <c r="N25" s="54">
        <v>4</v>
      </c>
      <c r="O25" s="4">
        <v>12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4809</v>
      </c>
      <c r="C26" s="4">
        <v>0</v>
      </c>
      <c r="D26" s="4">
        <v>827</v>
      </c>
      <c r="E26" s="4">
        <v>117</v>
      </c>
      <c r="F26" s="4">
        <v>138</v>
      </c>
      <c r="G26" s="4">
        <v>204</v>
      </c>
      <c r="H26" s="4">
        <v>6095</v>
      </c>
      <c r="I26" s="4">
        <v>0</v>
      </c>
      <c r="J26" s="6"/>
      <c r="K26" s="3">
        <v>21</v>
      </c>
      <c r="L26" s="54">
        <v>0</v>
      </c>
      <c r="M26" s="54">
        <v>6</v>
      </c>
      <c r="N26" s="54">
        <v>0</v>
      </c>
      <c r="O26" s="4">
        <v>6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2369</v>
      </c>
      <c r="C27" s="4">
        <v>0</v>
      </c>
      <c r="D27" s="4">
        <v>1138</v>
      </c>
      <c r="E27" s="4">
        <v>173</v>
      </c>
      <c r="F27" s="4">
        <v>224</v>
      </c>
      <c r="G27" s="4">
        <v>279</v>
      </c>
      <c r="H27" s="4">
        <v>4183</v>
      </c>
      <c r="I27" s="4">
        <v>0</v>
      </c>
      <c r="J27" s="6"/>
      <c r="K27" s="3">
        <v>22</v>
      </c>
      <c r="L27" s="54">
        <v>2</v>
      </c>
      <c r="M27" s="54">
        <v>13</v>
      </c>
      <c r="N27" s="54">
        <v>5</v>
      </c>
      <c r="O27" s="4">
        <v>20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2243</v>
      </c>
      <c r="C28" s="4">
        <v>0</v>
      </c>
      <c r="D28" s="4">
        <v>1267</v>
      </c>
      <c r="E28" s="4">
        <v>163</v>
      </c>
      <c r="F28" s="4">
        <v>226</v>
      </c>
      <c r="G28" s="4">
        <v>280</v>
      </c>
      <c r="H28" s="4">
        <v>4179</v>
      </c>
      <c r="I28" s="4">
        <v>0</v>
      </c>
      <c r="J28" s="6"/>
      <c r="K28" s="3">
        <v>23</v>
      </c>
      <c r="L28" s="54">
        <v>3</v>
      </c>
      <c r="M28" s="54">
        <v>8</v>
      </c>
      <c r="N28" s="54">
        <v>4</v>
      </c>
      <c r="O28" s="4">
        <v>15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2230</v>
      </c>
      <c r="C29" s="4">
        <v>2</v>
      </c>
      <c r="D29" s="4">
        <v>1313</v>
      </c>
      <c r="E29" s="4">
        <v>182</v>
      </c>
      <c r="F29" s="4">
        <v>245</v>
      </c>
      <c r="G29" s="4">
        <v>294</v>
      </c>
      <c r="H29" s="4">
        <v>4266</v>
      </c>
      <c r="I29" s="4">
        <v>0</v>
      </c>
      <c r="J29" s="6"/>
      <c r="K29" s="3">
        <v>24</v>
      </c>
      <c r="L29" s="54">
        <v>0</v>
      </c>
      <c r="M29" s="54">
        <v>8</v>
      </c>
      <c r="N29" s="54">
        <v>4</v>
      </c>
      <c r="O29" s="4">
        <v>12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2458</v>
      </c>
      <c r="C30" s="4">
        <v>2</v>
      </c>
      <c r="D30" s="4">
        <v>1319</v>
      </c>
      <c r="E30" s="4">
        <v>172</v>
      </c>
      <c r="F30" s="4">
        <v>230</v>
      </c>
      <c r="G30" s="4">
        <v>313</v>
      </c>
      <c r="H30" s="4">
        <v>4494</v>
      </c>
      <c r="I30" s="4">
        <v>0</v>
      </c>
      <c r="J30" s="6"/>
      <c r="K30" s="3">
        <v>25</v>
      </c>
      <c r="L30" s="54">
        <v>1</v>
      </c>
      <c r="M30" s="54">
        <v>11</v>
      </c>
      <c r="N30" s="54">
        <v>1</v>
      </c>
      <c r="O30" s="4">
        <v>13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3658</v>
      </c>
      <c r="C31" s="4">
        <v>0</v>
      </c>
      <c r="D31" s="4">
        <v>1245</v>
      </c>
      <c r="E31" s="4">
        <v>155</v>
      </c>
      <c r="F31" s="4">
        <v>250</v>
      </c>
      <c r="G31" s="4">
        <v>254</v>
      </c>
      <c r="H31" s="4">
        <v>5562</v>
      </c>
      <c r="I31" s="4">
        <v>0</v>
      </c>
      <c r="J31" s="6"/>
      <c r="K31" s="3">
        <v>26</v>
      </c>
      <c r="L31" s="54">
        <v>0</v>
      </c>
      <c r="M31" s="54">
        <v>2</v>
      </c>
      <c r="N31" s="54">
        <v>2</v>
      </c>
      <c r="O31" s="4">
        <v>4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3745</v>
      </c>
      <c r="C32" s="4">
        <v>4</v>
      </c>
      <c r="D32" s="4">
        <v>1045</v>
      </c>
      <c r="E32" s="4">
        <v>124</v>
      </c>
      <c r="F32" s="4">
        <v>229</v>
      </c>
      <c r="G32" s="4">
        <v>245</v>
      </c>
      <c r="H32" s="4">
        <v>5392</v>
      </c>
      <c r="I32" s="4">
        <v>0</v>
      </c>
      <c r="J32" s="6"/>
      <c r="K32" s="3">
        <v>27</v>
      </c>
      <c r="L32" s="54">
        <v>0</v>
      </c>
      <c r="M32" s="54">
        <v>8</v>
      </c>
      <c r="N32" s="54">
        <v>0</v>
      </c>
      <c r="O32" s="4">
        <v>8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4999</v>
      </c>
      <c r="C33" s="4">
        <v>4</v>
      </c>
      <c r="D33" s="4">
        <v>860</v>
      </c>
      <c r="E33" s="4">
        <v>119</v>
      </c>
      <c r="F33" s="4">
        <v>146</v>
      </c>
      <c r="G33" s="4">
        <v>198</v>
      </c>
      <c r="H33" s="4">
        <v>6326</v>
      </c>
      <c r="I33" s="4">
        <v>0</v>
      </c>
      <c r="J33" s="6"/>
      <c r="K33" s="3">
        <v>28</v>
      </c>
      <c r="L33" s="54">
        <v>0</v>
      </c>
      <c r="M33" s="54">
        <v>2</v>
      </c>
      <c r="N33" s="54">
        <v>0</v>
      </c>
      <c r="O33" s="4">
        <v>2</v>
      </c>
      <c r="P33" s="19">
        <v>6135</v>
      </c>
    </row>
    <row r="34" spans="1:16" ht="15.6" thickTop="1" thickBot="1" x14ac:dyDescent="0.35">
      <c r="A34" s="3">
        <v>29</v>
      </c>
      <c r="B34" s="4">
        <v>2453</v>
      </c>
      <c r="C34" s="4">
        <v>8</v>
      </c>
      <c r="D34" s="4">
        <v>1097</v>
      </c>
      <c r="E34" s="4">
        <v>190</v>
      </c>
      <c r="F34" s="4">
        <v>214</v>
      </c>
      <c r="G34" s="4">
        <v>241</v>
      </c>
      <c r="H34" s="4">
        <v>4203</v>
      </c>
      <c r="I34" s="4">
        <v>0</v>
      </c>
      <c r="J34" s="6"/>
      <c r="K34" s="3">
        <v>29</v>
      </c>
      <c r="L34" s="4">
        <v>1</v>
      </c>
      <c r="M34" s="4">
        <v>8</v>
      </c>
      <c r="N34" s="4">
        <v>1</v>
      </c>
      <c r="O34" s="4">
        <v>10</v>
      </c>
      <c r="P34" s="19">
        <v>6135</v>
      </c>
    </row>
    <row r="35" spans="1:16" ht="15.6" thickTop="1" thickBot="1" x14ac:dyDescent="0.35">
      <c r="A35" s="3">
        <v>30</v>
      </c>
      <c r="B35" s="4"/>
      <c r="C35" s="4"/>
      <c r="D35" s="4"/>
      <c r="E35" s="4"/>
      <c r="F35" s="4"/>
      <c r="G35" s="4"/>
      <c r="H35" s="4">
        <v>0</v>
      </c>
      <c r="I35" s="4">
        <v>0</v>
      </c>
      <c r="J35" s="6"/>
      <c r="K35" s="3">
        <v>30</v>
      </c>
      <c r="L35" s="4"/>
      <c r="M35" s="4"/>
      <c r="N35" s="4"/>
      <c r="O35" s="4">
        <v>0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11" t="s">
        <v>19</v>
      </c>
      <c r="B37" s="12">
        <v>89516</v>
      </c>
      <c r="C37" s="12">
        <v>34</v>
      </c>
      <c r="D37" s="12">
        <v>34017</v>
      </c>
      <c r="E37" s="12">
        <v>5194</v>
      </c>
      <c r="F37" s="12">
        <v>6102</v>
      </c>
      <c r="G37" s="12">
        <v>7701</v>
      </c>
      <c r="H37" s="12">
        <v>142564</v>
      </c>
      <c r="I37" s="12">
        <v>0</v>
      </c>
      <c r="J37" s="12"/>
      <c r="K37" s="12" t="s">
        <v>25</v>
      </c>
      <c r="L37" s="12">
        <v>33</v>
      </c>
      <c r="M37" s="12">
        <v>224</v>
      </c>
      <c r="N37" s="12">
        <v>72</v>
      </c>
      <c r="O37" s="27">
        <f>SUM(O6:O34)</f>
        <v>329</v>
      </c>
      <c r="P37" s="1"/>
    </row>
    <row r="38" spans="1:16" x14ac:dyDescent="0.3">
      <c r="A38" s="11" t="s">
        <v>19</v>
      </c>
      <c r="B38" s="60">
        <v>89550</v>
      </c>
      <c r="C38" s="60"/>
      <c r="D38" s="12">
        <v>34017</v>
      </c>
      <c r="E38" s="12">
        <v>5194</v>
      </c>
      <c r="F38" s="12">
        <v>6102</v>
      </c>
      <c r="G38" s="12">
        <v>7701</v>
      </c>
      <c r="H38" s="27">
        <v>142564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C25E-84FE-4C22-BDE4-C41D9B20FBAE}">
  <dimension ref="A1:Z46"/>
  <sheetViews>
    <sheetView topLeftCell="A16" workbookViewId="0">
      <selection activeCell="E15" sqref="E15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27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2262</v>
      </c>
      <c r="C6" s="4">
        <v>0</v>
      </c>
      <c r="D6" s="4">
        <v>1272</v>
      </c>
      <c r="E6" s="4">
        <v>197</v>
      </c>
      <c r="F6" s="4">
        <v>219</v>
      </c>
      <c r="G6" s="4">
        <v>279</v>
      </c>
      <c r="H6" s="4">
        <v>4229</v>
      </c>
      <c r="I6" s="4">
        <v>0</v>
      </c>
      <c r="J6" s="5"/>
      <c r="K6" s="3">
        <v>1</v>
      </c>
      <c r="L6" s="54">
        <v>1</v>
      </c>
      <c r="M6" s="54">
        <v>9</v>
      </c>
      <c r="N6" s="54">
        <v>1</v>
      </c>
      <c r="O6" s="4">
        <v>11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2206</v>
      </c>
      <c r="C7" s="4">
        <v>0</v>
      </c>
      <c r="D7" s="4">
        <v>1371</v>
      </c>
      <c r="E7" s="4">
        <v>187</v>
      </c>
      <c r="F7" s="4">
        <v>242</v>
      </c>
      <c r="G7" s="4">
        <v>293</v>
      </c>
      <c r="H7" s="4">
        <v>4299</v>
      </c>
      <c r="I7" s="4">
        <v>0</v>
      </c>
      <c r="J7" s="5"/>
      <c r="K7" s="3">
        <v>2</v>
      </c>
      <c r="L7" s="54">
        <v>0</v>
      </c>
      <c r="M7" s="54">
        <v>6</v>
      </c>
      <c r="N7" s="54">
        <v>3</v>
      </c>
      <c r="O7" s="4">
        <v>9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2500</v>
      </c>
      <c r="C8" s="4">
        <v>0</v>
      </c>
      <c r="D8" s="4">
        <v>1350</v>
      </c>
      <c r="E8" s="4">
        <v>215</v>
      </c>
      <c r="F8" s="4">
        <v>212</v>
      </c>
      <c r="G8" s="4">
        <v>361</v>
      </c>
      <c r="H8" s="4">
        <v>4638</v>
      </c>
      <c r="I8" s="4">
        <v>0</v>
      </c>
      <c r="J8" s="5"/>
      <c r="K8" s="3">
        <v>3</v>
      </c>
      <c r="L8" s="54">
        <v>2</v>
      </c>
      <c r="M8" s="54">
        <v>12</v>
      </c>
      <c r="N8" s="54">
        <v>10</v>
      </c>
      <c r="O8" s="4">
        <v>24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3420</v>
      </c>
      <c r="C9" s="4">
        <v>0</v>
      </c>
      <c r="D9" s="4">
        <v>1293</v>
      </c>
      <c r="E9" s="4">
        <v>182</v>
      </c>
      <c r="F9" s="4">
        <v>242</v>
      </c>
      <c r="G9" s="4">
        <v>281</v>
      </c>
      <c r="H9" s="4">
        <v>5418</v>
      </c>
      <c r="I9" s="4">
        <v>0</v>
      </c>
      <c r="J9" s="5"/>
      <c r="K9" s="3">
        <v>4</v>
      </c>
      <c r="L9" s="54">
        <v>1</v>
      </c>
      <c r="M9" s="54">
        <v>6</v>
      </c>
      <c r="N9" s="54">
        <v>0</v>
      </c>
      <c r="O9" s="4">
        <v>7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3526</v>
      </c>
      <c r="C10" s="4">
        <v>2</v>
      </c>
      <c r="D10" s="4">
        <v>1106</v>
      </c>
      <c r="E10" s="4">
        <v>139</v>
      </c>
      <c r="F10" s="4">
        <v>197</v>
      </c>
      <c r="G10" s="4">
        <v>299</v>
      </c>
      <c r="H10" s="4">
        <v>5269</v>
      </c>
      <c r="I10" s="4">
        <v>0</v>
      </c>
      <c r="J10" s="5"/>
      <c r="K10" s="3">
        <v>5</v>
      </c>
      <c r="L10" s="54">
        <v>1</v>
      </c>
      <c r="M10" s="54">
        <v>4</v>
      </c>
      <c r="N10" s="54">
        <v>3</v>
      </c>
      <c r="O10" s="4">
        <v>8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4768</v>
      </c>
      <c r="C11" s="4">
        <v>2</v>
      </c>
      <c r="D11" s="4">
        <v>918</v>
      </c>
      <c r="E11" s="4">
        <v>109</v>
      </c>
      <c r="F11" s="4">
        <v>122</v>
      </c>
      <c r="G11" s="4">
        <v>232</v>
      </c>
      <c r="H11" s="4">
        <v>6151</v>
      </c>
      <c r="I11" s="4">
        <v>0</v>
      </c>
      <c r="J11" s="5"/>
      <c r="K11" s="3">
        <v>6</v>
      </c>
      <c r="L11" s="54">
        <v>0</v>
      </c>
      <c r="M11" s="54">
        <v>2</v>
      </c>
      <c r="N11" s="54">
        <v>2</v>
      </c>
      <c r="O11" s="4">
        <v>4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2408</v>
      </c>
      <c r="C12" s="4">
        <v>4</v>
      </c>
      <c r="D12" s="4">
        <v>1187</v>
      </c>
      <c r="E12" s="4">
        <v>160</v>
      </c>
      <c r="F12" s="4">
        <v>212</v>
      </c>
      <c r="G12" s="4">
        <v>279</v>
      </c>
      <c r="H12" s="4">
        <v>4250</v>
      </c>
      <c r="I12" s="4">
        <v>0</v>
      </c>
      <c r="J12" s="6"/>
      <c r="K12" s="3">
        <v>7</v>
      </c>
      <c r="L12" s="54">
        <v>0</v>
      </c>
      <c r="M12" s="54">
        <v>8</v>
      </c>
      <c r="N12" s="54">
        <v>4</v>
      </c>
      <c r="O12" s="4">
        <v>12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2228</v>
      </c>
      <c r="C13" s="4">
        <v>2</v>
      </c>
      <c r="D13" s="4">
        <v>1249</v>
      </c>
      <c r="E13" s="4">
        <v>147</v>
      </c>
      <c r="F13" s="4">
        <v>198</v>
      </c>
      <c r="G13" s="4">
        <v>297</v>
      </c>
      <c r="H13" s="4">
        <v>4121</v>
      </c>
      <c r="I13" s="4">
        <v>0</v>
      </c>
      <c r="J13" s="6"/>
      <c r="K13" s="3">
        <v>8</v>
      </c>
      <c r="L13" s="54">
        <v>0</v>
      </c>
      <c r="M13" s="54">
        <v>6</v>
      </c>
      <c r="N13" s="54">
        <v>4</v>
      </c>
      <c r="O13" s="4">
        <v>10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2376</v>
      </c>
      <c r="C14" s="4">
        <v>2</v>
      </c>
      <c r="D14" s="4">
        <v>1293</v>
      </c>
      <c r="E14" s="4">
        <v>169</v>
      </c>
      <c r="F14" s="4">
        <v>231</v>
      </c>
      <c r="G14" s="4">
        <v>385</v>
      </c>
      <c r="H14" s="4">
        <v>4456</v>
      </c>
      <c r="I14" s="4">
        <v>0</v>
      </c>
      <c r="J14" s="6"/>
      <c r="K14" s="3">
        <v>9</v>
      </c>
      <c r="L14" s="54">
        <v>0</v>
      </c>
      <c r="M14" s="54">
        <v>18</v>
      </c>
      <c r="N14" s="54">
        <v>4</v>
      </c>
      <c r="O14" s="4">
        <v>22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2413</v>
      </c>
      <c r="C15" s="4">
        <v>2</v>
      </c>
      <c r="D15" s="4">
        <v>1348</v>
      </c>
      <c r="E15" s="4">
        <v>168</v>
      </c>
      <c r="F15" s="4">
        <v>240</v>
      </c>
      <c r="G15" s="4">
        <v>383</v>
      </c>
      <c r="H15" s="4">
        <v>4554</v>
      </c>
      <c r="I15" s="4">
        <v>0</v>
      </c>
      <c r="J15" s="6"/>
      <c r="K15" s="3">
        <v>10</v>
      </c>
      <c r="L15" s="54">
        <v>0</v>
      </c>
      <c r="M15" s="54">
        <v>8</v>
      </c>
      <c r="N15" s="54">
        <v>1</v>
      </c>
      <c r="O15" s="4">
        <v>9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3263</v>
      </c>
      <c r="C16" s="4">
        <v>0</v>
      </c>
      <c r="D16" s="4">
        <v>1210</v>
      </c>
      <c r="E16" s="4">
        <v>165</v>
      </c>
      <c r="F16" s="4">
        <v>213</v>
      </c>
      <c r="G16" s="4">
        <v>297</v>
      </c>
      <c r="H16" s="4">
        <v>5148</v>
      </c>
      <c r="I16" s="4">
        <v>0</v>
      </c>
      <c r="J16" s="6"/>
      <c r="K16" s="3">
        <v>11</v>
      </c>
      <c r="L16" s="54">
        <v>1</v>
      </c>
      <c r="M16" s="54">
        <v>8</v>
      </c>
      <c r="N16" s="54">
        <v>4</v>
      </c>
      <c r="O16" s="4">
        <v>13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3271</v>
      </c>
      <c r="C17" s="4">
        <v>4</v>
      </c>
      <c r="D17" s="4">
        <v>1113</v>
      </c>
      <c r="E17" s="4">
        <v>111</v>
      </c>
      <c r="F17" s="4">
        <v>204</v>
      </c>
      <c r="G17" s="4">
        <v>274</v>
      </c>
      <c r="H17" s="4">
        <v>4977</v>
      </c>
      <c r="I17" s="4">
        <v>0</v>
      </c>
      <c r="J17" s="6"/>
      <c r="K17" s="3">
        <v>12</v>
      </c>
      <c r="L17" s="54">
        <v>2</v>
      </c>
      <c r="M17" s="54">
        <v>4</v>
      </c>
      <c r="N17" s="54">
        <v>1</v>
      </c>
      <c r="O17" s="4">
        <v>7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4433</v>
      </c>
      <c r="C18" s="4">
        <v>2</v>
      </c>
      <c r="D18" s="4">
        <v>941</v>
      </c>
      <c r="E18" s="4">
        <v>125</v>
      </c>
      <c r="F18" s="4">
        <v>123</v>
      </c>
      <c r="G18" s="4">
        <v>262</v>
      </c>
      <c r="H18" s="4">
        <v>5886</v>
      </c>
      <c r="I18" s="4">
        <v>0</v>
      </c>
      <c r="J18" s="6"/>
      <c r="K18" s="3">
        <v>13</v>
      </c>
      <c r="L18" s="54">
        <v>0</v>
      </c>
      <c r="M18" s="54">
        <v>3</v>
      </c>
      <c r="N18" s="54">
        <v>2</v>
      </c>
      <c r="O18" s="4">
        <v>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2408</v>
      </c>
      <c r="C19" s="4">
        <v>0</v>
      </c>
      <c r="D19" s="4">
        <v>1209</v>
      </c>
      <c r="E19" s="4">
        <v>171</v>
      </c>
      <c r="F19" s="4">
        <v>235</v>
      </c>
      <c r="G19" s="4">
        <v>307</v>
      </c>
      <c r="H19" s="4">
        <v>4330</v>
      </c>
      <c r="I19" s="4">
        <v>0</v>
      </c>
      <c r="J19" s="6"/>
      <c r="K19" s="3">
        <v>14</v>
      </c>
      <c r="L19" s="54">
        <v>4</v>
      </c>
      <c r="M19" s="54">
        <v>8</v>
      </c>
      <c r="N19" s="54">
        <v>9</v>
      </c>
      <c r="O19" s="4">
        <v>21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2422</v>
      </c>
      <c r="C20" s="4">
        <v>2</v>
      </c>
      <c r="D20" s="4">
        <v>1404</v>
      </c>
      <c r="E20" s="4">
        <v>201</v>
      </c>
      <c r="F20" s="4">
        <v>243</v>
      </c>
      <c r="G20" s="4">
        <v>371</v>
      </c>
      <c r="H20" s="4">
        <v>4643</v>
      </c>
      <c r="I20" s="4">
        <v>0</v>
      </c>
      <c r="J20" s="6"/>
      <c r="K20" s="3">
        <v>15</v>
      </c>
      <c r="L20" s="54">
        <v>3</v>
      </c>
      <c r="M20" s="54">
        <v>10</v>
      </c>
      <c r="N20" s="54">
        <v>2</v>
      </c>
      <c r="O20" s="4">
        <v>15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2636</v>
      </c>
      <c r="C21" s="4">
        <v>2</v>
      </c>
      <c r="D21" s="4">
        <v>1416</v>
      </c>
      <c r="E21" s="4">
        <v>185</v>
      </c>
      <c r="F21" s="4">
        <v>300</v>
      </c>
      <c r="G21" s="4">
        <v>439</v>
      </c>
      <c r="H21" s="4">
        <v>4978</v>
      </c>
      <c r="I21" s="4">
        <v>0</v>
      </c>
      <c r="J21" s="6"/>
      <c r="K21" s="3">
        <v>16</v>
      </c>
      <c r="L21" s="54">
        <v>0</v>
      </c>
      <c r="M21" s="54">
        <v>7</v>
      </c>
      <c r="N21" s="54">
        <v>3</v>
      </c>
      <c r="O21" s="4">
        <v>10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2862</v>
      </c>
      <c r="C22" s="4">
        <v>4</v>
      </c>
      <c r="D22" s="4">
        <v>1446</v>
      </c>
      <c r="E22" s="4">
        <v>185</v>
      </c>
      <c r="F22" s="4">
        <v>256</v>
      </c>
      <c r="G22" s="4">
        <v>361</v>
      </c>
      <c r="H22" s="4">
        <v>5114</v>
      </c>
      <c r="I22" s="4">
        <v>0</v>
      </c>
      <c r="J22" s="6"/>
      <c r="K22" s="3">
        <v>17</v>
      </c>
      <c r="L22" s="54">
        <v>2</v>
      </c>
      <c r="M22" s="54">
        <v>10</v>
      </c>
      <c r="N22" s="54">
        <v>5</v>
      </c>
      <c r="O22" s="4">
        <v>17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7506</v>
      </c>
      <c r="C23" s="4">
        <v>2</v>
      </c>
      <c r="D23" s="4">
        <v>1417</v>
      </c>
      <c r="E23" s="4">
        <v>178</v>
      </c>
      <c r="F23" s="4">
        <v>234</v>
      </c>
      <c r="G23" s="4">
        <v>302</v>
      </c>
      <c r="H23" s="4">
        <v>9639</v>
      </c>
      <c r="I23" s="4">
        <v>0</v>
      </c>
      <c r="J23" s="6"/>
      <c r="K23" s="3">
        <v>18</v>
      </c>
      <c r="L23" s="54">
        <v>1</v>
      </c>
      <c r="M23" s="54">
        <v>11</v>
      </c>
      <c r="N23" s="54">
        <v>5</v>
      </c>
      <c r="O23" s="4">
        <v>17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11137</v>
      </c>
      <c r="C24" s="4">
        <v>2</v>
      </c>
      <c r="D24" s="4">
        <v>1069</v>
      </c>
      <c r="E24" s="4">
        <v>76</v>
      </c>
      <c r="F24" s="4">
        <v>154</v>
      </c>
      <c r="G24" s="4">
        <v>183</v>
      </c>
      <c r="H24" s="4">
        <v>12621</v>
      </c>
      <c r="I24" s="4">
        <v>0</v>
      </c>
      <c r="J24" s="6"/>
      <c r="K24" s="3">
        <v>19</v>
      </c>
      <c r="L24" s="54">
        <v>0</v>
      </c>
      <c r="M24" s="54">
        <v>8</v>
      </c>
      <c r="N24" s="54">
        <v>1</v>
      </c>
      <c r="O24" s="4">
        <v>9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8035</v>
      </c>
      <c r="C25" s="4">
        <v>2</v>
      </c>
      <c r="D25" s="4">
        <v>1022</v>
      </c>
      <c r="E25" s="4">
        <v>88</v>
      </c>
      <c r="F25" s="4">
        <v>167</v>
      </c>
      <c r="G25" s="4">
        <v>253</v>
      </c>
      <c r="H25" s="4">
        <v>9567</v>
      </c>
      <c r="I25" s="4">
        <v>0</v>
      </c>
      <c r="J25" s="6"/>
      <c r="K25" s="3">
        <v>20</v>
      </c>
      <c r="L25" s="54">
        <v>1</v>
      </c>
      <c r="M25" s="54">
        <v>6</v>
      </c>
      <c r="N25" s="54">
        <v>2</v>
      </c>
      <c r="O25" s="4">
        <v>9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7402</v>
      </c>
      <c r="C26" s="4">
        <v>0</v>
      </c>
      <c r="D26" s="4">
        <v>937</v>
      </c>
      <c r="E26" s="4">
        <v>100</v>
      </c>
      <c r="F26" s="4">
        <v>121</v>
      </c>
      <c r="G26" s="4">
        <v>173</v>
      </c>
      <c r="H26" s="4">
        <v>8733</v>
      </c>
      <c r="I26" s="4">
        <v>0</v>
      </c>
      <c r="J26" s="6"/>
      <c r="K26" s="3">
        <v>21</v>
      </c>
      <c r="L26" s="54">
        <v>0</v>
      </c>
      <c r="M26" s="54">
        <v>11</v>
      </c>
      <c r="N26" s="54">
        <v>2</v>
      </c>
      <c r="O26" s="4">
        <v>13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5480</v>
      </c>
      <c r="C27" s="4">
        <v>2</v>
      </c>
      <c r="D27" s="4">
        <v>1149</v>
      </c>
      <c r="E27" s="4">
        <v>129</v>
      </c>
      <c r="F27" s="4">
        <v>176</v>
      </c>
      <c r="G27" s="4">
        <v>186</v>
      </c>
      <c r="H27" s="4">
        <v>7122</v>
      </c>
      <c r="I27" s="4">
        <v>0</v>
      </c>
      <c r="J27" s="6"/>
      <c r="K27" s="3">
        <v>22</v>
      </c>
      <c r="L27" s="54">
        <v>2</v>
      </c>
      <c r="M27" s="54">
        <v>8</v>
      </c>
      <c r="N27" s="54">
        <v>3</v>
      </c>
      <c r="O27" s="4">
        <v>13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10878</v>
      </c>
      <c r="C28" s="4">
        <v>2</v>
      </c>
      <c r="D28" s="4">
        <v>963</v>
      </c>
      <c r="E28" s="4">
        <v>54</v>
      </c>
      <c r="F28" s="4">
        <v>141</v>
      </c>
      <c r="G28" s="4">
        <v>120</v>
      </c>
      <c r="H28" s="4">
        <v>12158</v>
      </c>
      <c r="I28" s="4">
        <v>0</v>
      </c>
      <c r="J28" s="6"/>
      <c r="K28" s="3">
        <v>23</v>
      </c>
      <c r="L28" s="54">
        <v>1</v>
      </c>
      <c r="M28" s="54">
        <v>6</v>
      </c>
      <c r="N28" s="54">
        <v>6</v>
      </c>
      <c r="O28" s="4">
        <v>13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7194</v>
      </c>
      <c r="C29" s="4">
        <v>0</v>
      </c>
      <c r="D29" s="4">
        <v>677</v>
      </c>
      <c r="E29" s="4">
        <v>59</v>
      </c>
      <c r="F29" s="4">
        <v>90</v>
      </c>
      <c r="G29" s="4">
        <v>91</v>
      </c>
      <c r="H29" s="4">
        <v>8111</v>
      </c>
      <c r="I29" s="4">
        <v>0</v>
      </c>
      <c r="J29" s="6"/>
      <c r="K29" s="3">
        <v>24</v>
      </c>
      <c r="L29" s="54">
        <v>0</v>
      </c>
      <c r="M29" s="54">
        <v>0</v>
      </c>
      <c r="N29" s="54">
        <v>2</v>
      </c>
      <c r="O29" s="4">
        <v>2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6041</v>
      </c>
      <c r="C30" s="4">
        <v>0</v>
      </c>
      <c r="D30" s="4">
        <v>498</v>
      </c>
      <c r="E30" s="4">
        <v>54</v>
      </c>
      <c r="F30" s="4">
        <v>125</v>
      </c>
      <c r="G30" s="4">
        <v>143</v>
      </c>
      <c r="H30" s="4">
        <v>6861</v>
      </c>
      <c r="I30" s="4">
        <v>0</v>
      </c>
      <c r="J30" s="6"/>
      <c r="K30" s="3">
        <v>25</v>
      </c>
      <c r="L30" s="54">
        <v>0</v>
      </c>
      <c r="M30" s="54">
        <v>3</v>
      </c>
      <c r="N30" s="54">
        <v>0</v>
      </c>
      <c r="O30" s="4">
        <v>3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14300</v>
      </c>
      <c r="C31" s="4">
        <v>2</v>
      </c>
      <c r="D31" s="4">
        <v>821</v>
      </c>
      <c r="E31" s="4">
        <v>54</v>
      </c>
      <c r="F31" s="4">
        <v>113</v>
      </c>
      <c r="G31" s="4">
        <v>121</v>
      </c>
      <c r="H31" s="4">
        <v>15411</v>
      </c>
      <c r="I31" s="4">
        <v>0</v>
      </c>
      <c r="J31" s="6"/>
      <c r="K31" s="3">
        <v>26</v>
      </c>
      <c r="L31" s="54">
        <v>0</v>
      </c>
      <c r="M31" s="54">
        <v>2</v>
      </c>
      <c r="N31" s="54">
        <v>0</v>
      </c>
      <c r="O31" s="4">
        <v>2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15235</v>
      </c>
      <c r="C32" s="4">
        <v>0</v>
      </c>
      <c r="D32" s="4">
        <v>705</v>
      </c>
      <c r="E32" s="4">
        <v>39</v>
      </c>
      <c r="F32" s="4">
        <v>42</v>
      </c>
      <c r="G32" s="4">
        <v>63</v>
      </c>
      <c r="H32" s="4">
        <v>16084</v>
      </c>
      <c r="I32" s="4">
        <v>0</v>
      </c>
      <c r="J32" s="6"/>
      <c r="K32" s="3">
        <v>27</v>
      </c>
      <c r="L32" s="54">
        <v>0</v>
      </c>
      <c r="M32" s="54">
        <v>5</v>
      </c>
      <c r="N32" s="54">
        <v>1</v>
      </c>
      <c r="O32" s="4">
        <v>6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3870</v>
      </c>
      <c r="C33" s="4">
        <v>2</v>
      </c>
      <c r="D33" s="4">
        <v>1207</v>
      </c>
      <c r="E33" s="4">
        <v>175</v>
      </c>
      <c r="F33" s="4">
        <v>213</v>
      </c>
      <c r="G33" s="4">
        <v>293</v>
      </c>
      <c r="H33" s="4">
        <v>5760</v>
      </c>
      <c r="I33" s="4">
        <v>0</v>
      </c>
      <c r="J33" s="6"/>
      <c r="K33" s="3">
        <v>28</v>
      </c>
      <c r="L33" s="54">
        <v>1</v>
      </c>
      <c r="M33" s="54">
        <v>8</v>
      </c>
      <c r="N33" s="54">
        <v>4</v>
      </c>
      <c r="O33" s="4">
        <v>13</v>
      </c>
      <c r="P33" s="19">
        <v>6135</v>
      </c>
    </row>
    <row r="34" spans="1:16" ht="15.6" thickTop="1" thickBot="1" x14ac:dyDescent="0.35">
      <c r="A34" s="3">
        <v>29</v>
      </c>
      <c r="B34" s="4">
        <v>2431</v>
      </c>
      <c r="C34" s="4">
        <v>4</v>
      </c>
      <c r="D34" s="4">
        <v>1344</v>
      </c>
      <c r="E34" s="4">
        <v>183</v>
      </c>
      <c r="F34" s="4">
        <v>219</v>
      </c>
      <c r="G34" s="4">
        <v>261</v>
      </c>
      <c r="H34" s="4">
        <v>4442</v>
      </c>
      <c r="I34" s="4">
        <v>0</v>
      </c>
      <c r="J34" s="6"/>
      <c r="K34" s="3">
        <v>29</v>
      </c>
      <c r="L34" s="4">
        <v>1</v>
      </c>
      <c r="M34" s="4">
        <v>4</v>
      </c>
      <c r="N34" s="4">
        <v>8</v>
      </c>
      <c r="O34" s="4">
        <v>13</v>
      </c>
      <c r="P34" s="19">
        <v>6135</v>
      </c>
    </row>
    <row r="35" spans="1:16" ht="15.6" thickTop="1" thickBot="1" x14ac:dyDescent="0.35">
      <c r="A35" s="3">
        <v>30</v>
      </c>
      <c r="B35" s="4">
        <v>2415</v>
      </c>
      <c r="C35" s="4">
        <v>2</v>
      </c>
      <c r="D35" s="4">
        <v>1317</v>
      </c>
      <c r="E35" s="4">
        <v>198</v>
      </c>
      <c r="F35" s="4">
        <v>227</v>
      </c>
      <c r="G35" s="4">
        <v>294</v>
      </c>
      <c r="H35" s="4">
        <v>4453</v>
      </c>
      <c r="I35" s="4">
        <v>0</v>
      </c>
      <c r="J35" s="6"/>
      <c r="K35" s="3">
        <v>30</v>
      </c>
      <c r="L35" s="4">
        <v>0</v>
      </c>
      <c r="M35" s="4">
        <v>11</v>
      </c>
      <c r="N35" s="4">
        <v>4</v>
      </c>
      <c r="O35" s="4">
        <v>15</v>
      </c>
      <c r="P35" s="19">
        <v>6135</v>
      </c>
    </row>
    <row r="36" spans="1:16" ht="15.6" thickTop="1" thickBot="1" x14ac:dyDescent="0.35">
      <c r="A36" s="3">
        <v>31</v>
      </c>
      <c r="B36" s="4">
        <v>2414</v>
      </c>
      <c r="C36" s="4">
        <v>0</v>
      </c>
      <c r="D36" s="4">
        <v>1461</v>
      </c>
      <c r="E36" s="4">
        <v>223</v>
      </c>
      <c r="F36" s="4">
        <v>230</v>
      </c>
      <c r="G36" s="4">
        <v>266</v>
      </c>
      <c r="H36" s="4">
        <v>4594</v>
      </c>
      <c r="I36" s="4">
        <v>0</v>
      </c>
      <c r="J36" s="6"/>
      <c r="K36" s="3">
        <v>31</v>
      </c>
      <c r="L36" s="4">
        <v>0</v>
      </c>
      <c r="M36" s="4">
        <v>18</v>
      </c>
      <c r="N36" s="4">
        <v>9</v>
      </c>
      <c r="O36" s="4">
        <v>27</v>
      </c>
      <c r="P36" s="19">
        <v>6135</v>
      </c>
    </row>
    <row r="37" spans="1:16" ht="15" thickTop="1" x14ac:dyDescent="0.3">
      <c r="A37" s="11" t="s">
        <v>19</v>
      </c>
      <c r="B37" s="12">
        <v>153740</v>
      </c>
      <c r="C37" s="12">
        <v>48</v>
      </c>
      <c r="D37" s="12">
        <v>35713</v>
      </c>
      <c r="E37" s="12">
        <v>4426</v>
      </c>
      <c r="F37" s="12">
        <v>5941</v>
      </c>
      <c r="G37" s="12">
        <v>8149</v>
      </c>
      <c r="H37" s="12">
        <v>208017</v>
      </c>
      <c r="I37" s="12">
        <v>0</v>
      </c>
      <c r="J37" s="12"/>
      <c r="K37" s="12" t="s">
        <v>25</v>
      </c>
      <c r="L37" s="12">
        <v>24</v>
      </c>
      <c r="M37" s="12">
        <v>230</v>
      </c>
      <c r="N37" s="12">
        <v>105</v>
      </c>
      <c r="O37" s="27">
        <f>SUM(O6:O36)</f>
        <v>359</v>
      </c>
      <c r="P37" s="1"/>
    </row>
    <row r="38" spans="1:16" x14ac:dyDescent="0.3">
      <c r="A38" s="11" t="s">
        <v>19</v>
      </c>
      <c r="B38" s="60">
        <v>153788</v>
      </c>
      <c r="C38" s="60"/>
      <c r="D38" s="12">
        <v>35713</v>
      </c>
      <c r="E38" s="12">
        <v>4426</v>
      </c>
      <c r="F38" s="12">
        <v>5941</v>
      </c>
      <c r="G38" s="12">
        <v>8149</v>
      </c>
      <c r="H38" s="27">
        <v>208017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3301-F3D4-4D47-AF14-2657C8D8C98A}">
  <dimension ref="A1:Z46"/>
  <sheetViews>
    <sheetView workbookViewId="0">
      <selection activeCell="E13" sqref="E13"/>
    </sheetView>
  </sheetViews>
  <sheetFormatPr baseColWidth="10" defaultColWidth="11.44140625" defaultRowHeight="13.8" x14ac:dyDescent="0.3"/>
  <cols>
    <col min="1" max="9" width="11.44140625" style="42"/>
    <col min="10" max="10" width="4.6640625" style="42" customWidth="1"/>
    <col min="11" max="11" width="11.44140625" style="31"/>
    <col min="12" max="15" width="11.44140625" style="42"/>
    <col min="16" max="16" width="0" style="42" hidden="1" customWidth="1"/>
    <col min="17" max="16384" width="11.44140625" style="42"/>
  </cols>
  <sheetData>
    <row r="1" spans="1:19" s="33" customFormat="1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33" customFormat="1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s="33" customFormat="1" ht="15.6" x14ac:dyDescent="0.3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9" ht="78" customHeight="1" x14ac:dyDescent="0.3">
      <c r="A4" s="65" t="s">
        <v>1</v>
      </c>
      <c r="B4" s="62" t="s">
        <v>2</v>
      </c>
      <c r="C4" s="62"/>
      <c r="D4" s="28" t="s">
        <v>3</v>
      </c>
      <c r="E4" s="28" t="s">
        <v>4</v>
      </c>
      <c r="F4" s="28" t="s">
        <v>5</v>
      </c>
      <c r="G4" s="28" t="s">
        <v>6</v>
      </c>
      <c r="H4" s="62" t="s">
        <v>7</v>
      </c>
      <c r="I4" s="62" t="s">
        <v>8</v>
      </c>
      <c r="J4" s="34"/>
      <c r="K4" s="67" t="s">
        <v>1</v>
      </c>
      <c r="L4" s="62" t="s">
        <v>9</v>
      </c>
      <c r="M4" s="62" t="s">
        <v>10</v>
      </c>
      <c r="N4" s="62" t="s">
        <v>11</v>
      </c>
      <c r="O4" s="62" t="s">
        <v>12</v>
      </c>
    </row>
    <row r="5" spans="1:19" ht="18" customHeight="1" x14ac:dyDescent="0.3">
      <c r="A5" s="66"/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62"/>
      <c r="I5" s="62"/>
      <c r="J5" s="34"/>
      <c r="K5" s="67"/>
      <c r="L5" s="62"/>
      <c r="M5" s="62"/>
      <c r="N5" s="62"/>
      <c r="O5" s="62"/>
    </row>
    <row r="6" spans="1:19" ht="18" customHeight="1" thickBot="1" x14ac:dyDescent="0.35">
      <c r="A6" s="35">
        <v>1</v>
      </c>
      <c r="B6" s="43">
        <v>3070</v>
      </c>
      <c r="C6" s="43">
        <v>2</v>
      </c>
      <c r="D6" s="43">
        <v>1278</v>
      </c>
      <c r="E6" s="43">
        <v>182</v>
      </c>
      <c r="F6" s="43">
        <v>182</v>
      </c>
      <c r="G6" s="43">
        <v>253</v>
      </c>
      <c r="H6" s="43">
        <f>SUM(B6:G6)</f>
        <v>4967</v>
      </c>
      <c r="I6" s="43">
        <v>0</v>
      </c>
      <c r="J6" s="47"/>
      <c r="K6" s="35">
        <v>1</v>
      </c>
      <c r="L6" s="36">
        <v>0</v>
      </c>
      <c r="M6" s="36">
        <v>3</v>
      </c>
      <c r="N6" s="36">
        <v>3</v>
      </c>
      <c r="O6" s="43">
        <f>SUM(L6:N6)</f>
        <v>6</v>
      </c>
      <c r="P6" s="30">
        <v>6135</v>
      </c>
    </row>
    <row r="7" spans="1:19" ht="18" customHeight="1" thickTop="1" thickBot="1" x14ac:dyDescent="0.35">
      <c r="A7" s="35">
        <v>2</v>
      </c>
      <c r="B7" s="43">
        <v>3226</v>
      </c>
      <c r="C7" s="43">
        <v>0</v>
      </c>
      <c r="D7" s="43">
        <v>1116</v>
      </c>
      <c r="E7" s="43">
        <v>122</v>
      </c>
      <c r="F7" s="43">
        <v>195</v>
      </c>
      <c r="G7" s="43">
        <v>212</v>
      </c>
      <c r="H7" s="43">
        <f>SUM(B7:G7)</f>
        <v>4871</v>
      </c>
      <c r="I7" s="43">
        <v>0</v>
      </c>
      <c r="J7" s="47"/>
      <c r="K7" s="35">
        <v>2</v>
      </c>
      <c r="L7" s="36">
        <v>1</v>
      </c>
      <c r="M7" s="36">
        <v>2</v>
      </c>
      <c r="N7" s="36">
        <v>2</v>
      </c>
      <c r="O7" s="43">
        <f t="shared" ref="O7:O33" si="0">SUM(L7:N7)</f>
        <v>5</v>
      </c>
      <c r="P7" s="30">
        <f>+P6</f>
        <v>6135</v>
      </c>
    </row>
    <row r="8" spans="1:19" ht="18" customHeight="1" thickTop="1" thickBot="1" x14ac:dyDescent="0.35">
      <c r="A8" s="35">
        <v>3</v>
      </c>
      <c r="B8" s="43">
        <v>4096</v>
      </c>
      <c r="C8" s="43">
        <v>0</v>
      </c>
      <c r="D8" s="43">
        <v>892</v>
      </c>
      <c r="E8" s="43">
        <v>121</v>
      </c>
      <c r="F8" s="43">
        <v>112</v>
      </c>
      <c r="G8" s="43">
        <v>179</v>
      </c>
      <c r="H8" s="43">
        <f t="shared" ref="H8:H36" si="1">SUM(B8:G8)</f>
        <v>5400</v>
      </c>
      <c r="I8" s="43">
        <v>0</v>
      </c>
      <c r="J8" s="47"/>
      <c r="K8" s="35">
        <v>3</v>
      </c>
      <c r="L8" s="36">
        <v>1</v>
      </c>
      <c r="M8" s="36">
        <v>4</v>
      </c>
      <c r="N8" s="36">
        <v>0</v>
      </c>
      <c r="O8" s="43">
        <f t="shared" si="0"/>
        <v>5</v>
      </c>
      <c r="P8" s="30">
        <f t="shared" ref="P8:P36" si="2">+P7</f>
        <v>6135</v>
      </c>
      <c r="S8" s="48"/>
    </row>
    <row r="9" spans="1:19" ht="18" customHeight="1" thickTop="1" thickBot="1" x14ac:dyDescent="0.35">
      <c r="A9" s="35">
        <v>4</v>
      </c>
      <c r="B9" s="43">
        <v>2430</v>
      </c>
      <c r="C9" s="43">
        <v>2</v>
      </c>
      <c r="D9" s="43">
        <v>1061</v>
      </c>
      <c r="E9" s="43">
        <v>191</v>
      </c>
      <c r="F9" s="43">
        <v>177</v>
      </c>
      <c r="G9" s="43">
        <v>216</v>
      </c>
      <c r="H9" s="43">
        <f t="shared" si="1"/>
        <v>4077</v>
      </c>
      <c r="I9" s="43">
        <v>0</v>
      </c>
      <c r="J9" s="47"/>
      <c r="K9" s="35">
        <v>4</v>
      </c>
      <c r="L9" s="36">
        <v>0</v>
      </c>
      <c r="M9" s="36">
        <v>4</v>
      </c>
      <c r="N9" s="36">
        <v>2</v>
      </c>
      <c r="O9" s="43">
        <f t="shared" si="0"/>
        <v>6</v>
      </c>
      <c r="P9" s="30">
        <f t="shared" si="2"/>
        <v>6135</v>
      </c>
    </row>
    <row r="10" spans="1:19" ht="18" customHeight="1" thickTop="1" thickBot="1" x14ac:dyDescent="0.35">
      <c r="A10" s="35">
        <v>5</v>
      </c>
      <c r="B10" s="43">
        <v>2304</v>
      </c>
      <c r="C10" s="43">
        <v>2</v>
      </c>
      <c r="D10" s="43">
        <v>1267</v>
      </c>
      <c r="E10" s="43">
        <v>156</v>
      </c>
      <c r="F10" s="43">
        <v>196</v>
      </c>
      <c r="G10" s="43">
        <v>263</v>
      </c>
      <c r="H10" s="43">
        <f t="shared" si="1"/>
        <v>4188</v>
      </c>
      <c r="I10" s="43">
        <v>0</v>
      </c>
      <c r="J10" s="47"/>
      <c r="K10" s="35">
        <v>5</v>
      </c>
      <c r="L10" s="36">
        <v>0</v>
      </c>
      <c r="M10" s="36">
        <v>6</v>
      </c>
      <c r="N10" s="36">
        <v>1</v>
      </c>
      <c r="O10" s="43">
        <f t="shared" si="0"/>
        <v>7</v>
      </c>
      <c r="P10" s="30">
        <f t="shared" si="2"/>
        <v>6135</v>
      </c>
    </row>
    <row r="11" spans="1:19" ht="18" customHeight="1" thickTop="1" thickBot="1" x14ac:dyDescent="0.35">
      <c r="A11" s="35">
        <v>6</v>
      </c>
      <c r="B11" s="43">
        <v>2361</v>
      </c>
      <c r="C11" s="43">
        <v>2</v>
      </c>
      <c r="D11" s="43">
        <v>1357</v>
      </c>
      <c r="E11" s="43">
        <v>202</v>
      </c>
      <c r="F11" s="43">
        <v>189</v>
      </c>
      <c r="G11" s="43">
        <v>308</v>
      </c>
      <c r="H11" s="43">
        <f t="shared" si="1"/>
        <v>4419</v>
      </c>
      <c r="I11" s="43">
        <v>0</v>
      </c>
      <c r="J11" s="47"/>
      <c r="K11" s="35">
        <v>6</v>
      </c>
      <c r="L11" s="36">
        <v>1</v>
      </c>
      <c r="M11" s="36">
        <v>12</v>
      </c>
      <c r="N11" s="36">
        <v>4</v>
      </c>
      <c r="O11" s="43">
        <f t="shared" si="0"/>
        <v>17</v>
      </c>
      <c r="P11" s="30">
        <f t="shared" si="2"/>
        <v>6135</v>
      </c>
    </row>
    <row r="12" spans="1:19" ht="18" customHeight="1" thickTop="1" thickBot="1" x14ac:dyDescent="0.35">
      <c r="A12" s="35">
        <v>7</v>
      </c>
      <c r="B12" s="43">
        <v>2395</v>
      </c>
      <c r="C12" s="43">
        <v>0</v>
      </c>
      <c r="D12" s="43">
        <v>1331</v>
      </c>
      <c r="E12" s="43">
        <v>176</v>
      </c>
      <c r="F12" s="43">
        <v>190</v>
      </c>
      <c r="G12" s="43">
        <v>268</v>
      </c>
      <c r="H12" s="43">
        <f t="shared" si="1"/>
        <v>4360</v>
      </c>
      <c r="I12" s="43">
        <v>0</v>
      </c>
      <c r="J12" s="37"/>
      <c r="K12" s="35">
        <v>7</v>
      </c>
      <c r="L12" s="36">
        <v>2</v>
      </c>
      <c r="M12" s="36">
        <v>9</v>
      </c>
      <c r="N12" s="36">
        <v>5</v>
      </c>
      <c r="O12" s="43">
        <f t="shared" si="0"/>
        <v>16</v>
      </c>
      <c r="P12" s="30">
        <f t="shared" si="2"/>
        <v>6135</v>
      </c>
    </row>
    <row r="13" spans="1:19" ht="18" customHeight="1" thickTop="1" thickBot="1" x14ac:dyDescent="0.35">
      <c r="A13" s="35">
        <v>8</v>
      </c>
      <c r="B13" s="43">
        <v>3390</v>
      </c>
      <c r="C13" s="43">
        <v>0</v>
      </c>
      <c r="D13" s="43">
        <v>1288</v>
      </c>
      <c r="E13" s="43">
        <v>174</v>
      </c>
      <c r="F13" s="43">
        <v>190</v>
      </c>
      <c r="G13" s="43">
        <v>245</v>
      </c>
      <c r="H13" s="43">
        <f t="shared" si="1"/>
        <v>5287</v>
      </c>
      <c r="I13" s="43">
        <v>0</v>
      </c>
      <c r="J13" s="37"/>
      <c r="K13" s="35">
        <v>8</v>
      </c>
      <c r="L13" s="36">
        <v>1</v>
      </c>
      <c r="M13" s="36">
        <v>8</v>
      </c>
      <c r="N13" s="36">
        <v>5</v>
      </c>
      <c r="O13" s="43">
        <f t="shared" si="0"/>
        <v>14</v>
      </c>
      <c r="P13" s="30">
        <f t="shared" si="2"/>
        <v>6135</v>
      </c>
    </row>
    <row r="14" spans="1:19" s="52" customFormat="1" ht="18" customHeight="1" thickTop="1" thickBot="1" x14ac:dyDescent="0.35">
      <c r="A14" s="35">
        <v>9</v>
      </c>
      <c r="B14" s="43">
        <v>3460</v>
      </c>
      <c r="C14" s="43">
        <v>0</v>
      </c>
      <c r="D14" s="43">
        <v>1097</v>
      </c>
      <c r="E14" s="43">
        <v>128</v>
      </c>
      <c r="F14" s="43">
        <v>159</v>
      </c>
      <c r="G14" s="43">
        <v>202</v>
      </c>
      <c r="H14" s="43">
        <f t="shared" si="1"/>
        <v>5046</v>
      </c>
      <c r="I14" s="43">
        <v>0</v>
      </c>
      <c r="J14" s="37"/>
      <c r="K14" s="35">
        <v>9</v>
      </c>
      <c r="L14" s="36">
        <v>0</v>
      </c>
      <c r="M14" s="36">
        <v>10</v>
      </c>
      <c r="N14" s="36">
        <v>4</v>
      </c>
      <c r="O14" s="43">
        <f t="shared" si="0"/>
        <v>14</v>
      </c>
      <c r="P14" s="46">
        <f t="shared" si="2"/>
        <v>6135</v>
      </c>
    </row>
    <row r="15" spans="1:19" ht="18" customHeight="1" thickTop="1" thickBot="1" x14ac:dyDescent="0.35">
      <c r="A15" s="35">
        <v>10</v>
      </c>
      <c r="B15" s="43">
        <v>4430</v>
      </c>
      <c r="C15" s="43">
        <v>0</v>
      </c>
      <c r="D15" s="43">
        <v>918</v>
      </c>
      <c r="E15" s="43">
        <v>114</v>
      </c>
      <c r="F15" s="43">
        <v>127</v>
      </c>
      <c r="G15" s="43">
        <v>215</v>
      </c>
      <c r="H15" s="43">
        <f t="shared" si="1"/>
        <v>5804</v>
      </c>
      <c r="I15" s="43">
        <v>0</v>
      </c>
      <c r="J15" s="37"/>
      <c r="K15" s="35">
        <v>10</v>
      </c>
      <c r="L15" s="36">
        <v>0</v>
      </c>
      <c r="M15" s="36">
        <v>8</v>
      </c>
      <c r="N15" s="36">
        <v>0</v>
      </c>
      <c r="O15" s="43">
        <f t="shared" si="0"/>
        <v>8</v>
      </c>
      <c r="P15" s="30">
        <f t="shared" si="2"/>
        <v>6135</v>
      </c>
    </row>
    <row r="16" spans="1:19" ht="18" customHeight="1" thickTop="1" thickBot="1" x14ac:dyDescent="0.35">
      <c r="A16" s="35">
        <v>11</v>
      </c>
      <c r="B16" s="43">
        <v>2285</v>
      </c>
      <c r="C16" s="43">
        <v>0</v>
      </c>
      <c r="D16" s="43">
        <v>1083</v>
      </c>
      <c r="E16" s="43">
        <v>166</v>
      </c>
      <c r="F16" s="43">
        <v>201</v>
      </c>
      <c r="G16" s="43">
        <v>262</v>
      </c>
      <c r="H16" s="43">
        <f t="shared" si="1"/>
        <v>3997</v>
      </c>
      <c r="I16" s="43">
        <v>0</v>
      </c>
      <c r="J16" s="37"/>
      <c r="K16" s="35">
        <v>11</v>
      </c>
      <c r="L16" s="36">
        <v>0</v>
      </c>
      <c r="M16" s="36">
        <v>7</v>
      </c>
      <c r="N16" s="36">
        <v>1</v>
      </c>
      <c r="O16" s="43">
        <f t="shared" si="0"/>
        <v>8</v>
      </c>
      <c r="P16" s="30">
        <f t="shared" si="2"/>
        <v>6135</v>
      </c>
    </row>
    <row r="17" spans="1:26" ht="18" customHeight="1" thickTop="1" thickBot="1" x14ac:dyDescent="0.35">
      <c r="A17" s="35">
        <v>12</v>
      </c>
      <c r="B17" s="43">
        <v>2200</v>
      </c>
      <c r="C17" s="43">
        <v>2</v>
      </c>
      <c r="D17" s="43">
        <v>1288</v>
      </c>
      <c r="E17" s="43">
        <v>165</v>
      </c>
      <c r="F17" s="43">
        <v>209</v>
      </c>
      <c r="G17" s="43">
        <v>294</v>
      </c>
      <c r="H17" s="43">
        <f t="shared" si="1"/>
        <v>4158</v>
      </c>
      <c r="I17" s="43">
        <v>0</v>
      </c>
      <c r="J17" s="37"/>
      <c r="K17" s="35">
        <v>12</v>
      </c>
      <c r="L17" s="36">
        <v>0</v>
      </c>
      <c r="M17" s="36">
        <v>8</v>
      </c>
      <c r="N17" s="36">
        <v>3</v>
      </c>
      <c r="O17" s="43">
        <f t="shared" si="0"/>
        <v>11</v>
      </c>
      <c r="P17" s="30">
        <f t="shared" si="2"/>
        <v>6135</v>
      </c>
    </row>
    <row r="18" spans="1:26" ht="18" customHeight="1" thickTop="1" thickBot="1" x14ac:dyDescent="0.35">
      <c r="A18" s="35">
        <v>13</v>
      </c>
      <c r="B18" s="43">
        <v>2347</v>
      </c>
      <c r="C18" s="43">
        <v>2</v>
      </c>
      <c r="D18" s="43">
        <v>1303</v>
      </c>
      <c r="E18" s="43">
        <v>156</v>
      </c>
      <c r="F18" s="43">
        <v>246</v>
      </c>
      <c r="G18" s="43">
        <v>307</v>
      </c>
      <c r="H18" s="43">
        <f t="shared" si="1"/>
        <v>4361</v>
      </c>
      <c r="I18" s="43">
        <v>0</v>
      </c>
      <c r="J18" s="37"/>
      <c r="K18" s="35">
        <v>13</v>
      </c>
      <c r="L18" s="36">
        <v>1</v>
      </c>
      <c r="M18" s="36">
        <v>8</v>
      </c>
      <c r="N18" s="36">
        <v>2</v>
      </c>
      <c r="O18" s="43">
        <f t="shared" si="0"/>
        <v>11</v>
      </c>
      <c r="P18" s="30">
        <f t="shared" si="2"/>
        <v>6135</v>
      </c>
    </row>
    <row r="19" spans="1:26" ht="18" customHeight="1" thickTop="1" thickBot="1" x14ac:dyDescent="0.35">
      <c r="A19" s="35">
        <v>14</v>
      </c>
      <c r="B19" s="43">
        <v>2371</v>
      </c>
      <c r="C19" s="43">
        <v>2</v>
      </c>
      <c r="D19" s="43">
        <v>1393</v>
      </c>
      <c r="E19" s="43">
        <v>188</v>
      </c>
      <c r="F19" s="43">
        <v>242</v>
      </c>
      <c r="G19" s="43">
        <v>291</v>
      </c>
      <c r="H19" s="43">
        <f t="shared" si="1"/>
        <v>4487</v>
      </c>
      <c r="I19" s="43">
        <v>0</v>
      </c>
      <c r="J19" s="37"/>
      <c r="K19" s="35">
        <v>14</v>
      </c>
      <c r="L19" s="36">
        <v>1</v>
      </c>
      <c r="M19" s="36">
        <v>4</v>
      </c>
      <c r="N19" s="36">
        <v>7</v>
      </c>
      <c r="O19" s="43">
        <f t="shared" si="0"/>
        <v>12</v>
      </c>
      <c r="P19" s="30">
        <f t="shared" si="2"/>
        <v>6135</v>
      </c>
    </row>
    <row r="20" spans="1:26" ht="18" customHeight="1" thickTop="1" thickBot="1" x14ac:dyDescent="0.35">
      <c r="A20" s="35">
        <v>15</v>
      </c>
      <c r="B20" s="43">
        <v>3545</v>
      </c>
      <c r="C20" s="43">
        <v>2</v>
      </c>
      <c r="D20" s="43">
        <v>1234</v>
      </c>
      <c r="E20" s="43">
        <v>170</v>
      </c>
      <c r="F20" s="43">
        <v>246</v>
      </c>
      <c r="G20" s="43">
        <v>282</v>
      </c>
      <c r="H20" s="43">
        <f t="shared" si="1"/>
        <v>5479</v>
      </c>
      <c r="I20" s="43">
        <v>0</v>
      </c>
      <c r="J20" s="37"/>
      <c r="K20" s="35">
        <v>15</v>
      </c>
      <c r="L20" s="36">
        <v>2</v>
      </c>
      <c r="M20" s="36">
        <v>2</v>
      </c>
      <c r="N20" s="36">
        <v>3</v>
      </c>
      <c r="O20" s="43">
        <f t="shared" si="0"/>
        <v>7</v>
      </c>
      <c r="P20" s="30">
        <f t="shared" si="2"/>
        <v>6135</v>
      </c>
    </row>
    <row r="21" spans="1:26" ht="18" customHeight="1" thickTop="1" thickBot="1" x14ac:dyDescent="0.35">
      <c r="A21" s="35">
        <v>16</v>
      </c>
      <c r="B21" s="43">
        <v>3587</v>
      </c>
      <c r="C21" s="43">
        <v>0</v>
      </c>
      <c r="D21" s="43">
        <v>1007</v>
      </c>
      <c r="E21" s="43">
        <v>112</v>
      </c>
      <c r="F21" s="43">
        <v>196</v>
      </c>
      <c r="G21" s="43">
        <v>259</v>
      </c>
      <c r="H21" s="43">
        <f t="shared" si="1"/>
        <v>5161</v>
      </c>
      <c r="I21" s="43">
        <v>0</v>
      </c>
      <c r="J21" s="37"/>
      <c r="K21" s="35">
        <v>16</v>
      </c>
      <c r="L21" s="36">
        <v>5</v>
      </c>
      <c r="M21" s="36">
        <v>8</v>
      </c>
      <c r="N21" s="36">
        <v>2</v>
      </c>
      <c r="O21" s="43">
        <f t="shared" si="0"/>
        <v>15</v>
      </c>
      <c r="P21" s="30">
        <f>+P20</f>
        <v>6135</v>
      </c>
    </row>
    <row r="22" spans="1:26" ht="18" customHeight="1" thickTop="1" thickBot="1" x14ac:dyDescent="0.35">
      <c r="A22" s="35">
        <v>17</v>
      </c>
      <c r="B22" s="43">
        <v>4587</v>
      </c>
      <c r="C22" s="43">
        <v>2</v>
      </c>
      <c r="D22" s="43">
        <v>927</v>
      </c>
      <c r="E22" s="43">
        <v>111</v>
      </c>
      <c r="F22" s="43">
        <v>130</v>
      </c>
      <c r="G22" s="43">
        <v>209</v>
      </c>
      <c r="H22" s="43">
        <f>SUM(B22:G22)</f>
        <v>5966</v>
      </c>
      <c r="I22" s="43">
        <v>0</v>
      </c>
      <c r="J22" s="37"/>
      <c r="K22" s="35">
        <v>17</v>
      </c>
      <c r="L22" s="36">
        <v>1</v>
      </c>
      <c r="M22" s="36">
        <v>6</v>
      </c>
      <c r="N22" s="36">
        <v>3</v>
      </c>
      <c r="O22" s="43">
        <f t="shared" si="0"/>
        <v>10</v>
      </c>
      <c r="P22" s="30">
        <f t="shared" si="2"/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Top="1" thickBot="1" x14ac:dyDescent="0.35">
      <c r="A23" s="35">
        <v>18</v>
      </c>
      <c r="B23" s="43">
        <v>2351</v>
      </c>
      <c r="C23" s="43">
        <v>2</v>
      </c>
      <c r="D23" s="43">
        <v>1094</v>
      </c>
      <c r="E23" s="43">
        <v>149</v>
      </c>
      <c r="F23" s="43">
        <v>204</v>
      </c>
      <c r="G23" s="43">
        <v>251</v>
      </c>
      <c r="H23" s="43">
        <f t="shared" si="1"/>
        <v>4051</v>
      </c>
      <c r="I23" s="43">
        <v>0</v>
      </c>
      <c r="J23" s="37"/>
      <c r="K23" s="35">
        <v>18</v>
      </c>
      <c r="L23" s="36">
        <v>0</v>
      </c>
      <c r="M23" s="36">
        <v>2</v>
      </c>
      <c r="N23" s="36">
        <v>3</v>
      </c>
      <c r="O23" s="43">
        <f t="shared" si="0"/>
        <v>5</v>
      </c>
      <c r="P23" s="30">
        <f t="shared" si="2"/>
        <v>6135</v>
      </c>
    </row>
    <row r="24" spans="1:26" ht="18" customHeight="1" thickTop="1" thickBot="1" x14ac:dyDescent="0.35">
      <c r="A24" s="35">
        <v>19</v>
      </c>
      <c r="B24" s="43">
        <v>2284</v>
      </c>
      <c r="C24" s="43">
        <v>2</v>
      </c>
      <c r="D24" s="43">
        <v>1346</v>
      </c>
      <c r="E24" s="43">
        <v>168</v>
      </c>
      <c r="F24" s="43">
        <v>227</v>
      </c>
      <c r="G24" s="43">
        <v>294</v>
      </c>
      <c r="H24" s="43">
        <f t="shared" si="1"/>
        <v>4321</v>
      </c>
      <c r="I24" s="43">
        <v>0</v>
      </c>
      <c r="J24" s="37"/>
      <c r="K24" s="35">
        <v>19</v>
      </c>
      <c r="L24" s="36">
        <v>1</v>
      </c>
      <c r="M24" s="36">
        <v>14</v>
      </c>
      <c r="N24" s="36">
        <v>1</v>
      </c>
      <c r="O24" s="43">
        <f t="shared" si="0"/>
        <v>16</v>
      </c>
      <c r="P24" s="30">
        <f t="shared" si="2"/>
        <v>6135</v>
      </c>
    </row>
    <row r="25" spans="1:26" ht="18" customHeight="1" thickTop="1" thickBot="1" x14ac:dyDescent="0.35">
      <c r="A25" s="35">
        <v>20</v>
      </c>
      <c r="B25" s="43">
        <v>2298</v>
      </c>
      <c r="C25" s="43">
        <v>0</v>
      </c>
      <c r="D25" s="43">
        <v>1352</v>
      </c>
      <c r="E25" s="43">
        <v>171</v>
      </c>
      <c r="F25" s="43">
        <v>210</v>
      </c>
      <c r="G25" s="43">
        <v>327</v>
      </c>
      <c r="H25" s="43">
        <f>SUM(B25:G25)</f>
        <v>4358</v>
      </c>
      <c r="I25" s="43">
        <v>0</v>
      </c>
      <c r="J25" s="37"/>
      <c r="K25" s="35">
        <v>20</v>
      </c>
      <c r="L25" s="36">
        <v>0</v>
      </c>
      <c r="M25" s="36">
        <v>5</v>
      </c>
      <c r="N25" s="36">
        <v>2</v>
      </c>
      <c r="O25" s="43">
        <f t="shared" si="0"/>
        <v>7</v>
      </c>
      <c r="P25" s="30">
        <f t="shared" si="2"/>
        <v>6135</v>
      </c>
    </row>
    <row r="26" spans="1:26" ht="18" customHeight="1" thickTop="1" thickBot="1" x14ac:dyDescent="0.35">
      <c r="A26" s="35">
        <v>21</v>
      </c>
      <c r="B26" s="43">
        <v>2431</v>
      </c>
      <c r="C26" s="43">
        <v>0</v>
      </c>
      <c r="D26" s="43">
        <v>1399</v>
      </c>
      <c r="E26" s="43">
        <v>171</v>
      </c>
      <c r="F26" s="43">
        <v>223</v>
      </c>
      <c r="G26" s="43">
        <v>292</v>
      </c>
      <c r="H26" s="43">
        <f>SUM(B26:G26)</f>
        <v>4516</v>
      </c>
      <c r="I26" s="43">
        <v>0</v>
      </c>
      <c r="J26" s="37"/>
      <c r="K26" s="35">
        <v>21</v>
      </c>
      <c r="L26" s="36">
        <v>0</v>
      </c>
      <c r="M26" s="36">
        <v>12</v>
      </c>
      <c r="N26" s="36">
        <v>1</v>
      </c>
      <c r="O26" s="43">
        <f t="shared" si="0"/>
        <v>13</v>
      </c>
      <c r="P26" s="30">
        <f t="shared" si="2"/>
        <v>6135</v>
      </c>
    </row>
    <row r="27" spans="1:26" ht="18" customHeight="1" thickTop="1" thickBot="1" x14ac:dyDescent="0.35">
      <c r="A27" s="35">
        <v>22</v>
      </c>
      <c r="B27" s="43">
        <v>3449</v>
      </c>
      <c r="C27" s="43">
        <v>2</v>
      </c>
      <c r="D27" s="43">
        <v>1292</v>
      </c>
      <c r="E27" s="43">
        <v>179</v>
      </c>
      <c r="F27" s="43">
        <v>220</v>
      </c>
      <c r="G27" s="43">
        <v>274</v>
      </c>
      <c r="H27" s="43">
        <f t="shared" si="1"/>
        <v>5416</v>
      </c>
      <c r="I27" s="43">
        <v>0</v>
      </c>
      <c r="J27" s="37"/>
      <c r="K27" s="35">
        <v>22</v>
      </c>
      <c r="L27" s="36">
        <v>0</v>
      </c>
      <c r="M27" s="36">
        <v>4</v>
      </c>
      <c r="N27" s="36">
        <v>7</v>
      </c>
      <c r="O27" s="43">
        <f t="shared" si="0"/>
        <v>11</v>
      </c>
      <c r="P27" s="30">
        <f t="shared" si="2"/>
        <v>6135</v>
      </c>
    </row>
    <row r="28" spans="1:26" ht="18" customHeight="1" thickTop="1" thickBot="1" x14ac:dyDescent="0.35">
      <c r="A28" s="35">
        <v>23</v>
      </c>
      <c r="B28" s="43">
        <v>3489</v>
      </c>
      <c r="C28" s="43">
        <v>2</v>
      </c>
      <c r="D28" s="43">
        <v>1029</v>
      </c>
      <c r="E28" s="43">
        <v>142</v>
      </c>
      <c r="F28" s="43">
        <v>202</v>
      </c>
      <c r="G28" s="43">
        <v>251</v>
      </c>
      <c r="H28" s="43">
        <f t="shared" si="1"/>
        <v>5115</v>
      </c>
      <c r="I28" s="43">
        <v>0</v>
      </c>
      <c r="J28" s="37"/>
      <c r="K28" s="35">
        <v>23</v>
      </c>
      <c r="L28" s="36">
        <v>1</v>
      </c>
      <c r="M28" s="36">
        <v>2</v>
      </c>
      <c r="N28" s="36">
        <v>0</v>
      </c>
      <c r="O28" s="43">
        <f t="shared" si="0"/>
        <v>3</v>
      </c>
      <c r="P28" s="30">
        <f t="shared" si="2"/>
        <v>6135</v>
      </c>
    </row>
    <row r="29" spans="1:26" ht="18" customHeight="1" thickTop="1" thickBot="1" x14ac:dyDescent="0.35">
      <c r="A29" s="35">
        <v>24</v>
      </c>
      <c r="B29" s="43">
        <v>4757</v>
      </c>
      <c r="C29" s="43">
        <v>2</v>
      </c>
      <c r="D29" s="43">
        <v>913</v>
      </c>
      <c r="E29" s="43">
        <v>103</v>
      </c>
      <c r="F29" s="43">
        <v>114</v>
      </c>
      <c r="G29" s="43">
        <v>222</v>
      </c>
      <c r="H29" s="43">
        <f t="shared" si="1"/>
        <v>6111</v>
      </c>
      <c r="I29" s="43">
        <v>0</v>
      </c>
      <c r="J29" s="37"/>
      <c r="K29" s="35">
        <v>24</v>
      </c>
      <c r="L29" s="36">
        <v>0</v>
      </c>
      <c r="M29" s="36">
        <v>6</v>
      </c>
      <c r="N29" s="36">
        <v>1</v>
      </c>
      <c r="O29" s="43">
        <f t="shared" si="0"/>
        <v>7</v>
      </c>
      <c r="P29" s="30">
        <f t="shared" si="2"/>
        <v>6135</v>
      </c>
    </row>
    <row r="30" spans="1:26" ht="18" customHeight="1" thickTop="1" thickBot="1" x14ac:dyDescent="0.35">
      <c r="A30" s="35">
        <v>25</v>
      </c>
      <c r="B30" s="43">
        <v>2382</v>
      </c>
      <c r="C30" s="43">
        <v>2</v>
      </c>
      <c r="D30" s="43">
        <v>1038</v>
      </c>
      <c r="E30" s="43">
        <v>178</v>
      </c>
      <c r="F30" s="43">
        <v>183</v>
      </c>
      <c r="G30" s="43">
        <v>274</v>
      </c>
      <c r="H30" s="43">
        <f t="shared" si="1"/>
        <v>4057</v>
      </c>
      <c r="I30" s="43">
        <v>0</v>
      </c>
      <c r="J30" s="37"/>
      <c r="K30" s="35">
        <v>25</v>
      </c>
      <c r="L30" s="36">
        <v>0</v>
      </c>
      <c r="M30" s="36">
        <v>4</v>
      </c>
      <c r="N30" s="36">
        <v>1</v>
      </c>
      <c r="O30" s="43">
        <f t="shared" si="0"/>
        <v>5</v>
      </c>
      <c r="P30" s="30">
        <f t="shared" si="2"/>
        <v>6135</v>
      </c>
    </row>
    <row r="31" spans="1:26" ht="18" customHeight="1" thickTop="1" thickBot="1" x14ac:dyDescent="0.35">
      <c r="A31" s="35">
        <v>26</v>
      </c>
      <c r="B31" s="43">
        <v>2319</v>
      </c>
      <c r="C31" s="43">
        <v>0</v>
      </c>
      <c r="D31" s="43">
        <v>1271</v>
      </c>
      <c r="E31" s="43">
        <v>204</v>
      </c>
      <c r="F31" s="43">
        <v>211</v>
      </c>
      <c r="G31" s="43">
        <v>295</v>
      </c>
      <c r="H31" s="43">
        <f t="shared" si="1"/>
        <v>4300</v>
      </c>
      <c r="I31" s="43">
        <v>0</v>
      </c>
      <c r="J31" s="37"/>
      <c r="K31" s="35">
        <v>26</v>
      </c>
      <c r="L31" s="36">
        <v>0</v>
      </c>
      <c r="M31" s="36">
        <v>5</v>
      </c>
      <c r="N31" s="36">
        <v>5</v>
      </c>
      <c r="O31" s="43">
        <f t="shared" si="0"/>
        <v>10</v>
      </c>
      <c r="P31" s="30">
        <f t="shared" si="2"/>
        <v>6135</v>
      </c>
    </row>
    <row r="32" spans="1:26" ht="18" customHeight="1" thickTop="1" thickBot="1" x14ac:dyDescent="0.35">
      <c r="A32" s="35">
        <v>27</v>
      </c>
      <c r="B32" s="43">
        <v>2350</v>
      </c>
      <c r="C32" s="43">
        <v>2</v>
      </c>
      <c r="D32" s="43">
        <v>1316</v>
      </c>
      <c r="E32" s="43">
        <v>313</v>
      </c>
      <c r="F32" s="43">
        <v>199</v>
      </c>
      <c r="G32" s="43">
        <v>365</v>
      </c>
      <c r="H32" s="43">
        <f t="shared" si="1"/>
        <v>4545</v>
      </c>
      <c r="I32" s="43">
        <v>0</v>
      </c>
      <c r="J32" s="37"/>
      <c r="K32" s="35">
        <v>27</v>
      </c>
      <c r="L32" s="36">
        <v>0</v>
      </c>
      <c r="M32" s="36">
        <v>6</v>
      </c>
      <c r="N32" s="36">
        <v>3</v>
      </c>
      <c r="O32" s="43">
        <f t="shared" si="0"/>
        <v>9</v>
      </c>
      <c r="P32" s="30">
        <f t="shared" si="2"/>
        <v>6135</v>
      </c>
    </row>
    <row r="33" spans="1:16" ht="18" customHeight="1" thickTop="1" thickBot="1" x14ac:dyDescent="0.35">
      <c r="A33" s="35">
        <v>28</v>
      </c>
      <c r="B33" s="43">
        <v>2599</v>
      </c>
      <c r="C33" s="43">
        <v>4</v>
      </c>
      <c r="D33" s="43">
        <v>1293</v>
      </c>
      <c r="E33" s="43">
        <v>220</v>
      </c>
      <c r="F33" s="43">
        <v>197</v>
      </c>
      <c r="G33" s="43">
        <v>361</v>
      </c>
      <c r="H33" s="43">
        <f t="shared" si="1"/>
        <v>4674</v>
      </c>
      <c r="I33" s="43">
        <v>0</v>
      </c>
      <c r="J33" s="37"/>
      <c r="K33" s="35">
        <v>28</v>
      </c>
      <c r="L33" s="36">
        <v>3</v>
      </c>
      <c r="M33" s="36">
        <v>8</v>
      </c>
      <c r="N33" s="36">
        <v>4</v>
      </c>
      <c r="O33" s="43">
        <f t="shared" si="0"/>
        <v>15</v>
      </c>
      <c r="P33" s="30">
        <f t="shared" si="2"/>
        <v>6135</v>
      </c>
    </row>
    <row r="34" spans="1:16" ht="18" customHeight="1" thickTop="1" thickBot="1" x14ac:dyDescent="0.35">
      <c r="A34" s="35">
        <v>29</v>
      </c>
      <c r="B34" s="43">
        <v>3394</v>
      </c>
      <c r="C34" s="43">
        <v>2</v>
      </c>
      <c r="D34" s="43">
        <v>1243</v>
      </c>
      <c r="E34" s="43">
        <v>166</v>
      </c>
      <c r="F34" s="43">
        <v>183</v>
      </c>
      <c r="G34" s="43">
        <v>278</v>
      </c>
      <c r="H34" s="43">
        <f t="shared" si="1"/>
        <v>5266</v>
      </c>
      <c r="I34" s="43">
        <v>0</v>
      </c>
      <c r="J34" s="37"/>
      <c r="K34" s="35">
        <v>29</v>
      </c>
      <c r="L34" s="43">
        <v>0</v>
      </c>
      <c r="M34" s="43">
        <v>9</v>
      </c>
      <c r="N34" s="43">
        <v>1</v>
      </c>
      <c r="O34" s="43">
        <f>SUM(L34:N34)</f>
        <v>10</v>
      </c>
      <c r="P34" s="30">
        <f t="shared" si="2"/>
        <v>6135</v>
      </c>
    </row>
    <row r="35" spans="1:16" ht="18" customHeight="1" thickTop="1" thickBot="1" x14ac:dyDescent="0.35">
      <c r="A35" s="35">
        <v>30</v>
      </c>
      <c r="B35" s="43">
        <v>3637</v>
      </c>
      <c r="C35" s="43">
        <v>2</v>
      </c>
      <c r="D35" s="43">
        <v>1054</v>
      </c>
      <c r="E35" s="43">
        <v>116</v>
      </c>
      <c r="F35" s="43">
        <v>169</v>
      </c>
      <c r="G35" s="43">
        <v>223</v>
      </c>
      <c r="H35" s="43">
        <f t="shared" si="1"/>
        <v>5201</v>
      </c>
      <c r="I35" s="43">
        <v>0</v>
      </c>
      <c r="J35" s="37"/>
      <c r="K35" s="35">
        <v>30</v>
      </c>
      <c r="L35" s="43">
        <v>1</v>
      </c>
      <c r="M35" s="43">
        <v>9</v>
      </c>
      <c r="N35" s="43">
        <v>3</v>
      </c>
      <c r="O35" s="43">
        <f>SUM(L35:N35)</f>
        <v>13</v>
      </c>
      <c r="P35" s="30">
        <f t="shared" si="2"/>
        <v>6135</v>
      </c>
    </row>
    <row r="36" spans="1:16" ht="18" hidden="1" customHeight="1" x14ac:dyDescent="0.3">
      <c r="A36" s="35">
        <v>31</v>
      </c>
      <c r="B36" s="43"/>
      <c r="C36" s="43"/>
      <c r="D36" s="43"/>
      <c r="E36" s="43"/>
      <c r="F36" s="43"/>
      <c r="G36" s="43"/>
      <c r="H36" s="43">
        <f t="shared" si="1"/>
        <v>0</v>
      </c>
      <c r="I36" s="43">
        <v>0</v>
      </c>
      <c r="J36" s="37"/>
      <c r="K36" s="35">
        <v>31</v>
      </c>
      <c r="L36" s="43"/>
      <c r="M36" s="43"/>
      <c r="N36" s="43"/>
      <c r="O36" s="43">
        <f>SUM(L36:N36)</f>
        <v>0</v>
      </c>
      <c r="P36" s="30">
        <f t="shared" si="2"/>
        <v>6135</v>
      </c>
    </row>
    <row r="37" spans="1:16" ht="18" customHeight="1" thickTop="1" x14ac:dyDescent="0.3">
      <c r="A37" s="29" t="s">
        <v>19</v>
      </c>
      <c r="B37" s="44">
        <f>SUM(B6:B36)</f>
        <v>89824</v>
      </c>
      <c r="C37" s="44">
        <f t="shared" ref="C37:H37" si="3">SUM(C6:C36)</f>
        <v>40</v>
      </c>
      <c r="D37" s="44">
        <f t="shared" si="3"/>
        <v>35480</v>
      </c>
      <c r="E37" s="44">
        <f t="shared" si="3"/>
        <v>4914</v>
      </c>
      <c r="F37" s="44">
        <f t="shared" si="3"/>
        <v>5729</v>
      </c>
      <c r="G37" s="44">
        <f t="shared" si="3"/>
        <v>7972</v>
      </c>
      <c r="H37" s="44">
        <f t="shared" si="3"/>
        <v>143959</v>
      </c>
      <c r="I37" s="44">
        <f>SUM(I6:I33)</f>
        <v>0</v>
      </c>
      <c r="J37" s="44"/>
      <c r="K37" s="44" t="s">
        <v>25</v>
      </c>
      <c r="L37" s="44">
        <f>SUM(L6:L36)</f>
        <v>22</v>
      </c>
      <c r="M37" s="44">
        <f>SUM(M6:M36)</f>
        <v>195</v>
      </c>
      <c r="N37" s="44">
        <f>SUM(N6:N36)</f>
        <v>79</v>
      </c>
      <c r="O37" s="51">
        <f>SUM(O6:O35)</f>
        <v>296</v>
      </c>
    </row>
    <row r="38" spans="1:16" ht="18" customHeight="1" x14ac:dyDescent="0.3">
      <c r="A38" s="29" t="s">
        <v>19</v>
      </c>
      <c r="B38" s="63">
        <f>+B37+C37</f>
        <v>89864</v>
      </c>
      <c r="C38" s="63"/>
      <c r="D38" s="44">
        <f>+D37</f>
        <v>35480</v>
      </c>
      <c r="E38" s="44">
        <f>+E37</f>
        <v>4914</v>
      </c>
      <c r="F38" s="44">
        <f>+F37</f>
        <v>5729</v>
      </c>
      <c r="G38" s="44">
        <f>+G37</f>
        <v>7972</v>
      </c>
      <c r="H38" s="51">
        <f>+H37</f>
        <v>143959</v>
      </c>
      <c r="I38" s="44">
        <v>0</v>
      </c>
      <c r="J38" s="41"/>
      <c r="K38" s="29"/>
      <c r="L38" s="53" t="s">
        <v>20</v>
      </c>
      <c r="M38" s="53" t="s">
        <v>21</v>
      </c>
      <c r="N38" s="53" t="s">
        <v>20</v>
      </c>
      <c r="O38" s="53" t="s">
        <v>21</v>
      </c>
    </row>
    <row r="39" spans="1:16" ht="18" customHeight="1" x14ac:dyDescent="0.3">
      <c r="A39" s="38" t="s">
        <v>22</v>
      </c>
      <c r="B39" s="49"/>
      <c r="C39" s="49"/>
      <c r="D39" s="49"/>
      <c r="E39" s="49"/>
      <c r="F39" s="49"/>
      <c r="G39" s="49"/>
      <c r="H39" s="49"/>
      <c r="L39" s="39"/>
    </row>
    <row r="40" spans="1:16" x14ac:dyDescent="0.3">
      <c r="A40" s="45"/>
      <c r="B40" s="50"/>
      <c r="C40" s="50"/>
      <c r="D40" s="50"/>
      <c r="E40" s="50"/>
      <c r="F40" s="50"/>
      <c r="G40" s="50"/>
      <c r="H40" s="50"/>
      <c r="I40" s="50"/>
      <c r="J40" s="39"/>
      <c r="K40" s="26"/>
      <c r="L40" s="25"/>
    </row>
    <row r="41" spans="1:16" x14ac:dyDescent="0.3">
      <c r="A41" s="48"/>
      <c r="H41" s="48"/>
      <c r="K41" s="26"/>
      <c r="L41" s="25"/>
    </row>
    <row r="42" spans="1:16" x14ac:dyDescent="0.3">
      <c r="K42" s="26"/>
      <c r="L42" s="25"/>
    </row>
    <row r="43" spans="1:16" x14ac:dyDescent="0.3">
      <c r="I43" s="48"/>
      <c r="J43" s="48"/>
    </row>
    <row r="45" spans="1:16" x14ac:dyDescent="0.3">
      <c r="A45" s="32"/>
    </row>
    <row r="46" spans="1:16" x14ac:dyDescent="0.3">
      <c r="A46" s="32"/>
      <c r="B46" s="48"/>
      <c r="C46" s="48"/>
      <c r="D46" s="48"/>
      <c r="E46" s="48"/>
      <c r="F46" s="48"/>
      <c r="G46" s="48"/>
      <c r="H46" s="48"/>
      <c r="I46" s="48"/>
      <c r="J46" s="48"/>
      <c r="K46" s="40"/>
      <c r="L46" s="48"/>
      <c r="M46" s="48"/>
      <c r="N46" s="48"/>
      <c r="O46" s="4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16D8-E98A-417A-B7E1-2F5ECC2EACFD}">
  <dimension ref="A1:Z46"/>
  <sheetViews>
    <sheetView workbookViewId="0">
      <selection activeCell="H13" sqref="H13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4963</v>
      </c>
      <c r="C6" s="4">
        <v>0</v>
      </c>
      <c r="D6" s="4">
        <v>917</v>
      </c>
      <c r="E6" s="4">
        <v>130</v>
      </c>
      <c r="F6" s="4">
        <v>135</v>
      </c>
      <c r="G6" s="4">
        <v>206</v>
      </c>
      <c r="H6" s="4">
        <v>6351</v>
      </c>
      <c r="I6" s="4">
        <v>1</v>
      </c>
      <c r="J6" s="5"/>
      <c r="K6" s="3">
        <v>1</v>
      </c>
      <c r="L6" s="54">
        <v>0</v>
      </c>
      <c r="M6" s="54">
        <v>7</v>
      </c>
      <c r="N6" s="54">
        <v>3</v>
      </c>
      <c r="O6" s="4">
        <v>10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2411</v>
      </c>
      <c r="C7" s="4">
        <v>2</v>
      </c>
      <c r="D7" s="4">
        <v>1090</v>
      </c>
      <c r="E7" s="4">
        <v>209</v>
      </c>
      <c r="F7" s="4">
        <v>210</v>
      </c>
      <c r="G7" s="4">
        <v>294</v>
      </c>
      <c r="H7" s="4">
        <v>4216</v>
      </c>
      <c r="I7" s="4">
        <v>0</v>
      </c>
      <c r="J7" s="5"/>
      <c r="K7" s="3">
        <v>2</v>
      </c>
      <c r="L7" s="54">
        <v>3</v>
      </c>
      <c r="M7" s="54">
        <v>13</v>
      </c>
      <c r="N7" s="54">
        <v>0</v>
      </c>
      <c r="O7" s="4">
        <v>16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2179</v>
      </c>
      <c r="C8" s="4">
        <v>0</v>
      </c>
      <c r="D8" s="4">
        <v>1226</v>
      </c>
      <c r="E8" s="4">
        <v>170</v>
      </c>
      <c r="F8" s="4">
        <v>165</v>
      </c>
      <c r="G8" s="4">
        <v>262</v>
      </c>
      <c r="H8" s="4">
        <v>4002</v>
      </c>
      <c r="I8" s="4">
        <v>0</v>
      </c>
      <c r="J8" s="5"/>
      <c r="K8" s="3">
        <v>3</v>
      </c>
      <c r="L8" s="54">
        <v>2</v>
      </c>
      <c r="M8" s="54">
        <v>18</v>
      </c>
      <c r="N8" s="54">
        <v>2</v>
      </c>
      <c r="O8" s="4">
        <v>22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2359</v>
      </c>
      <c r="C9" s="4">
        <v>2</v>
      </c>
      <c r="D9" s="4">
        <v>1338</v>
      </c>
      <c r="E9" s="4">
        <v>179</v>
      </c>
      <c r="F9" s="4">
        <v>224</v>
      </c>
      <c r="G9" s="4">
        <v>296</v>
      </c>
      <c r="H9" s="4">
        <v>4398</v>
      </c>
      <c r="I9" s="4">
        <v>0</v>
      </c>
      <c r="J9" s="5"/>
      <c r="K9" s="3">
        <v>4</v>
      </c>
      <c r="L9" s="54">
        <v>1</v>
      </c>
      <c r="M9" s="54">
        <v>23</v>
      </c>
      <c r="N9" s="54">
        <v>5</v>
      </c>
      <c r="O9" s="4">
        <v>29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2872</v>
      </c>
      <c r="C10" s="4">
        <v>0</v>
      </c>
      <c r="D10" s="4">
        <v>1374</v>
      </c>
      <c r="E10" s="4">
        <v>203</v>
      </c>
      <c r="F10" s="4">
        <v>199</v>
      </c>
      <c r="G10" s="4">
        <v>310</v>
      </c>
      <c r="H10" s="4">
        <v>4958</v>
      </c>
      <c r="I10" s="4">
        <v>0</v>
      </c>
      <c r="J10" s="5"/>
      <c r="K10" s="3">
        <v>5</v>
      </c>
      <c r="L10" s="54">
        <v>0</v>
      </c>
      <c r="M10" s="54">
        <v>34</v>
      </c>
      <c r="N10" s="54">
        <v>5</v>
      </c>
      <c r="O10" s="4">
        <v>39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5844</v>
      </c>
      <c r="C11" s="4">
        <v>0</v>
      </c>
      <c r="D11" s="4">
        <v>1229</v>
      </c>
      <c r="E11" s="4">
        <v>172</v>
      </c>
      <c r="F11" s="4">
        <v>221</v>
      </c>
      <c r="G11" s="4">
        <v>269</v>
      </c>
      <c r="H11" s="4">
        <v>7735</v>
      </c>
      <c r="I11" s="4">
        <v>0</v>
      </c>
      <c r="J11" s="5"/>
      <c r="K11" s="3">
        <v>6</v>
      </c>
      <c r="L11" s="54">
        <v>0</v>
      </c>
      <c r="M11" s="54">
        <v>10</v>
      </c>
      <c r="N11" s="54">
        <v>6</v>
      </c>
      <c r="O11" s="4">
        <v>16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6667</v>
      </c>
      <c r="C12" s="4">
        <v>0</v>
      </c>
      <c r="D12" s="4">
        <v>955</v>
      </c>
      <c r="E12" s="4">
        <v>83</v>
      </c>
      <c r="F12" s="4">
        <v>141</v>
      </c>
      <c r="G12" s="4">
        <v>150</v>
      </c>
      <c r="H12" s="4">
        <v>7996</v>
      </c>
      <c r="I12" s="4">
        <v>0</v>
      </c>
      <c r="J12" s="6"/>
      <c r="K12" s="3">
        <v>7</v>
      </c>
      <c r="L12" s="54">
        <v>0</v>
      </c>
      <c r="M12" s="54">
        <v>8</v>
      </c>
      <c r="N12" s="54">
        <v>1</v>
      </c>
      <c r="O12" s="4">
        <v>9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5496</v>
      </c>
      <c r="C13" s="4">
        <v>0</v>
      </c>
      <c r="D13" s="4">
        <v>773</v>
      </c>
      <c r="E13" s="4">
        <v>85</v>
      </c>
      <c r="F13" s="4">
        <v>108</v>
      </c>
      <c r="G13" s="4">
        <v>188</v>
      </c>
      <c r="H13" s="4">
        <v>6650</v>
      </c>
      <c r="I13" s="4">
        <v>0</v>
      </c>
      <c r="J13" s="6"/>
      <c r="K13" s="3">
        <v>8</v>
      </c>
      <c r="L13" s="54">
        <v>0</v>
      </c>
      <c r="M13" s="54">
        <v>1</v>
      </c>
      <c r="N13" s="54">
        <v>2</v>
      </c>
      <c r="O13" s="4">
        <v>3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9577</v>
      </c>
      <c r="C14" s="4">
        <v>0</v>
      </c>
      <c r="D14" s="4">
        <v>725</v>
      </c>
      <c r="E14" s="4">
        <v>68</v>
      </c>
      <c r="F14" s="4">
        <v>46</v>
      </c>
      <c r="G14" s="4">
        <v>79</v>
      </c>
      <c r="H14" s="4">
        <v>10495</v>
      </c>
      <c r="I14" s="4">
        <v>0</v>
      </c>
      <c r="J14" s="6"/>
      <c r="K14" s="3">
        <v>9</v>
      </c>
      <c r="L14" s="54">
        <v>0</v>
      </c>
      <c r="M14" s="54">
        <v>5</v>
      </c>
      <c r="N14" s="54">
        <v>0</v>
      </c>
      <c r="O14" s="4">
        <v>5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2727</v>
      </c>
      <c r="C15" s="4">
        <v>0</v>
      </c>
      <c r="D15" s="4">
        <v>1167</v>
      </c>
      <c r="E15" s="4">
        <v>176</v>
      </c>
      <c r="F15" s="4">
        <v>143</v>
      </c>
      <c r="G15" s="4">
        <v>239</v>
      </c>
      <c r="H15" s="4">
        <v>4452</v>
      </c>
      <c r="I15" s="4">
        <v>0</v>
      </c>
      <c r="J15" s="6"/>
      <c r="K15" s="3">
        <v>10</v>
      </c>
      <c r="L15" s="54">
        <v>1</v>
      </c>
      <c r="M15" s="54">
        <v>22</v>
      </c>
      <c r="N15" s="54">
        <v>1</v>
      </c>
      <c r="O15" s="4">
        <v>24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2259</v>
      </c>
      <c r="C16" s="4">
        <v>4</v>
      </c>
      <c r="D16" s="4">
        <v>1289</v>
      </c>
      <c r="E16" s="4">
        <v>162</v>
      </c>
      <c r="F16" s="4">
        <v>194</v>
      </c>
      <c r="G16" s="4">
        <v>339</v>
      </c>
      <c r="H16" s="4">
        <v>4247</v>
      </c>
      <c r="I16" s="4">
        <v>0</v>
      </c>
      <c r="J16" s="6"/>
      <c r="K16" s="3">
        <v>11</v>
      </c>
      <c r="L16" s="54">
        <v>1</v>
      </c>
      <c r="M16" s="54">
        <v>4</v>
      </c>
      <c r="N16" s="54">
        <v>2</v>
      </c>
      <c r="O16" s="4">
        <v>7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2558</v>
      </c>
      <c r="C17" s="4">
        <v>2</v>
      </c>
      <c r="D17" s="4">
        <v>1348</v>
      </c>
      <c r="E17" s="4">
        <v>187</v>
      </c>
      <c r="F17" s="4">
        <v>192</v>
      </c>
      <c r="G17" s="4">
        <v>366</v>
      </c>
      <c r="H17" s="4">
        <v>4653</v>
      </c>
      <c r="I17" s="4">
        <v>0</v>
      </c>
      <c r="J17" s="6"/>
      <c r="K17" s="3">
        <v>12</v>
      </c>
      <c r="L17" s="54">
        <v>0</v>
      </c>
      <c r="M17" s="54">
        <v>30</v>
      </c>
      <c r="N17" s="54">
        <v>5</v>
      </c>
      <c r="O17" s="4">
        <v>35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3346</v>
      </c>
      <c r="C18" s="4">
        <v>0</v>
      </c>
      <c r="D18" s="4">
        <v>1232</v>
      </c>
      <c r="E18" s="4">
        <v>173</v>
      </c>
      <c r="F18" s="4">
        <v>165</v>
      </c>
      <c r="G18" s="4">
        <v>294</v>
      </c>
      <c r="H18" s="4">
        <v>5210</v>
      </c>
      <c r="I18" s="4">
        <v>0</v>
      </c>
      <c r="J18" s="6"/>
      <c r="K18" s="3">
        <v>13</v>
      </c>
      <c r="L18" s="54">
        <v>0</v>
      </c>
      <c r="M18" s="54">
        <v>20</v>
      </c>
      <c r="N18" s="54">
        <v>1</v>
      </c>
      <c r="O18" s="4">
        <v>21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3336</v>
      </c>
      <c r="C19" s="4">
        <v>0</v>
      </c>
      <c r="D19" s="4">
        <v>1042</v>
      </c>
      <c r="E19" s="4">
        <v>161</v>
      </c>
      <c r="F19" s="4">
        <v>151</v>
      </c>
      <c r="G19" s="4">
        <v>255</v>
      </c>
      <c r="H19" s="4">
        <v>4945</v>
      </c>
      <c r="I19" s="4">
        <v>0</v>
      </c>
      <c r="J19" s="6"/>
      <c r="K19" s="3">
        <v>14</v>
      </c>
      <c r="L19" s="54">
        <v>0</v>
      </c>
      <c r="M19" s="54">
        <v>12</v>
      </c>
      <c r="N19" s="54">
        <v>5</v>
      </c>
      <c r="O19" s="4">
        <v>17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4573</v>
      </c>
      <c r="C20" s="4">
        <v>2</v>
      </c>
      <c r="D20" s="4">
        <v>932</v>
      </c>
      <c r="E20" s="4">
        <v>103</v>
      </c>
      <c r="F20" s="4">
        <v>87</v>
      </c>
      <c r="G20" s="4">
        <v>222</v>
      </c>
      <c r="H20" s="4">
        <v>5919</v>
      </c>
      <c r="I20" s="4">
        <v>0</v>
      </c>
      <c r="J20" s="6"/>
      <c r="K20" s="3">
        <v>15</v>
      </c>
      <c r="L20" s="54">
        <v>1</v>
      </c>
      <c r="M20" s="54">
        <v>4</v>
      </c>
      <c r="N20" s="54">
        <v>1</v>
      </c>
      <c r="O20" s="4">
        <v>6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2430</v>
      </c>
      <c r="C21" s="4">
        <v>2</v>
      </c>
      <c r="D21" s="4">
        <v>1149</v>
      </c>
      <c r="E21" s="4">
        <v>201</v>
      </c>
      <c r="F21" s="4">
        <v>158</v>
      </c>
      <c r="G21" s="4">
        <v>253</v>
      </c>
      <c r="H21" s="4">
        <v>4193</v>
      </c>
      <c r="I21" s="4">
        <v>0</v>
      </c>
      <c r="J21" s="6"/>
      <c r="K21" s="3">
        <v>16</v>
      </c>
      <c r="L21" s="54">
        <v>1</v>
      </c>
      <c r="M21" s="54">
        <v>14</v>
      </c>
      <c r="N21" s="54">
        <v>5</v>
      </c>
      <c r="O21" s="4">
        <v>20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2317</v>
      </c>
      <c r="C22" s="4">
        <v>2</v>
      </c>
      <c r="D22" s="4">
        <v>1268</v>
      </c>
      <c r="E22" s="4">
        <v>168</v>
      </c>
      <c r="F22" s="4">
        <v>178</v>
      </c>
      <c r="G22" s="4">
        <v>286</v>
      </c>
      <c r="H22" s="4">
        <v>4219</v>
      </c>
      <c r="I22" s="4">
        <v>0</v>
      </c>
      <c r="J22" s="6"/>
      <c r="K22" s="3">
        <v>17</v>
      </c>
      <c r="L22" s="54">
        <v>3</v>
      </c>
      <c r="M22" s="54">
        <v>12</v>
      </c>
      <c r="N22" s="54">
        <v>2</v>
      </c>
      <c r="O22" s="4">
        <v>17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2217</v>
      </c>
      <c r="C23" s="4">
        <v>0</v>
      </c>
      <c r="D23" s="4">
        <v>1369</v>
      </c>
      <c r="E23" s="4">
        <v>224</v>
      </c>
      <c r="F23" s="4">
        <v>203</v>
      </c>
      <c r="G23" s="4">
        <v>317</v>
      </c>
      <c r="H23" s="4">
        <v>4330</v>
      </c>
      <c r="I23" s="4">
        <v>0</v>
      </c>
      <c r="J23" s="6"/>
      <c r="K23" s="3">
        <v>18</v>
      </c>
      <c r="L23" s="54">
        <v>0</v>
      </c>
      <c r="M23" s="54">
        <v>21</v>
      </c>
      <c r="N23" s="54">
        <v>6</v>
      </c>
      <c r="O23" s="4">
        <v>27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2495</v>
      </c>
      <c r="C24" s="4">
        <v>2</v>
      </c>
      <c r="D24" s="4">
        <v>1338</v>
      </c>
      <c r="E24" s="4">
        <v>176</v>
      </c>
      <c r="F24" s="4">
        <v>184</v>
      </c>
      <c r="G24" s="4">
        <v>308</v>
      </c>
      <c r="H24" s="4">
        <v>4503</v>
      </c>
      <c r="I24" s="4">
        <v>0</v>
      </c>
      <c r="J24" s="6"/>
      <c r="K24" s="3">
        <v>19</v>
      </c>
      <c r="L24" s="54">
        <v>1</v>
      </c>
      <c r="M24" s="54">
        <v>10</v>
      </c>
      <c r="N24" s="54">
        <v>8</v>
      </c>
      <c r="O24" s="4">
        <v>19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3551</v>
      </c>
      <c r="C25" s="4">
        <v>2</v>
      </c>
      <c r="D25" s="4">
        <v>1275</v>
      </c>
      <c r="E25" s="4">
        <v>160</v>
      </c>
      <c r="F25" s="4">
        <v>173</v>
      </c>
      <c r="G25" s="4">
        <v>260</v>
      </c>
      <c r="H25" s="4">
        <v>5421</v>
      </c>
      <c r="I25" s="4">
        <v>0</v>
      </c>
      <c r="J25" s="6"/>
      <c r="K25" s="3">
        <v>20</v>
      </c>
      <c r="L25" s="54">
        <v>0</v>
      </c>
      <c r="M25" s="54">
        <v>16</v>
      </c>
      <c r="N25" s="54">
        <v>1</v>
      </c>
      <c r="O25" s="4">
        <v>17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3607</v>
      </c>
      <c r="C26" s="4">
        <v>0</v>
      </c>
      <c r="D26" s="4">
        <v>1064</v>
      </c>
      <c r="E26" s="4">
        <v>182</v>
      </c>
      <c r="F26" s="4">
        <v>184</v>
      </c>
      <c r="G26" s="4">
        <v>245</v>
      </c>
      <c r="H26" s="4">
        <v>5282</v>
      </c>
      <c r="I26" s="4">
        <v>0</v>
      </c>
      <c r="J26" s="6"/>
      <c r="K26" s="3">
        <v>21</v>
      </c>
      <c r="L26" s="54">
        <v>0</v>
      </c>
      <c r="M26" s="54">
        <v>15</v>
      </c>
      <c r="N26" s="54">
        <v>4</v>
      </c>
      <c r="O26" s="4">
        <v>19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4507</v>
      </c>
      <c r="C27" s="4">
        <v>0</v>
      </c>
      <c r="D27" s="4">
        <v>836</v>
      </c>
      <c r="E27" s="4">
        <v>136</v>
      </c>
      <c r="F27" s="4">
        <v>91</v>
      </c>
      <c r="G27" s="4">
        <v>192</v>
      </c>
      <c r="H27" s="4">
        <v>5762</v>
      </c>
      <c r="I27" s="4">
        <v>0</v>
      </c>
      <c r="J27" s="6"/>
      <c r="K27" s="3">
        <v>22</v>
      </c>
      <c r="L27" s="54">
        <v>0</v>
      </c>
      <c r="M27" s="54">
        <v>5</v>
      </c>
      <c r="N27" s="54">
        <v>0</v>
      </c>
      <c r="O27" s="4">
        <v>5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2451</v>
      </c>
      <c r="C28" s="4">
        <v>2</v>
      </c>
      <c r="D28" s="4">
        <v>1051</v>
      </c>
      <c r="E28" s="4">
        <v>235</v>
      </c>
      <c r="F28" s="4">
        <v>169</v>
      </c>
      <c r="G28" s="4">
        <v>225</v>
      </c>
      <c r="H28" s="4">
        <v>4133</v>
      </c>
      <c r="I28" s="4">
        <v>0</v>
      </c>
      <c r="J28" s="6"/>
      <c r="K28" s="3">
        <v>23</v>
      </c>
      <c r="L28" s="54">
        <v>3</v>
      </c>
      <c r="M28" s="54">
        <v>15</v>
      </c>
      <c r="N28" s="54">
        <v>1</v>
      </c>
      <c r="O28" s="4">
        <v>19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2280</v>
      </c>
      <c r="C29" s="4">
        <v>0</v>
      </c>
      <c r="D29" s="4">
        <v>1252</v>
      </c>
      <c r="E29" s="4">
        <v>163</v>
      </c>
      <c r="F29" s="4">
        <v>176</v>
      </c>
      <c r="G29" s="4">
        <v>257</v>
      </c>
      <c r="H29" s="4">
        <v>4128</v>
      </c>
      <c r="I29" s="4">
        <v>0</v>
      </c>
      <c r="J29" s="6"/>
      <c r="K29" s="3">
        <v>24</v>
      </c>
      <c r="L29" s="54">
        <v>1</v>
      </c>
      <c r="M29" s="54">
        <v>20</v>
      </c>
      <c r="N29" s="54">
        <v>4</v>
      </c>
      <c r="O29" s="4">
        <v>25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2398</v>
      </c>
      <c r="C30" s="4">
        <v>2</v>
      </c>
      <c r="D30" s="4">
        <v>1295</v>
      </c>
      <c r="E30" s="4">
        <v>209</v>
      </c>
      <c r="F30" s="4">
        <v>202</v>
      </c>
      <c r="G30" s="4">
        <v>321</v>
      </c>
      <c r="H30" s="4">
        <v>4427</v>
      </c>
      <c r="I30" s="4">
        <v>0</v>
      </c>
      <c r="J30" s="6"/>
      <c r="K30" s="3">
        <v>25</v>
      </c>
      <c r="L30" s="54">
        <v>1</v>
      </c>
      <c r="M30" s="54">
        <v>15</v>
      </c>
      <c r="N30" s="54">
        <v>3</v>
      </c>
      <c r="O30" s="4">
        <v>19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2949</v>
      </c>
      <c r="C31" s="4">
        <v>2</v>
      </c>
      <c r="D31" s="4">
        <v>1271</v>
      </c>
      <c r="E31" s="4">
        <v>207</v>
      </c>
      <c r="F31" s="4">
        <v>193</v>
      </c>
      <c r="G31" s="4">
        <v>341</v>
      </c>
      <c r="H31" s="4">
        <v>4963</v>
      </c>
      <c r="I31" s="4">
        <v>0</v>
      </c>
      <c r="J31" s="6"/>
      <c r="K31" s="3">
        <v>26</v>
      </c>
      <c r="L31" s="54">
        <v>2</v>
      </c>
      <c r="M31" s="54">
        <v>14</v>
      </c>
      <c r="N31" s="54">
        <v>6</v>
      </c>
      <c r="O31" s="4">
        <v>22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6007</v>
      </c>
      <c r="C32" s="4">
        <v>2</v>
      </c>
      <c r="D32" s="4">
        <v>1341</v>
      </c>
      <c r="E32" s="4">
        <v>181</v>
      </c>
      <c r="F32" s="4">
        <v>180</v>
      </c>
      <c r="G32" s="4">
        <v>296</v>
      </c>
      <c r="H32" s="4">
        <v>8007</v>
      </c>
      <c r="I32" s="4">
        <v>0</v>
      </c>
      <c r="J32" s="6"/>
      <c r="K32" s="3">
        <v>27</v>
      </c>
      <c r="L32" s="54">
        <v>1</v>
      </c>
      <c r="M32" s="54">
        <v>12</v>
      </c>
      <c r="N32" s="54">
        <v>6</v>
      </c>
      <c r="O32" s="4">
        <v>19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6329</v>
      </c>
      <c r="C33" s="4">
        <v>2</v>
      </c>
      <c r="D33" s="4">
        <v>984</v>
      </c>
      <c r="E33" s="4">
        <v>95</v>
      </c>
      <c r="F33" s="4">
        <v>129</v>
      </c>
      <c r="G33" s="4">
        <v>177</v>
      </c>
      <c r="H33" s="4">
        <v>7716</v>
      </c>
      <c r="I33" s="4">
        <v>0</v>
      </c>
      <c r="J33" s="6"/>
      <c r="K33" s="3">
        <v>28</v>
      </c>
      <c r="L33" s="54">
        <v>0</v>
      </c>
      <c r="M33" s="54">
        <v>5</v>
      </c>
      <c r="N33" s="54">
        <v>2</v>
      </c>
      <c r="O33" s="4">
        <v>7</v>
      </c>
      <c r="P33" s="19">
        <v>6135</v>
      </c>
    </row>
    <row r="34" spans="1:16" ht="15.6" thickTop="1" thickBot="1" x14ac:dyDescent="0.35">
      <c r="A34" s="3">
        <v>29</v>
      </c>
      <c r="B34" s="4">
        <v>5549</v>
      </c>
      <c r="C34" s="4">
        <v>0</v>
      </c>
      <c r="D34" s="4">
        <v>887</v>
      </c>
      <c r="E34" s="4">
        <v>89</v>
      </c>
      <c r="F34" s="4">
        <v>95</v>
      </c>
      <c r="G34" s="4">
        <v>212</v>
      </c>
      <c r="H34" s="4">
        <v>6832</v>
      </c>
      <c r="I34" s="4">
        <v>0</v>
      </c>
      <c r="J34" s="6"/>
      <c r="K34" s="3">
        <v>29</v>
      </c>
      <c r="L34" s="4">
        <v>1</v>
      </c>
      <c r="M34" s="4">
        <v>4</v>
      </c>
      <c r="N34" s="4">
        <v>1</v>
      </c>
      <c r="O34" s="4">
        <v>6</v>
      </c>
      <c r="P34" s="19">
        <v>6135</v>
      </c>
    </row>
    <row r="35" spans="1:16" ht="15.6" thickTop="1" thickBot="1" x14ac:dyDescent="0.35">
      <c r="A35" s="3">
        <v>30</v>
      </c>
      <c r="B35" s="4">
        <v>9608</v>
      </c>
      <c r="C35" s="4">
        <v>0</v>
      </c>
      <c r="D35" s="4">
        <v>736</v>
      </c>
      <c r="E35" s="4">
        <v>64</v>
      </c>
      <c r="F35" s="4">
        <v>39</v>
      </c>
      <c r="G35" s="4">
        <v>93</v>
      </c>
      <c r="H35" s="4">
        <v>10540</v>
      </c>
      <c r="I35" s="4">
        <v>0</v>
      </c>
      <c r="J35" s="6"/>
      <c r="K35" s="3">
        <v>30</v>
      </c>
      <c r="L35" s="4">
        <v>1</v>
      </c>
      <c r="M35" s="4">
        <v>3</v>
      </c>
      <c r="N35" s="4">
        <v>0</v>
      </c>
      <c r="O35" s="4">
        <v>4</v>
      </c>
      <c r="P35" s="19">
        <v>6135</v>
      </c>
    </row>
    <row r="36" spans="1:16" ht="15.6" thickTop="1" thickBot="1" x14ac:dyDescent="0.35">
      <c r="A36" s="3">
        <v>31</v>
      </c>
      <c r="B36" s="4">
        <v>2717</v>
      </c>
      <c r="C36" s="4">
        <v>14</v>
      </c>
      <c r="D36" s="4">
        <v>1179</v>
      </c>
      <c r="E36" s="4">
        <v>148</v>
      </c>
      <c r="F36" s="4">
        <v>162</v>
      </c>
      <c r="G36" s="4">
        <v>257</v>
      </c>
      <c r="H36" s="4">
        <v>4477</v>
      </c>
      <c r="I36" s="4">
        <v>0</v>
      </c>
      <c r="J36" s="6"/>
      <c r="K36" s="3">
        <v>31</v>
      </c>
      <c r="L36" s="4">
        <v>0</v>
      </c>
      <c r="M36" s="4">
        <v>22</v>
      </c>
      <c r="N36" s="4">
        <v>3</v>
      </c>
      <c r="O36" s="4">
        <v>25</v>
      </c>
      <c r="P36" s="19">
        <v>6135</v>
      </c>
    </row>
    <row r="37" spans="1:16" ht="15" thickTop="1" x14ac:dyDescent="0.3">
      <c r="A37" s="11" t="s">
        <v>19</v>
      </c>
      <c r="B37" s="12">
        <v>122579</v>
      </c>
      <c r="C37" s="12">
        <v>44</v>
      </c>
      <c r="D37" s="12">
        <v>34932</v>
      </c>
      <c r="E37" s="12">
        <v>4899</v>
      </c>
      <c r="F37" s="12">
        <v>4897</v>
      </c>
      <c r="G37" s="12">
        <v>7809</v>
      </c>
      <c r="H37" s="12">
        <v>175160</v>
      </c>
      <c r="I37" s="12">
        <v>1</v>
      </c>
      <c r="J37" s="12"/>
      <c r="K37" s="12" t="s">
        <v>25</v>
      </c>
      <c r="L37" s="12">
        <v>24</v>
      </c>
      <c r="M37" s="12">
        <v>414</v>
      </c>
      <c r="N37" s="12">
        <v>91</v>
      </c>
      <c r="O37" s="27">
        <f>SUM(O6:O36)</f>
        <v>529</v>
      </c>
      <c r="P37" s="1"/>
    </row>
    <row r="38" spans="1:16" x14ac:dyDescent="0.3">
      <c r="A38" s="11" t="s">
        <v>19</v>
      </c>
      <c r="B38" s="60">
        <v>122623</v>
      </c>
      <c r="C38" s="60"/>
      <c r="D38" s="12">
        <v>34932</v>
      </c>
      <c r="E38" s="12">
        <v>4899</v>
      </c>
      <c r="F38" s="12">
        <v>4897</v>
      </c>
      <c r="G38" s="12">
        <v>7809</v>
      </c>
      <c r="H38" s="27">
        <v>175160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36FB-F8EA-4C94-B7CC-4A4100A41614}">
  <dimension ref="A1:Z46"/>
  <sheetViews>
    <sheetView workbookViewId="0">
      <selection activeCell="H15" sqref="H15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2375</v>
      </c>
      <c r="C6" s="4">
        <v>2</v>
      </c>
      <c r="D6" s="4">
        <v>1377</v>
      </c>
      <c r="E6" s="4">
        <v>197</v>
      </c>
      <c r="F6" s="4">
        <v>179</v>
      </c>
      <c r="G6" s="4">
        <v>226</v>
      </c>
      <c r="H6" s="4">
        <v>4356</v>
      </c>
      <c r="I6" s="4">
        <v>0</v>
      </c>
      <c r="J6" s="5"/>
      <c r="K6" s="3">
        <v>1</v>
      </c>
      <c r="L6" s="54">
        <v>0</v>
      </c>
      <c r="M6" s="54">
        <v>44</v>
      </c>
      <c r="N6" s="54">
        <v>4</v>
      </c>
      <c r="O6" s="4">
        <v>48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2856</v>
      </c>
      <c r="C7" s="4">
        <v>2</v>
      </c>
      <c r="D7" s="4">
        <v>1394</v>
      </c>
      <c r="E7" s="4">
        <v>176</v>
      </c>
      <c r="F7" s="4">
        <v>201</v>
      </c>
      <c r="G7" s="4">
        <v>270</v>
      </c>
      <c r="H7" s="4">
        <v>4899</v>
      </c>
      <c r="I7" s="4">
        <v>0</v>
      </c>
      <c r="J7" s="5"/>
      <c r="K7" s="3">
        <v>2</v>
      </c>
      <c r="L7" s="54">
        <v>1</v>
      </c>
      <c r="M7" s="54">
        <v>29</v>
      </c>
      <c r="N7" s="54">
        <v>3</v>
      </c>
      <c r="O7" s="4">
        <v>33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5262</v>
      </c>
      <c r="C8" s="4">
        <v>0</v>
      </c>
      <c r="D8" s="4">
        <v>1282</v>
      </c>
      <c r="E8" s="4">
        <v>153</v>
      </c>
      <c r="F8" s="4">
        <v>195</v>
      </c>
      <c r="G8" s="4">
        <v>257</v>
      </c>
      <c r="H8" s="4">
        <v>7149</v>
      </c>
      <c r="I8" s="4">
        <v>0</v>
      </c>
      <c r="J8" s="5"/>
      <c r="K8" s="3">
        <v>3</v>
      </c>
      <c r="L8" s="54">
        <v>0</v>
      </c>
      <c r="M8" s="54">
        <v>9</v>
      </c>
      <c r="N8" s="54">
        <v>1</v>
      </c>
      <c r="O8" s="4">
        <v>10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7143</v>
      </c>
      <c r="C9" s="4">
        <v>2</v>
      </c>
      <c r="D9" s="4">
        <v>1035</v>
      </c>
      <c r="E9" s="4">
        <v>86</v>
      </c>
      <c r="F9" s="4">
        <v>126</v>
      </c>
      <c r="G9" s="4">
        <v>199</v>
      </c>
      <c r="H9" s="4">
        <v>8591</v>
      </c>
      <c r="I9" s="4">
        <v>0</v>
      </c>
      <c r="J9" s="5"/>
      <c r="K9" s="3">
        <v>4</v>
      </c>
      <c r="L9" s="54">
        <v>0</v>
      </c>
      <c r="M9" s="54">
        <v>1</v>
      </c>
      <c r="N9" s="54">
        <v>2</v>
      </c>
      <c r="O9" s="4">
        <v>3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6547</v>
      </c>
      <c r="C10" s="4">
        <v>2</v>
      </c>
      <c r="D10" s="4">
        <v>1000</v>
      </c>
      <c r="E10" s="4">
        <v>112</v>
      </c>
      <c r="F10" s="4">
        <v>83</v>
      </c>
      <c r="G10" s="4">
        <v>236</v>
      </c>
      <c r="H10" s="4">
        <v>7980</v>
      </c>
      <c r="I10" s="4">
        <v>0</v>
      </c>
      <c r="J10" s="5"/>
      <c r="K10" s="3">
        <v>5</v>
      </c>
      <c r="L10" s="54">
        <v>0</v>
      </c>
      <c r="M10" s="54">
        <v>2</v>
      </c>
      <c r="N10" s="54">
        <v>0</v>
      </c>
      <c r="O10" s="4">
        <v>2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9896</v>
      </c>
      <c r="C11" s="4">
        <v>2</v>
      </c>
      <c r="D11" s="4">
        <v>729</v>
      </c>
      <c r="E11" s="4">
        <v>77</v>
      </c>
      <c r="F11" s="4">
        <v>38</v>
      </c>
      <c r="G11" s="4">
        <v>103</v>
      </c>
      <c r="H11" s="4">
        <v>10845</v>
      </c>
      <c r="I11" s="4">
        <v>0</v>
      </c>
      <c r="J11" s="5"/>
      <c r="K11" s="3">
        <v>6</v>
      </c>
      <c r="L11" s="54">
        <v>1</v>
      </c>
      <c r="M11" s="54">
        <v>2</v>
      </c>
      <c r="N11" s="54">
        <v>0</v>
      </c>
      <c r="O11" s="4">
        <v>3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2637</v>
      </c>
      <c r="C12" s="4">
        <v>0</v>
      </c>
      <c r="D12" s="4">
        <v>1234</v>
      </c>
      <c r="E12" s="4">
        <v>144</v>
      </c>
      <c r="F12" s="4">
        <v>145</v>
      </c>
      <c r="G12" s="4">
        <v>245</v>
      </c>
      <c r="H12" s="4">
        <v>4405</v>
      </c>
      <c r="I12" s="4">
        <v>0</v>
      </c>
      <c r="J12" s="6"/>
      <c r="K12" s="3">
        <v>7</v>
      </c>
      <c r="L12" s="54">
        <v>0</v>
      </c>
      <c r="M12" s="54">
        <v>10</v>
      </c>
      <c r="N12" s="54">
        <v>1</v>
      </c>
      <c r="O12" s="4">
        <v>11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2370</v>
      </c>
      <c r="C13" s="4">
        <v>0</v>
      </c>
      <c r="D13" s="4">
        <v>1400</v>
      </c>
      <c r="E13" s="4">
        <v>206</v>
      </c>
      <c r="F13" s="4">
        <v>189</v>
      </c>
      <c r="G13" s="4">
        <v>323</v>
      </c>
      <c r="H13" s="4">
        <v>4488</v>
      </c>
      <c r="I13" s="4">
        <v>0</v>
      </c>
      <c r="J13" s="6"/>
      <c r="K13" s="3">
        <v>8</v>
      </c>
      <c r="L13" s="54">
        <v>0</v>
      </c>
      <c r="M13" s="54">
        <v>11</v>
      </c>
      <c r="N13" s="54">
        <v>0</v>
      </c>
      <c r="O13" s="4">
        <v>11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2556</v>
      </c>
      <c r="C14" s="4">
        <v>0</v>
      </c>
      <c r="D14" s="4">
        <v>1387</v>
      </c>
      <c r="E14" s="4">
        <v>183</v>
      </c>
      <c r="F14" s="4">
        <v>201</v>
      </c>
      <c r="G14" s="4">
        <v>345</v>
      </c>
      <c r="H14" s="4">
        <v>4672</v>
      </c>
      <c r="I14" s="4">
        <v>0</v>
      </c>
      <c r="J14" s="6"/>
      <c r="K14" s="3">
        <v>9</v>
      </c>
      <c r="L14" s="54">
        <v>0</v>
      </c>
      <c r="M14" s="54">
        <v>8</v>
      </c>
      <c r="N14" s="54">
        <v>6</v>
      </c>
      <c r="O14" s="4">
        <v>14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3723</v>
      </c>
      <c r="C15" s="4">
        <v>2</v>
      </c>
      <c r="D15" s="4">
        <v>1250</v>
      </c>
      <c r="E15" s="4">
        <v>149</v>
      </c>
      <c r="F15" s="4">
        <v>179</v>
      </c>
      <c r="G15" s="4">
        <v>346</v>
      </c>
      <c r="H15" s="4">
        <v>5649</v>
      </c>
      <c r="I15" s="4">
        <v>0</v>
      </c>
      <c r="J15" s="6"/>
      <c r="K15" s="3">
        <v>10</v>
      </c>
      <c r="L15" s="54">
        <v>0</v>
      </c>
      <c r="M15" s="54">
        <v>17</v>
      </c>
      <c r="N15" s="54">
        <v>5</v>
      </c>
      <c r="O15" s="4">
        <v>22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4251</v>
      </c>
      <c r="C16" s="4">
        <v>2</v>
      </c>
      <c r="D16" s="4">
        <v>990</v>
      </c>
      <c r="E16" s="4">
        <v>143</v>
      </c>
      <c r="F16" s="4">
        <v>161</v>
      </c>
      <c r="G16" s="4">
        <v>246</v>
      </c>
      <c r="H16" s="4">
        <v>5793</v>
      </c>
      <c r="I16" s="4">
        <v>0</v>
      </c>
      <c r="J16" s="6"/>
      <c r="K16" s="3">
        <v>11</v>
      </c>
      <c r="L16" s="54">
        <v>1</v>
      </c>
      <c r="M16" s="54">
        <v>9</v>
      </c>
      <c r="N16" s="54">
        <v>0</v>
      </c>
      <c r="O16" s="4">
        <v>10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5016</v>
      </c>
      <c r="C17" s="4">
        <v>0</v>
      </c>
      <c r="D17" s="4">
        <v>895</v>
      </c>
      <c r="E17" s="4">
        <v>100</v>
      </c>
      <c r="F17" s="4">
        <v>112</v>
      </c>
      <c r="G17" s="4">
        <v>213</v>
      </c>
      <c r="H17" s="4">
        <v>6336</v>
      </c>
      <c r="I17" s="4">
        <v>0</v>
      </c>
      <c r="J17" s="6"/>
      <c r="K17" s="3">
        <v>12</v>
      </c>
      <c r="L17" s="54">
        <v>0</v>
      </c>
      <c r="M17" s="54">
        <v>1</v>
      </c>
      <c r="N17" s="54">
        <v>0</v>
      </c>
      <c r="O17" s="4">
        <v>1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2756</v>
      </c>
      <c r="C18" s="4">
        <v>0</v>
      </c>
      <c r="D18" s="4">
        <v>1093</v>
      </c>
      <c r="E18" s="4">
        <v>188</v>
      </c>
      <c r="F18" s="4">
        <v>164</v>
      </c>
      <c r="G18" s="4">
        <v>268</v>
      </c>
      <c r="H18" s="4">
        <v>4469</v>
      </c>
      <c r="I18" s="4">
        <v>0</v>
      </c>
      <c r="J18" s="6"/>
      <c r="K18" s="3">
        <v>13</v>
      </c>
      <c r="L18" s="54">
        <v>0</v>
      </c>
      <c r="M18" s="54">
        <v>12</v>
      </c>
      <c r="N18" s="54">
        <v>9</v>
      </c>
      <c r="O18" s="4">
        <v>21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2614</v>
      </c>
      <c r="C19" s="4">
        <v>0</v>
      </c>
      <c r="D19" s="4">
        <v>1290</v>
      </c>
      <c r="E19" s="4">
        <v>175</v>
      </c>
      <c r="F19" s="4">
        <v>166</v>
      </c>
      <c r="G19" s="4">
        <v>316</v>
      </c>
      <c r="H19" s="4">
        <v>4561</v>
      </c>
      <c r="I19" s="4">
        <v>0</v>
      </c>
      <c r="J19" s="6"/>
      <c r="K19" s="3">
        <v>14</v>
      </c>
      <c r="L19" s="54">
        <v>1</v>
      </c>
      <c r="M19" s="54">
        <v>9</v>
      </c>
      <c r="N19" s="54">
        <v>0</v>
      </c>
      <c r="O19" s="4">
        <v>10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2763</v>
      </c>
      <c r="C20" s="4">
        <v>0</v>
      </c>
      <c r="D20" s="4">
        <v>1393</v>
      </c>
      <c r="E20" s="4">
        <v>183</v>
      </c>
      <c r="F20" s="4">
        <v>195</v>
      </c>
      <c r="G20" s="4">
        <v>358</v>
      </c>
      <c r="H20" s="4">
        <v>4892</v>
      </c>
      <c r="I20" s="4">
        <v>0</v>
      </c>
      <c r="J20" s="6"/>
      <c r="K20" s="3">
        <v>15</v>
      </c>
      <c r="L20" s="54">
        <v>0</v>
      </c>
      <c r="M20" s="54">
        <v>12</v>
      </c>
      <c r="N20" s="54">
        <v>10</v>
      </c>
      <c r="O20" s="4">
        <v>22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3150</v>
      </c>
      <c r="C21" s="4">
        <v>2</v>
      </c>
      <c r="D21" s="4">
        <v>1291</v>
      </c>
      <c r="E21" s="4">
        <v>187</v>
      </c>
      <c r="F21" s="4">
        <v>214</v>
      </c>
      <c r="G21" s="4">
        <v>357</v>
      </c>
      <c r="H21" s="4">
        <v>5201</v>
      </c>
      <c r="I21" s="4">
        <v>0</v>
      </c>
      <c r="J21" s="6"/>
      <c r="K21" s="3">
        <v>16</v>
      </c>
      <c r="L21" s="54">
        <v>0</v>
      </c>
      <c r="M21" s="54">
        <v>6</v>
      </c>
      <c r="N21" s="54">
        <v>4</v>
      </c>
      <c r="O21" s="4">
        <v>10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4499</v>
      </c>
      <c r="C22" s="4">
        <v>2</v>
      </c>
      <c r="D22" s="4">
        <v>1270</v>
      </c>
      <c r="E22" s="4">
        <v>139</v>
      </c>
      <c r="F22" s="4">
        <v>185</v>
      </c>
      <c r="G22" s="4">
        <v>301</v>
      </c>
      <c r="H22" s="4">
        <v>6396</v>
      </c>
      <c r="I22" s="4">
        <v>0</v>
      </c>
      <c r="J22" s="6"/>
      <c r="K22" s="3">
        <v>17</v>
      </c>
      <c r="L22" s="54">
        <v>1</v>
      </c>
      <c r="M22" s="54">
        <v>5</v>
      </c>
      <c r="N22" s="54">
        <v>6</v>
      </c>
      <c r="O22" s="4">
        <v>12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5010</v>
      </c>
      <c r="C23" s="4">
        <v>2</v>
      </c>
      <c r="D23" s="4">
        <v>1038</v>
      </c>
      <c r="E23" s="4">
        <v>118</v>
      </c>
      <c r="F23" s="4">
        <v>163</v>
      </c>
      <c r="G23" s="4">
        <v>257</v>
      </c>
      <c r="H23" s="4">
        <v>6588</v>
      </c>
      <c r="I23" s="4">
        <v>0</v>
      </c>
      <c r="J23" s="6"/>
      <c r="K23" s="3">
        <v>18</v>
      </c>
      <c r="L23" s="54">
        <v>1</v>
      </c>
      <c r="M23" s="54">
        <v>14</v>
      </c>
      <c r="N23" s="54">
        <v>1</v>
      </c>
      <c r="O23" s="4">
        <v>16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6331</v>
      </c>
      <c r="C24" s="4">
        <v>0</v>
      </c>
      <c r="D24" s="4">
        <v>863</v>
      </c>
      <c r="E24" s="4">
        <v>101</v>
      </c>
      <c r="F24" s="4">
        <v>91</v>
      </c>
      <c r="G24" s="4">
        <v>201</v>
      </c>
      <c r="H24" s="4">
        <v>7587</v>
      </c>
      <c r="I24" s="4">
        <v>0</v>
      </c>
      <c r="J24" s="6"/>
      <c r="K24" s="3">
        <v>19</v>
      </c>
      <c r="L24" s="54">
        <v>1</v>
      </c>
      <c r="M24" s="54">
        <v>0</v>
      </c>
      <c r="N24" s="54">
        <v>2</v>
      </c>
      <c r="O24" s="4">
        <v>3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3663</v>
      </c>
      <c r="C25" s="4">
        <v>0</v>
      </c>
      <c r="D25" s="4">
        <v>1105</v>
      </c>
      <c r="E25" s="4">
        <v>165</v>
      </c>
      <c r="F25" s="4">
        <v>175</v>
      </c>
      <c r="G25" s="4">
        <v>311</v>
      </c>
      <c r="H25" s="4">
        <v>5419</v>
      </c>
      <c r="I25" s="4">
        <v>0</v>
      </c>
      <c r="J25" s="6"/>
      <c r="K25" s="3">
        <v>20</v>
      </c>
      <c r="L25" s="54">
        <v>1</v>
      </c>
      <c r="M25" s="54">
        <v>12</v>
      </c>
      <c r="N25" s="54">
        <v>0</v>
      </c>
      <c r="O25" s="4">
        <v>13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3340</v>
      </c>
      <c r="C26" s="4">
        <v>0</v>
      </c>
      <c r="D26" s="4">
        <v>1313</v>
      </c>
      <c r="E26" s="4">
        <v>163</v>
      </c>
      <c r="F26" s="4">
        <v>191</v>
      </c>
      <c r="G26" s="4">
        <v>293</v>
      </c>
      <c r="H26" s="4">
        <v>5300</v>
      </c>
      <c r="I26" s="4">
        <v>0</v>
      </c>
      <c r="J26" s="6"/>
      <c r="K26" s="3">
        <v>21</v>
      </c>
      <c r="L26" s="54">
        <v>2</v>
      </c>
      <c r="M26" s="54">
        <v>9</v>
      </c>
      <c r="N26" s="54">
        <v>3</v>
      </c>
      <c r="O26" s="4">
        <v>14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3029</v>
      </c>
      <c r="C27" s="4">
        <v>0</v>
      </c>
      <c r="D27" s="4">
        <v>1314</v>
      </c>
      <c r="E27" s="4">
        <v>184</v>
      </c>
      <c r="F27" s="4">
        <v>211</v>
      </c>
      <c r="G27" s="4">
        <v>359</v>
      </c>
      <c r="H27" s="4">
        <v>5097</v>
      </c>
      <c r="I27" s="4">
        <v>0</v>
      </c>
      <c r="J27" s="6"/>
      <c r="K27" s="3">
        <v>22</v>
      </c>
      <c r="L27" s="54">
        <v>1</v>
      </c>
      <c r="M27" s="54">
        <v>6</v>
      </c>
      <c r="N27" s="54">
        <v>3</v>
      </c>
      <c r="O27" s="4">
        <v>10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3728</v>
      </c>
      <c r="C28" s="4">
        <v>0</v>
      </c>
      <c r="D28" s="4">
        <v>1368</v>
      </c>
      <c r="E28" s="4">
        <v>199</v>
      </c>
      <c r="F28" s="4">
        <v>190</v>
      </c>
      <c r="G28" s="4">
        <v>305</v>
      </c>
      <c r="H28" s="4">
        <v>5790</v>
      </c>
      <c r="I28" s="4">
        <v>0</v>
      </c>
      <c r="J28" s="6"/>
      <c r="K28" s="3">
        <v>23</v>
      </c>
      <c r="L28" s="54">
        <v>0</v>
      </c>
      <c r="M28" s="54">
        <v>11</v>
      </c>
      <c r="N28" s="54">
        <v>3</v>
      </c>
      <c r="O28" s="4">
        <v>14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5132</v>
      </c>
      <c r="C29" s="4">
        <v>0</v>
      </c>
      <c r="D29" s="4">
        <v>1253</v>
      </c>
      <c r="E29" s="4">
        <v>161</v>
      </c>
      <c r="F29" s="4">
        <v>220</v>
      </c>
      <c r="G29" s="4">
        <v>294</v>
      </c>
      <c r="H29" s="4">
        <v>7060</v>
      </c>
      <c r="I29" s="4">
        <v>0</v>
      </c>
      <c r="J29" s="6"/>
      <c r="K29" s="3">
        <v>24</v>
      </c>
      <c r="L29" s="54">
        <v>1</v>
      </c>
      <c r="M29" s="54">
        <v>8</v>
      </c>
      <c r="N29" s="54">
        <v>3</v>
      </c>
      <c r="O29" s="4">
        <v>12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5480</v>
      </c>
      <c r="C30" s="4">
        <v>0</v>
      </c>
      <c r="D30" s="4">
        <v>1151</v>
      </c>
      <c r="E30" s="4">
        <v>118</v>
      </c>
      <c r="F30" s="4">
        <v>179</v>
      </c>
      <c r="G30" s="4">
        <v>259</v>
      </c>
      <c r="H30" s="4">
        <v>7187</v>
      </c>
      <c r="I30" s="4">
        <v>0</v>
      </c>
      <c r="J30" s="6"/>
      <c r="K30" s="3">
        <v>25</v>
      </c>
      <c r="L30" s="54">
        <v>2</v>
      </c>
      <c r="M30" s="54">
        <v>6</v>
      </c>
      <c r="N30" s="54">
        <v>1</v>
      </c>
      <c r="O30" s="4">
        <v>9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7541</v>
      </c>
      <c r="C31" s="4">
        <v>2</v>
      </c>
      <c r="D31" s="4">
        <v>956</v>
      </c>
      <c r="E31" s="4">
        <v>134</v>
      </c>
      <c r="F31" s="4">
        <v>125</v>
      </c>
      <c r="G31" s="4">
        <v>198</v>
      </c>
      <c r="H31" s="4">
        <v>8956</v>
      </c>
      <c r="I31" s="4">
        <v>0</v>
      </c>
      <c r="J31" s="6"/>
      <c r="K31" s="3">
        <v>26</v>
      </c>
      <c r="L31" s="54">
        <v>1</v>
      </c>
      <c r="M31" s="54">
        <v>4</v>
      </c>
      <c r="N31" s="54">
        <v>0</v>
      </c>
      <c r="O31" s="4">
        <v>5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3905</v>
      </c>
      <c r="C32" s="4">
        <v>2</v>
      </c>
      <c r="D32" s="4">
        <v>1055</v>
      </c>
      <c r="E32" s="4">
        <v>175</v>
      </c>
      <c r="F32" s="4">
        <v>205</v>
      </c>
      <c r="G32" s="4">
        <v>256</v>
      </c>
      <c r="H32" s="4">
        <v>5598</v>
      </c>
      <c r="I32" s="4">
        <v>0</v>
      </c>
      <c r="J32" s="6"/>
      <c r="K32" s="3">
        <v>27</v>
      </c>
      <c r="L32" s="54">
        <v>0</v>
      </c>
      <c r="M32" s="54">
        <v>3</v>
      </c>
      <c r="N32" s="54">
        <v>3</v>
      </c>
      <c r="O32" s="4">
        <v>6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3796</v>
      </c>
      <c r="C33" s="4">
        <v>0</v>
      </c>
      <c r="D33" s="4">
        <v>1232</v>
      </c>
      <c r="E33" s="4">
        <v>223</v>
      </c>
      <c r="F33" s="4">
        <v>218</v>
      </c>
      <c r="G33" s="4">
        <v>309</v>
      </c>
      <c r="H33" s="4">
        <v>5778</v>
      </c>
      <c r="I33" s="4">
        <v>0</v>
      </c>
      <c r="J33" s="6"/>
      <c r="K33" s="3">
        <v>28</v>
      </c>
      <c r="L33" s="54">
        <v>1</v>
      </c>
      <c r="M33" s="54">
        <v>8</v>
      </c>
      <c r="N33" s="54">
        <v>4</v>
      </c>
      <c r="O33" s="4">
        <v>13</v>
      </c>
      <c r="P33" s="19">
        <v>6135</v>
      </c>
    </row>
    <row r="34" spans="1:16" ht="15.6" thickTop="1" thickBot="1" x14ac:dyDescent="0.35">
      <c r="A34" s="3">
        <v>29</v>
      </c>
      <c r="B34" s="4">
        <v>3953</v>
      </c>
      <c r="C34" s="4">
        <v>2</v>
      </c>
      <c r="D34" s="4">
        <v>1362</v>
      </c>
      <c r="E34" s="4">
        <v>190</v>
      </c>
      <c r="F34" s="4">
        <v>258</v>
      </c>
      <c r="G34" s="4">
        <v>386</v>
      </c>
      <c r="H34" s="4">
        <v>6151</v>
      </c>
      <c r="I34" s="4">
        <v>0</v>
      </c>
      <c r="J34" s="6"/>
      <c r="K34" s="3">
        <v>29</v>
      </c>
      <c r="L34" s="4">
        <v>2</v>
      </c>
      <c r="M34" s="4">
        <v>20</v>
      </c>
      <c r="N34" s="4">
        <v>1</v>
      </c>
      <c r="O34" s="4">
        <v>23</v>
      </c>
      <c r="P34" s="19">
        <v>6135</v>
      </c>
    </row>
    <row r="35" spans="1:16" ht="15.6" thickTop="1" thickBot="1" x14ac:dyDescent="0.35">
      <c r="A35" s="3">
        <v>30</v>
      </c>
      <c r="B35" s="4">
        <v>5087</v>
      </c>
      <c r="C35" s="4">
        <v>2</v>
      </c>
      <c r="D35" s="4">
        <v>1298</v>
      </c>
      <c r="E35" s="4">
        <v>168</v>
      </c>
      <c r="F35" s="4">
        <v>246</v>
      </c>
      <c r="G35" s="4">
        <v>346</v>
      </c>
      <c r="H35" s="4">
        <v>7147</v>
      </c>
      <c r="I35" s="4">
        <v>0</v>
      </c>
      <c r="J35" s="6"/>
      <c r="K35" s="3">
        <v>30</v>
      </c>
      <c r="L35" s="4">
        <v>1</v>
      </c>
      <c r="M35" s="4">
        <v>6</v>
      </c>
      <c r="N35" s="4">
        <v>3</v>
      </c>
      <c r="O35" s="4">
        <v>10</v>
      </c>
      <c r="P35" s="19">
        <v>6135</v>
      </c>
    </row>
    <row r="36" spans="1:16" ht="15.6" hidden="1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11" t="s">
        <v>19</v>
      </c>
      <c r="B37" s="12">
        <v>130409</v>
      </c>
      <c r="C37" s="12">
        <v>28</v>
      </c>
      <c r="D37" s="12">
        <v>35618</v>
      </c>
      <c r="E37" s="12">
        <v>4697</v>
      </c>
      <c r="F37" s="12">
        <v>5205</v>
      </c>
      <c r="G37" s="12">
        <v>8383</v>
      </c>
      <c r="H37" s="12">
        <v>184340</v>
      </c>
      <c r="I37" s="12">
        <v>0</v>
      </c>
      <c r="J37" s="12"/>
      <c r="K37" s="12" t="s">
        <v>19</v>
      </c>
      <c r="L37" s="12">
        <v>19</v>
      </c>
      <c r="M37" s="12">
        <v>294</v>
      </c>
      <c r="N37" s="12">
        <v>78</v>
      </c>
      <c r="O37" s="27">
        <f>SUM(O6:O36)</f>
        <v>391</v>
      </c>
      <c r="P37" s="1"/>
    </row>
    <row r="38" spans="1:16" x14ac:dyDescent="0.3">
      <c r="A38" s="11" t="s">
        <v>19</v>
      </c>
      <c r="B38" s="60">
        <v>130437</v>
      </c>
      <c r="C38" s="60"/>
      <c r="D38" s="12">
        <v>35618</v>
      </c>
      <c r="E38" s="12">
        <v>4697</v>
      </c>
      <c r="F38" s="12">
        <v>5205</v>
      </c>
      <c r="G38" s="12">
        <v>8383</v>
      </c>
      <c r="H38" s="27">
        <v>184340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6EB3-D75F-48D8-85B6-3E222B4D5654}">
  <dimension ref="A1:Z46"/>
  <sheetViews>
    <sheetView workbookViewId="0">
      <selection activeCell="H14" sqref="H14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31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9574</v>
      </c>
      <c r="C6" s="4">
        <v>0</v>
      </c>
      <c r="D6" s="4">
        <v>1297</v>
      </c>
      <c r="E6" s="4">
        <v>177</v>
      </c>
      <c r="F6" s="4">
        <v>223</v>
      </c>
      <c r="G6" s="4">
        <v>288</v>
      </c>
      <c r="H6" s="4">
        <v>11559</v>
      </c>
      <c r="I6" s="4">
        <v>0</v>
      </c>
      <c r="J6" s="5"/>
      <c r="K6" s="3">
        <v>1</v>
      </c>
      <c r="L6" s="54">
        <v>0</v>
      </c>
      <c r="M6" s="54">
        <v>4</v>
      </c>
      <c r="N6" s="54">
        <v>5</v>
      </c>
      <c r="O6" s="4">
        <v>9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10814</v>
      </c>
      <c r="C7" s="4">
        <v>0</v>
      </c>
      <c r="D7" s="4">
        <v>1060</v>
      </c>
      <c r="E7" s="4">
        <v>97</v>
      </c>
      <c r="F7" s="4">
        <v>192</v>
      </c>
      <c r="G7" s="4">
        <v>192</v>
      </c>
      <c r="H7" s="4">
        <v>12355</v>
      </c>
      <c r="I7" s="4">
        <v>0</v>
      </c>
      <c r="J7" s="5"/>
      <c r="K7" s="3">
        <v>2</v>
      </c>
      <c r="L7" s="54">
        <v>0</v>
      </c>
      <c r="M7" s="54">
        <v>4</v>
      </c>
      <c r="N7" s="54">
        <v>1</v>
      </c>
      <c r="O7" s="4">
        <v>5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10135</v>
      </c>
      <c r="C8" s="4">
        <v>0</v>
      </c>
      <c r="D8" s="4">
        <v>1075</v>
      </c>
      <c r="E8" s="4">
        <v>91</v>
      </c>
      <c r="F8" s="4">
        <v>155</v>
      </c>
      <c r="G8" s="4">
        <v>245</v>
      </c>
      <c r="H8" s="4">
        <v>11701</v>
      </c>
      <c r="I8" s="4">
        <v>0</v>
      </c>
      <c r="J8" s="5"/>
      <c r="K8" s="3">
        <v>3</v>
      </c>
      <c r="L8" s="54">
        <v>1</v>
      </c>
      <c r="M8" s="54">
        <v>0</v>
      </c>
      <c r="N8" s="54">
        <v>0</v>
      </c>
      <c r="O8" s="4">
        <v>1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15009</v>
      </c>
      <c r="C9" s="4">
        <v>0</v>
      </c>
      <c r="D9" s="4">
        <v>874</v>
      </c>
      <c r="E9" s="4">
        <v>78</v>
      </c>
      <c r="F9" s="4">
        <v>89</v>
      </c>
      <c r="G9" s="4">
        <v>127</v>
      </c>
      <c r="H9" s="4">
        <v>16177</v>
      </c>
      <c r="I9" s="4">
        <v>0</v>
      </c>
      <c r="J9" s="5"/>
      <c r="K9" s="3">
        <v>4</v>
      </c>
      <c r="L9" s="54">
        <v>0</v>
      </c>
      <c r="M9" s="54">
        <v>2</v>
      </c>
      <c r="N9" s="54">
        <v>1</v>
      </c>
      <c r="O9" s="4">
        <v>3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4803</v>
      </c>
      <c r="C10" s="4">
        <v>2</v>
      </c>
      <c r="D10" s="4">
        <v>1048</v>
      </c>
      <c r="E10" s="4">
        <v>133</v>
      </c>
      <c r="F10" s="4">
        <v>163</v>
      </c>
      <c r="G10" s="4">
        <v>206</v>
      </c>
      <c r="H10" s="4">
        <v>6355</v>
      </c>
      <c r="I10" s="4">
        <v>0</v>
      </c>
      <c r="J10" s="5"/>
      <c r="K10" s="3">
        <v>5</v>
      </c>
      <c r="L10" s="54">
        <v>2</v>
      </c>
      <c r="M10" s="54">
        <v>9</v>
      </c>
      <c r="N10" s="54">
        <v>0</v>
      </c>
      <c r="O10" s="4">
        <v>11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3417</v>
      </c>
      <c r="C11" s="4">
        <v>0</v>
      </c>
      <c r="D11" s="4">
        <v>1194</v>
      </c>
      <c r="E11" s="4">
        <v>163</v>
      </c>
      <c r="F11" s="4">
        <v>215</v>
      </c>
      <c r="G11" s="4">
        <v>216</v>
      </c>
      <c r="H11" s="4">
        <v>5205</v>
      </c>
      <c r="I11" s="4">
        <v>0</v>
      </c>
      <c r="J11" s="5"/>
      <c r="K11" s="3">
        <v>6</v>
      </c>
      <c r="L11" s="54">
        <v>0</v>
      </c>
      <c r="M11" s="54">
        <v>10</v>
      </c>
      <c r="N11" s="54">
        <v>3</v>
      </c>
      <c r="O11" s="4">
        <v>13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3491</v>
      </c>
      <c r="C12" s="4">
        <v>0</v>
      </c>
      <c r="D12" s="4">
        <v>1180</v>
      </c>
      <c r="E12" s="4">
        <v>176</v>
      </c>
      <c r="F12" s="4">
        <v>212</v>
      </c>
      <c r="G12" s="4">
        <v>274</v>
      </c>
      <c r="H12" s="4">
        <v>5333</v>
      </c>
      <c r="I12" s="4">
        <v>0</v>
      </c>
      <c r="J12" s="6"/>
      <c r="K12" s="3">
        <v>7</v>
      </c>
      <c r="L12" s="54">
        <v>1</v>
      </c>
      <c r="M12" s="54">
        <v>4</v>
      </c>
      <c r="N12" s="54">
        <v>4</v>
      </c>
      <c r="O12" s="4">
        <v>9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4644</v>
      </c>
      <c r="C13" s="4">
        <v>0</v>
      </c>
      <c r="D13" s="4">
        <v>1143</v>
      </c>
      <c r="E13" s="4">
        <v>166</v>
      </c>
      <c r="F13" s="4">
        <v>259</v>
      </c>
      <c r="G13" s="4">
        <v>279</v>
      </c>
      <c r="H13" s="4">
        <v>6491</v>
      </c>
      <c r="I13" s="4">
        <v>0</v>
      </c>
      <c r="J13" s="6"/>
      <c r="K13" s="3">
        <v>8</v>
      </c>
      <c r="L13" s="54">
        <v>0</v>
      </c>
      <c r="M13" s="54">
        <v>10</v>
      </c>
      <c r="N13" s="54">
        <v>5</v>
      </c>
      <c r="O13" s="4">
        <v>15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5087</v>
      </c>
      <c r="C14" s="4">
        <v>0</v>
      </c>
      <c r="D14" s="4">
        <v>1056</v>
      </c>
      <c r="E14" s="4">
        <v>127</v>
      </c>
      <c r="F14" s="4">
        <v>251</v>
      </c>
      <c r="G14" s="4">
        <v>240</v>
      </c>
      <c r="H14" s="4">
        <v>6761</v>
      </c>
      <c r="I14" s="4">
        <v>0</v>
      </c>
      <c r="J14" s="6"/>
      <c r="K14" s="3">
        <v>9</v>
      </c>
      <c r="L14" s="54">
        <v>1</v>
      </c>
      <c r="M14" s="54">
        <v>4</v>
      </c>
      <c r="N14" s="54">
        <v>1</v>
      </c>
      <c r="O14" s="4">
        <v>6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6398</v>
      </c>
      <c r="C15" s="4">
        <v>2</v>
      </c>
      <c r="D15" s="4">
        <v>842</v>
      </c>
      <c r="E15" s="4">
        <v>98</v>
      </c>
      <c r="F15" s="4">
        <v>164</v>
      </c>
      <c r="G15" s="4">
        <v>152</v>
      </c>
      <c r="H15" s="4">
        <v>7656</v>
      </c>
      <c r="I15" s="4">
        <v>0</v>
      </c>
      <c r="J15" s="6"/>
      <c r="K15" s="3">
        <v>10</v>
      </c>
      <c r="L15" s="54">
        <v>1</v>
      </c>
      <c r="M15" s="54">
        <v>2</v>
      </c>
      <c r="N15" s="54">
        <v>1</v>
      </c>
      <c r="O15" s="4">
        <v>4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3039</v>
      </c>
      <c r="C16" s="4">
        <v>2</v>
      </c>
      <c r="D16" s="4">
        <v>927</v>
      </c>
      <c r="E16" s="4">
        <v>146</v>
      </c>
      <c r="F16" s="4">
        <v>197</v>
      </c>
      <c r="G16" s="4">
        <v>186</v>
      </c>
      <c r="H16" s="4">
        <v>4497</v>
      </c>
      <c r="I16" s="4">
        <v>0</v>
      </c>
      <c r="J16" s="6"/>
      <c r="K16" s="3">
        <v>11</v>
      </c>
      <c r="L16" s="54">
        <v>1</v>
      </c>
      <c r="M16" s="54">
        <v>11</v>
      </c>
      <c r="N16" s="54">
        <v>5</v>
      </c>
      <c r="O16" s="4">
        <v>17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2922</v>
      </c>
      <c r="C17" s="4">
        <v>0</v>
      </c>
      <c r="D17" s="4">
        <v>1056</v>
      </c>
      <c r="E17" s="4">
        <v>137</v>
      </c>
      <c r="F17" s="4">
        <v>238</v>
      </c>
      <c r="G17" s="4">
        <v>146</v>
      </c>
      <c r="H17" s="4">
        <v>4499</v>
      </c>
      <c r="I17" s="4">
        <v>0</v>
      </c>
      <c r="J17" s="6"/>
      <c r="K17" s="3">
        <v>12</v>
      </c>
      <c r="L17" s="54">
        <v>0</v>
      </c>
      <c r="M17" s="54">
        <v>16</v>
      </c>
      <c r="N17" s="54">
        <v>0</v>
      </c>
      <c r="O17" s="4">
        <v>16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2701</v>
      </c>
      <c r="C18" s="4">
        <v>0</v>
      </c>
      <c r="D18" s="4">
        <v>1065</v>
      </c>
      <c r="E18" s="4">
        <v>138</v>
      </c>
      <c r="F18" s="4">
        <v>279</v>
      </c>
      <c r="G18" s="4">
        <v>198</v>
      </c>
      <c r="H18" s="4">
        <v>4381</v>
      </c>
      <c r="I18" s="4">
        <v>0</v>
      </c>
      <c r="J18" s="6"/>
      <c r="K18" s="3">
        <v>13</v>
      </c>
      <c r="L18" s="54">
        <v>0</v>
      </c>
      <c r="M18" s="54">
        <v>12</v>
      </c>
      <c r="N18" s="54">
        <v>3</v>
      </c>
      <c r="O18" s="4">
        <v>15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2964</v>
      </c>
      <c r="C19" s="4">
        <v>0</v>
      </c>
      <c r="D19" s="4">
        <v>1154</v>
      </c>
      <c r="E19" s="4">
        <v>242</v>
      </c>
      <c r="F19" s="4">
        <v>333</v>
      </c>
      <c r="G19" s="4">
        <v>291</v>
      </c>
      <c r="H19" s="4">
        <v>4984</v>
      </c>
      <c r="I19" s="4">
        <v>0</v>
      </c>
      <c r="J19" s="6"/>
      <c r="K19" s="3">
        <v>14</v>
      </c>
      <c r="L19" s="54">
        <v>0</v>
      </c>
      <c r="M19" s="54">
        <v>11</v>
      </c>
      <c r="N19" s="54">
        <v>1</v>
      </c>
      <c r="O19" s="4">
        <v>12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3894</v>
      </c>
      <c r="C20" s="4">
        <v>2</v>
      </c>
      <c r="D20" s="4">
        <v>1168</v>
      </c>
      <c r="E20" s="4">
        <v>152</v>
      </c>
      <c r="F20" s="4">
        <v>315</v>
      </c>
      <c r="G20" s="4">
        <v>277</v>
      </c>
      <c r="H20" s="4">
        <v>5808</v>
      </c>
      <c r="I20" s="4">
        <v>0</v>
      </c>
      <c r="J20" s="6"/>
      <c r="K20" s="3">
        <v>15</v>
      </c>
      <c r="L20" s="54">
        <v>0</v>
      </c>
      <c r="M20" s="54">
        <v>17</v>
      </c>
      <c r="N20" s="54">
        <v>1</v>
      </c>
      <c r="O20" s="4">
        <v>18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4524</v>
      </c>
      <c r="C21" s="4">
        <v>0</v>
      </c>
      <c r="D21" s="4">
        <v>1143</v>
      </c>
      <c r="E21" s="4">
        <v>163</v>
      </c>
      <c r="F21" s="4">
        <v>335</v>
      </c>
      <c r="G21" s="4">
        <v>322</v>
      </c>
      <c r="H21" s="4">
        <v>6487</v>
      </c>
      <c r="I21" s="4">
        <v>0</v>
      </c>
      <c r="J21" s="6"/>
      <c r="K21" s="3">
        <v>16</v>
      </c>
      <c r="L21" s="54">
        <v>2</v>
      </c>
      <c r="M21" s="54">
        <v>14</v>
      </c>
      <c r="N21" s="54">
        <v>1</v>
      </c>
      <c r="O21" s="4">
        <v>17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5647</v>
      </c>
      <c r="C22" s="4">
        <v>0</v>
      </c>
      <c r="D22" s="4">
        <v>1022</v>
      </c>
      <c r="E22" s="4">
        <v>98</v>
      </c>
      <c r="F22" s="4">
        <v>174</v>
      </c>
      <c r="G22" s="4">
        <v>225</v>
      </c>
      <c r="H22" s="4">
        <v>7166</v>
      </c>
      <c r="I22" s="4">
        <v>0</v>
      </c>
      <c r="J22" s="6"/>
      <c r="K22" s="3">
        <v>17</v>
      </c>
      <c r="L22" s="54">
        <v>0</v>
      </c>
      <c r="M22" s="54">
        <v>2</v>
      </c>
      <c r="N22" s="54">
        <v>0</v>
      </c>
      <c r="O22" s="4">
        <v>2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2868</v>
      </c>
      <c r="C23" s="4">
        <v>2</v>
      </c>
      <c r="D23" s="4">
        <v>1107</v>
      </c>
      <c r="E23" s="4">
        <v>139</v>
      </c>
      <c r="F23" s="4">
        <v>284</v>
      </c>
      <c r="G23" s="4">
        <v>290</v>
      </c>
      <c r="H23" s="4">
        <v>4690</v>
      </c>
      <c r="I23" s="4">
        <v>0</v>
      </c>
      <c r="J23" s="6"/>
      <c r="K23" s="3">
        <v>18</v>
      </c>
      <c r="L23" s="54">
        <v>0</v>
      </c>
      <c r="M23" s="54">
        <v>18</v>
      </c>
      <c r="N23" s="54">
        <v>1</v>
      </c>
      <c r="O23" s="4">
        <v>19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3219</v>
      </c>
      <c r="C24" s="4">
        <v>2</v>
      </c>
      <c r="D24" s="4">
        <v>1418</v>
      </c>
      <c r="E24" s="4">
        <v>198</v>
      </c>
      <c r="F24" s="4">
        <v>351</v>
      </c>
      <c r="G24" s="4">
        <v>341</v>
      </c>
      <c r="H24" s="4">
        <v>5529</v>
      </c>
      <c r="I24" s="4">
        <v>0</v>
      </c>
      <c r="J24" s="6"/>
      <c r="K24" s="3">
        <v>19</v>
      </c>
      <c r="L24" s="54">
        <v>0</v>
      </c>
      <c r="M24" s="54">
        <v>6</v>
      </c>
      <c r="N24" s="54">
        <v>3</v>
      </c>
      <c r="O24" s="4">
        <v>9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4065</v>
      </c>
      <c r="C25" s="4">
        <v>0</v>
      </c>
      <c r="D25" s="4">
        <v>1138</v>
      </c>
      <c r="E25" s="4">
        <v>163</v>
      </c>
      <c r="F25" s="4">
        <v>294</v>
      </c>
      <c r="G25" s="4">
        <v>271</v>
      </c>
      <c r="H25" s="4">
        <v>5931</v>
      </c>
      <c r="I25" s="4">
        <v>0</v>
      </c>
      <c r="J25" s="6"/>
      <c r="K25" s="3">
        <v>20</v>
      </c>
      <c r="L25" s="54">
        <v>1</v>
      </c>
      <c r="M25" s="54">
        <v>6</v>
      </c>
      <c r="N25" s="54">
        <v>2</v>
      </c>
      <c r="O25" s="4">
        <v>9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2900</v>
      </c>
      <c r="C26" s="4">
        <v>2</v>
      </c>
      <c r="D26" s="4">
        <v>1424</v>
      </c>
      <c r="E26" s="4">
        <v>183</v>
      </c>
      <c r="F26" s="4">
        <v>339</v>
      </c>
      <c r="G26" s="4">
        <v>400</v>
      </c>
      <c r="H26" s="4">
        <v>5248</v>
      </c>
      <c r="I26" s="4">
        <v>0</v>
      </c>
      <c r="J26" s="6"/>
      <c r="K26" s="3">
        <v>21</v>
      </c>
      <c r="L26" s="54">
        <v>3</v>
      </c>
      <c r="M26" s="54">
        <v>9</v>
      </c>
      <c r="N26" s="54">
        <v>4</v>
      </c>
      <c r="O26" s="4">
        <v>16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4035</v>
      </c>
      <c r="C27" s="4">
        <v>0</v>
      </c>
      <c r="D27" s="4">
        <v>1449</v>
      </c>
      <c r="E27" s="4">
        <v>181</v>
      </c>
      <c r="F27" s="4">
        <v>275</v>
      </c>
      <c r="G27" s="4">
        <v>468</v>
      </c>
      <c r="H27" s="4">
        <v>6408</v>
      </c>
      <c r="I27" s="4">
        <v>0</v>
      </c>
      <c r="J27" s="6"/>
      <c r="K27" s="3">
        <v>22</v>
      </c>
      <c r="L27" s="54">
        <v>0</v>
      </c>
      <c r="M27" s="54">
        <v>11</v>
      </c>
      <c r="N27" s="54">
        <v>2</v>
      </c>
      <c r="O27" s="4">
        <v>13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4100</v>
      </c>
      <c r="C28" s="4">
        <v>2</v>
      </c>
      <c r="D28" s="4">
        <v>1179</v>
      </c>
      <c r="E28" s="4">
        <v>227</v>
      </c>
      <c r="F28" s="4">
        <v>214</v>
      </c>
      <c r="G28" s="4">
        <v>342</v>
      </c>
      <c r="H28" s="4">
        <v>6064</v>
      </c>
      <c r="I28" s="4">
        <v>0</v>
      </c>
      <c r="J28" s="6"/>
      <c r="K28" s="3">
        <v>23</v>
      </c>
      <c r="L28" s="54">
        <v>0</v>
      </c>
      <c r="M28" s="54">
        <v>2</v>
      </c>
      <c r="N28" s="54">
        <v>2</v>
      </c>
      <c r="O28" s="4">
        <v>4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6107</v>
      </c>
      <c r="C29" s="4">
        <v>0</v>
      </c>
      <c r="D29" s="4">
        <v>1081</v>
      </c>
      <c r="E29" s="4">
        <v>141</v>
      </c>
      <c r="F29" s="4">
        <v>128</v>
      </c>
      <c r="G29" s="4">
        <v>374</v>
      </c>
      <c r="H29" s="4">
        <v>7831</v>
      </c>
      <c r="I29" s="4">
        <v>0</v>
      </c>
      <c r="J29" s="6"/>
      <c r="K29" s="3">
        <v>24</v>
      </c>
      <c r="L29" s="54">
        <v>3</v>
      </c>
      <c r="M29" s="54">
        <v>3</v>
      </c>
      <c r="N29" s="54">
        <v>1</v>
      </c>
      <c r="O29" s="4">
        <v>7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2904</v>
      </c>
      <c r="C30" s="4">
        <v>2</v>
      </c>
      <c r="D30" s="4">
        <v>1318</v>
      </c>
      <c r="E30" s="4">
        <v>244</v>
      </c>
      <c r="F30" s="4">
        <v>205</v>
      </c>
      <c r="G30" s="4">
        <v>362</v>
      </c>
      <c r="H30" s="4">
        <v>5035</v>
      </c>
      <c r="I30" s="4">
        <v>0</v>
      </c>
      <c r="J30" s="6"/>
      <c r="K30" s="3">
        <v>25</v>
      </c>
      <c r="L30" s="54">
        <v>1</v>
      </c>
      <c r="M30" s="54">
        <v>9</v>
      </c>
      <c r="N30" s="54">
        <v>6</v>
      </c>
      <c r="O30" s="4">
        <v>16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3295</v>
      </c>
      <c r="C31" s="4">
        <v>0</v>
      </c>
      <c r="D31" s="4">
        <v>1457</v>
      </c>
      <c r="E31" s="4">
        <v>189</v>
      </c>
      <c r="F31" s="4">
        <v>223</v>
      </c>
      <c r="G31" s="4">
        <v>408</v>
      </c>
      <c r="H31" s="4">
        <v>5572</v>
      </c>
      <c r="I31" s="4">
        <v>0</v>
      </c>
      <c r="J31" s="6"/>
      <c r="K31" s="3">
        <v>26</v>
      </c>
      <c r="L31" s="54">
        <v>2</v>
      </c>
      <c r="M31" s="54">
        <v>17</v>
      </c>
      <c r="N31" s="54">
        <v>1</v>
      </c>
      <c r="O31" s="4">
        <v>20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2793</v>
      </c>
      <c r="C32" s="4">
        <v>2</v>
      </c>
      <c r="D32" s="4">
        <v>1483</v>
      </c>
      <c r="E32" s="4">
        <v>246</v>
      </c>
      <c r="F32" s="4">
        <v>219</v>
      </c>
      <c r="G32" s="4">
        <v>456</v>
      </c>
      <c r="H32" s="4">
        <v>5199</v>
      </c>
      <c r="I32" s="4">
        <v>0</v>
      </c>
      <c r="J32" s="6"/>
      <c r="K32" s="3">
        <v>27</v>
      </c>
      <c r="L32" s="54">
        <v>2</v>
      </c>
      <c r="M32" s="54">
        <v>2</v>
      </c>
      <c r="N32" s="54">
        <v>3</v>
      </c>
      <c r="O32" s="4">
        <v>7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3333</v>
      </c>
      <c r="C33" s="4">
        <v>2</v>
      </c>
      <c r="D33" s="4">
        <v>1510</v>
      </c>
      <c r="E33" s="4">
        <v>224</v>
      </c>
      <c r="F33" s="4">
        <v>224</v>
      </c>
      <c r="G33" s="4">
        <v>414</v>
      </c>
      <c r="H33" s="4">
        <v>5707</v>
      </c>
      <c r="I33" s="4">
        <v>0</v>
      </c>
      <c r="J33" s="6"/>
      <c r="K33" s="3">
        <v>28</v>
      </c>
      <c r="L33" s="54">
        <v>1</v>
      </c>
      <c r="M33" s="54">
        <v>7</v>
      </c>
      <c r="N33" s="54">
        <v>9</v>
      </c>
      <c r="O33" s="4">
        <v>17</v>
      </c>
      <c r="P33" s="19">
        <v>6135</v>
      </c>
    </row>
    <row r="34" spans="1:16" ht="15.6" thickTop="1" thickBot="1" x14ac:dyDescent="0.35">
      <c r="A34" s="3">
        <v>29</v>
      </c>
      <c r="B34" s="4">
        <v>4441</v>
      </c>
      <c r="C34" s="4">
        <v>0</v>
      </c>
      <c r="D34" s="4">
        <v>1360</v>
      </c>
      <c r="E34" s="4">
        <v>170</v>
      </c>
      <c r="F34" s="4">
        <v>220</v>
      </c>
      <c r="G34" s="4">
        <v>379</v>
      </c>
      <c r="H34" s="4">
        <v>6570</v>
      </c>
      <c r="I34" s="4">
        <v>0</v>
      </c>
      <c r="J34" s="6"/>
      <c r="K34" s="3">
        <v>29</v>
      </c>
      <c r="L34" s="4">
        <v>1</v>
      </c>
      <c r="M34" s="4">
        <v>4</v>
      </c>
      <c r="N34" s="4">
        <v>6</v>
      </c>
      <c r="O34" s="4">
        <v>11</v>
      </c>
      <c r="P34" s="19">
        <v>6135</v>
      </c>
    </row>
    <row r="35" spans="1:16" ht="15.6" thickTop="1" thickBot="1" x14ac:dyDescent="0.35">
      <c r="A35" s="3">
        <v>30</v>
      </c>
      <c r="B35" s="4">
        <v>4568</v>
      </c>
      <c r="C35" s="4">
        <v>0</v>
      </c>
      <c r="D35" s="4">
        <v>1165</v>
      </c>
      <c r="E35" s="4">
        <v>136</v>
      </c>
      <c r="F35" s="4">
        <v>181</v>
      </c>
      <c r="G35" s="4">
        <v>311</v>
      </c>
      <c r="H35" s="4">
        <v>6361</v>
      </c>
      <c r="I35" s="4">
        <v>0</v>
      </c>
      <c r="J35" s="6"/>
      <c r="K35" s="3">
        <v>30</v>
      </c>
      <c r="L35" s="4">
        <v>1</v>
      </c>
      <c r="M35" s="4">
        <v>3</v>
      </c>
      <c r="N35" s="4">
        <v>4</v>
      </c>
      <c r="O35" s="4">
        <v>8</v>
      </c>
      <c r="P35" s="19">
        <v>6135</v>
      </c>
    </row>
    <row r="36" spans="1:16" ht="15.6" thickTop="1" thickBot="1" x14ac:dyDescent="0.35">
      <c r="A36" s="3">
        <v>31</v>
      </c>
      <c r="B36" s="4">
        <v>6406</v>
      </c>
      <c r="C36" s="4">
        <v>2</v>
      </c>
      <c r="D36" s="4">
        <v>1010</v>
      </c>
      <c r="E36" s="4">
        <v>132</v>
      </c>
      <c r="F36" s="4">
        <v>108</v>
      </c>
      <c r="G36" s="4">
        <v>315</v>
      </c>
      <c r="H36" s="4">
        <v>7973</v>
      </c>
      <c r="I36" s="4">
        <v>0</v>
      </c>
      <c r="J36" s="6"/>
      <c r="K36" s="3">
        <v>31</v>
      </c>
      <c r="L36" s="4">
        <v>0</v>
      </c>
      <c r="M36" s="4">
        <v>4</v>
      </c>
      <c r="N36" s="4">
        <v>0</v>
      </c>
      <c r="O36" s="4">
        <v>4</v>
      </c>
      <c r="P36" s="19">
        <v>6135</v>
      </c>
    </row>
    <row r="37" spans="1:16" ht="15" thickTop="1" x14ac:dyDescent="0.3">
      <c r="A37" s="11" t="s">
        <v>19</v>
      </c>
      <c r="B37" s="12">
        <v>154097</v>
      </c>
      <c r="C37" s="12">
        <v>24</v>
      </c>
      <c r="D37" s="12">
        <v>36403</v>
      </c>
      <c r="E37" s="12">
        <v>4955</v>
      </c>
      <c r="F37" s="12">
        <v>7059</v>
      </c>
      <c r="G37" s="12">
        <v>8995</v>
      </c>
      <c r="H37" s="12">
        <v>211533</v>
      </c>
      <c r="I37" s="12">
        <v>0</v>
      </c>
      <c r="J37" s="12"/>
      <c r="K37" s="12" t="s">
        <v>25</v>
      </c>
      <c r="L37" s="12">
        <v>24</v>
      </c>
      <c r="M37" s="12">
        <v>233</v>
      </c>
      <c r="N37" s="12">
        <v>76</v>
      </c>
      <c r="O37" s="27">
        <f>SUM(O6:O36)</f>
        <v>333</v>
      </c>
      <c r="P37" s="1"/>
    </row>
    <row r="38" spans="1:16" x14ac:dyDescent="0.3">
      <c r="A38" s="11" t="s">
        <v>19</v>
      </c>
      <c r="B38" s="60">
        <v>154121</v>
      </c>
      <c r="C38" s="60"/>
      <c r="D38" s="12">
        <v>36403</v>
      </c>
      <c r="E38" s="12">
        <v>4955</v>
      </c>
      <c r="F38" s="12">
        <v>7059</v>
      </c>
      <c r="G38" s="12">
        <v>8995</v>
      </c>
      <c r="H38" s="27">
        <v>211533</v>
      </c>
      <c r="I38" s="12">
        <v>0</v>
      </c>
      <c r="J38" s="7"/>
      <c r="K38" s="8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23ED-9A7B-4D48-86F0-88A16016893B}">
  <dimension ref="A1:Z46"/>
  <sheetViews>
    <sheetView tabSelected="1" workbookViewId="0">
      <selection activeCell="G13" sqref="G13"/>
    </sheetView>
  </sheetViews>
  <sheetFormatPr baseColWidth="10" defaultColWidth="11.44140625" defaultRowHeight="13.8" x14ac:dyDescent="0.3"/>
  <cols>
    <col min="1" max="9" width="12.6640625" style="42" customWidth="1"/>
    <col min="10" max="10" width="4.6640625" style="42" customWidth="1"/>
    <col min="11" max="11" width="12.5546875" style="31" customWidth="1"/>
    <col min="12" max="15" width="12.5546875" style="42" customWidth="1"/>
    <col min="16" max="16" width="0" style="42" hidden="1" customWidth="1"/>
    <col min="17" max="16384" width="11.44140625" style="42"/>
  </cols>
  <sheetData>
    <row r="1" spans="1:19" s="33" customFormat="1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33" customFormat="1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s="33" customFormat="1" ht="15.6" x14ac:dyDescent="0.3">
      <c r="A3" s="64" t="s">
        <v>32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9" ht="78" customHeight="1" x14ac:dyDescent="0.3">
      <c r="A4" s="65" t="s">
        <v>1</v>
      </c>
      <c r="B4" s="62" t="s">
        <v>2</v>
      </c>
      <c r="C4" s="62"/>
      <c r="D4" s="28" t="s">
        <v>3</v>
      </c>
      <c r="E4" s="28" t="s">
        <v>4</v>
      </c>
      <c r="F4" s="28" t="s">
        <v>5</v>
      </c>
      <c r="G4" s="28" t="s">
        <v>6</v>
      </c>
      <c r="H4" s="62" t="s">
        <v>7</v>
      </c>
      <c r="I4" s="62" t="s">
        <v>8</v>
      </c>
      <c r="J4" s="34"/>
      <c r="K4" s="67" t="s">
        <v>1</v>
      </c>
      <c r="L4" s="62" t="s">
        <v>9</v>
      </c>
      <c r="M4" s="62" t="s">
        <v>10</v>
      </c>
      <c r="N4" s="62" t="s">
        <v>11</v>
      </c>
      <c r="O4" s="62" t="s">
        <v>12</v>
      </c>
    </row>
    <row r="5" spans="1:19" ht="18" customHeight="1" x14ac:dyDescent="0.3">
      <c r="A5" s="66"/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62"/>
      <c r="I5" s="62"/>
      <c r="J5" s="34"/>
      <c r="K5" s="67"/>
      <c r="L5" s="62"/>
      <c r="M5" s="62"/>
      <c r="N5" s="62"/>
      <c r="O5" s="62"/>
    </row>
    <row r="6" spans="1:19" ht="18" customHeight="1" thickBot="1" x14ac:dyDescent="0.35">
      <c r="A6" s="35">
        <v>1</v>
      </c>
      <c r="B6" s="43">
        <v>2872</v>
      </c>
      <c r="C6" s="43">
        <v>2</v>
      </c>
      <c r="D6" s="43">
        <v>1180</v>
      </c>
      <c r="E6" s="43">
        <v>157</v>
      </c>
      <c r="F6" s="43">
        <v>189</v>
      </c>
      <c r="G6" s="43">
        <v>289</v>
      </c>
      <c r="H6" s="43">
        <f>SUM(B6:G6)</f>
        <v>4689</v>
      </c>
      <c r="I6" s="43">
        <v>0</v>
      </c>
      <c r="J6" s="47"/>
      <c r="K6" s="35">
        <v>1</v>
      </c>
      <c r="L6" s="36">
        <v>1</v>
      </c>
      <c r="M6" s="36">
        <v>5</v>
      </c>
      <c r="N6" s="36">
        <v>1</v>
      </c>
      <c r="O6" s="43">
        <f>SUM(L6:N6)</f>
        <v>7</v>
      </c>
      <c r="P6" s="30">
        <v>6135</v>
      </c>
    </row>
    <row r="7" spans="1:19" ht="18" customHeight="1" thickTop="1" thickBot="1" x14ac:dyDescent="0.35">
      <c r="A7" s="35">
        <v>2</v>
      </c>
      <c r="B7" s="43">
        <v>2574</v>
      </c>
      <c r="C7" s="43">
        <v>0</v>
      </c>
      <c r="D7" s="43">
        <v>1335</v>
      </c>
      <c r="E7" s="43">
        <v>152</v>
      </c>
      <c r="F7" s="43">
        <v>187</v>
      </c>
      <c r="G7" s="43">
        <v>328</v>
      </c>
      <c r="H7" s="43">
        <f>SUM(B7:G7)</f>
        <v>4576</v>
      </c>
      <c r="I7" s="43">
        <v>0</v>
      </c>
      <c r="J7" s="47"/>
      <c r="K7" s="35">
        <v>2</v>
      </c>
      <c r="L7" s="36">
        <v>2</v>
      </c>
      <c r="M7" s="36">
        <v>10</v>
      </c>
      <c r="N7" s="36">
        <v>5</v>
      </c>
      <c r="O7" s="43">
        <f t="shared" ref="O7:O36" si="0">SUM(L7:N7)</f>
        <v>17</v>
      </c>
      <c r="P7" s="30">
        <f>+P6</f>
        <v>6135</v>
      </c>
    </row>
    <row r="8" spans="1:19" ht="18" customHeight="1" thickTop="1" thickBot="1" x14ac:dyDescent="0.35">
      <c r="A8" s="35">
        <v>3</v>
      </c>
      <c r="B8" s="43">
        <v>2756</v>
      </c>
      <c r="C8" s="43">
        <v>2</v>
      </c>
      <c r="D8" s="43">
        <v>1454</v>
      </c>
      <c r="E8" s="43">
        <v>173</v>
      </c>
      <c r="F8" s="43">
        <v>230</v>
      </c>
      <c r="G8" s="43">
        <v>441</v>
      </c>
      <c r="H8" s="43">
        <f t="shared" ref="H8:H36" si="1">SUM(B8:G8)</f>
        <v>5056</v>
      </c>
      <c r="I8" s="43">
        <v>0</v>
      </c>
      <c r="J8" s="47"/>
      <c r="K8" s="35">
        <v>3</v>
      </c>
      <c r="L8" s="36">
        <v>0</v>
      </c>
      <c r="M8" s="36">
        <v>16</v>
      </c>
      <c r="N8" s="36">
        <v>1</v>
      </c>
      <c r="O8" s="43">
        <f t="shared" si="0"/>
        <v>17</v>
      </c>
      <c r="P8" s="30">
        <f t="shared" ref="P8:P36" si="2">+P7</f>
        <v>6135</v>
      </c>
      <c r="S8" s="48"/>
    </row>
    <row r="9" spans="1:19" ht="18" customHeight="1" thickTop="1" thickBot="1" x14ac:dyDescent="0.35">
      <c r="A9" s="35">
        <v>4</v>
      </c>
      <c r="B9" s="43">
        <v>3266</v>
      </c>
      <c r="C9" s="43">
        <v>2</v>
      </c>
      <c r="D9" s="43">
        <v>1444</v>
      </c>
      <c r="E9" s="43">
        <v>211</v>
      </c>
      <c r="F9" s="43">
        <v>197</v>
      </c>
      <c r="G9" s="43">
        <v>403</v>
      </c>
      <c r="H9" s="43">
        <f t="shared" si="1"/>
        <v>5523</v>
      </c>
      <c r="I9" s="43">
        <v>0</v>
      </c>
      <c r="J9" s="47"/>
      <c r="K9" s="35">
        <v>4</v>
      </c>
      <c r="L9" s="36">
        <v>0</v>
      </c>
      <c r="M9" s="36">
        <v>15</v>
      </c>
      <c r="N9" s="36">
        <v>8</v>
      </c>
      <c r="O9" s="43">
        <f t="shared" si="0"/>
        <v>23</v>
      </c>
      <c r="P9" s="30">
        <f t="shared" si="2"/>
        <v>6135</v>
      </c>
    </row>
    <row r="10" spans="1:19" ht="18" customHeight="1" thickTop="1" thickBot="1" x14ac:dyDescent="0.35">
      <c r="A10" s="35">
        <v>5</v>
      </c>
      <c r="B10" s="43">
        <v>4197</v>
      </c>
      <c r="C10" s="43">
        <v>2</v>
      </c>
      <c r="D10" s="43">
        <v>1282</v>
      </c>
      <c r="E10" s="43">
        <v>178</v>
      </c>
      <c r="F10" s="43">
        <v>197</v>
      </c>
      <c r="G10" s="43">
        <v>314</v>
      </c>
      <c r="H10" s="43">
        <f t="shared" si="1"/>
        <v>6170</v>
      </c>
      <c r="I10" s="43">
        <v>0</v>
      </c>
      <c r="J10" s="47"/>
      <c r="K10" s="35">
        <v>5</v>
      </c>
      <c r="L10" s="36">
        <v>1</v>
      </c>
      <c r="M10" s="36">
        <v>6</v>
      </c>
      <c r="N10" s="36">
        <v>2</v>
      </c>
      <c r="O10" s="43">
        <f t="shared" si="0"/>
        <v>9</v>
      </c>
      <c r="P10" s="30">
        <f t="shared" si="2"/>
        <v>6135</v>
      </c>
    </row>
    <row r="11" spans="1:19" ht="18" customHeight="1" thickTop="1" thickBot="1" x14ac:dyDescent="0.35">
      <c r="A11" s="35">
        <v>6</v>
      </c>
      <c r="B11" s="43">
        <v>4044</v>
      </c>
      <c r="C11" s="43">
        <v>0</v>
      </c>
      <c r="D11" s="43">
        <v>1052</v>
      </c>
      <c r="E11" s="43">
        <v>139</v>
      </c>
      <c r="F11" s="43">
        <v>172</v>
      </c>
      <c r="G11" s="43">
        <v>249</v>
      </c>
      <c r="H11" s="43">
        <f t="shared" si="1"/>
        <v>5656</v>
      </c>
      <c r="I11" s="43">
        <v>0</v>
      </c>
      <c r="J11" s="47"/>
      <c r="K11" s="35">
        <v>6</v>
      </c>
      <c r="L11" s="36">
        <v>1</v>
      </c>
      <c r="M11" s="36">
        <v>8</v>
      </c>
      <c r="N11" s="36">
        <v>4</v>
      </c>
      <c r="O11" s="43">
        <f t="shared" si="0"/>
        <v>13</v>
      </c>
      <c r="P11" s="30">
        <f t="shared" si="2"/>
        <v>6135</v>
      </c>
    </row>
    <row r="12" spans="1:19" ht="18" customHeight="1" thickTop="1" thickBot="1" x14ac:dyDescent="0.35">
      <c r="A12" s="35">
        <v>7</v>
      </c>
      <c r="B12" s="43">
        <v>6052</v>
      </c>
      <c r="C12" s="43">
        <v>0</v>
      </c>
      <c r="D12" s="43">
        <v>953</v>
      </c>
      <c r="E12" s="43">
        <v>98</v>
      </c>
      <c r="F12" s="43">
        <v>110</v>
      </c>
      <c r="G12" s="43">
        <v>268</v>
      </c>
      <c r="H12" s="43">
        <f t="shared" si="1"/>
        <v>7481</v>
      </c>
      <c r="I12" s="43">
        <v>0</v>
      </c>
      <c r="J12" s="37"/>
      <c r="K12" s="35">
        <v>7</v>
      </c>
      <c r="L12" s="36">
        <v>0</v>
      </c>
      <c r="M12" s="36">
        <v>6</v>
      </c>
      <c r="N12" s="36">
        <v>2</v>
      </c>
      <c r="O12" s="43">
        <f t="shared" si="0"/>
        <v>8</v>
      </c>
      <c r="P12" s="30">
        <f t="shared" si="2"/>
        <v>6135</v>
      </c>
    </row>
    <row r="13" spans="1:19" ht="18" customHeight="1" thickTop="1" thickBot="1" x14ac:dyDescent="0.35">
      <c r="A13" s="35">
        <v>8</v>
      </c>
      <c r="B13" s="43">
        <v>3298</v>
      </c>
      <c r="C13" s="43">
        <v>0</v>
      </c>
      <c r="D13" s="43">
        <v>1244</v>
      </c>
      <c r="E13" s="43">
        <v>243</v>
      </c>
      <c r="F13" s="43">
        <v>158</v>
      </c>
      <c r="G13" s="43">
        <v>303</v>
      </c>
      <c r="H13" s="43">
        <f t="shared" si="1"/>
        <v>5246</v>
      </c>
      <c r="I13" s="43">
        <v>0</v>
      </c>
      <c r="J13" s="37"/>
      <c r="K13" s="35">
        <v>8</v>
      </c>
      <c r="L13" s="36">
        <v>6</v>
      </c>
      <c r="M13" s="36">
        <v>6</v>
      </c>
      <c r="N13" s="36">
        <v>3</v>
      </c>
      <c r="O13" s="43">
        <f t="shared" si="0"/>
        <v>15</v>
      </c>
      <c r="P13" s="30">
        <f t="shared" si="2"/>
        <v>6135</v>
      </c>
    </row>
    <row r="14" spans="1:19" s="52" customFormat="1" ht="18" customHeight="1" thickTop="1" thickBot="1" x14ac:dyDescent="0.35">
      <c r="A14" s="35">
        <v>9</v>
      </c>
      <c r="B14" s="43">
        <v>2602</v>
      </c>
      <c r="C14" s="43">
        <v>0</v>
      </c>
      <c r="D14" s="43">
        <v>1305</v>
      </c>
      <c r="E14" s="43">
        <v>221</v>
      </c>
      <c r="F14" s="43">
        <v>190</v>
      </c>
      <c r="G14" s="43">
        <v>310</v>
      </c>
      <c r="H14" s="43">
        <f t="shared" si="1"/>
        <v>4628</v>
      </c>
      <c r="I14" s="43">
        <v>0</v>
      </c>
      <c r="J14" s="37"/>
      <c r="K14" s="35">
        <v>9</v>
      </c>
      <c r="L14" s="36">
        <v>0</v>
      </c>
      <c r="M14" s="36">
        <v>10</v>
      </c>
      <c r="N14" s="36">
        <v>4</v>
      </c>
      <c r="O14" s="43">
        <f t="shared" si="0"/>
        <v>14</v>
      </c>
      <c r="P14" s="46">
        <f t="shared" si="2"/>
        <v>6135</v>
      </c>
    </row>
    <row r="15" spans="1:19" ht="18" customHeight="1" thickTop="1" thickBot="1" x14ac:dyDescent="0.35">
      <c r="A15" s="35">
        <v>10</v>
      </c>
      <c r="B15" s="43">
        <v>2755</v>
      </c>
      <c r="C15" s="43">
        <v>0</v>
      </c>
      <c r="D15" s="43">
        <v>1447</v>
      </c>
      <c r="E15" s="43">
        <v>243</v>
      </c>
      <c r="F15" s="43">
        <v>222</v>
      </c>
      <c r="G15" s="43">
        <v>356</v>
      </c>
      <c r="H15" s="43">
        <f t="shared" si="1"/>
        <v>5023</v>
      </c>
      <c r="I15" s="43">
        <v>0</v>
      </c>
      <c r="J15" s="37"/>
      <c r="K15" s="35">
        <v>10</v>
      </c>
      <c r="L15" s="36">
        <v>1</v>
      </c>
      <c r="M15" s="36">
        <v>13</v>
      </c>
      <c r="N15" s="36">
        <v>4</v>
      </c>
      <c r="O15" s="43">
        <f t="shared" si="0"/>
        <v>18</v>
      </c>
      <c r="P15" s="30">
        <f t="shared" si="2"/>
        <v>6135</v>
      </c>
    </row>
    <row r="16" spans="1:19" ht="18" customHeight="1" thickTop="1" thickBot="1" x14ac:dyDescent="0.35">
      <c r="A16" s="35">
        <v>11</v>
      </c>
      <c r="B16" s="43">
        <v>3514</v>
      </c>
      <c r="C16" s="43">
        <v>0</v>
      </c>
      <c r="D16" s="43">
        <v>1432</v>
      </c>
      <c r="E16" s="43">
        <v>191</v>
      </c>
      <c r="F16" s="43">
        <v>199</v>
      </c>
      <c r="G16" s="43">
        <v>351</v>
      </c>
      <c r="H16" s="43">
        <f t="shared" si="1"/>
        <v>5687</v>
      </c>
      <c r="I16" s="43">
        <v>0</v>
      </c>
      <c r="J16" s="37"/>
      <c r="K16" s="35">
        <v>11</v>
      </c>
      <c r="L16" s="36">
        <v>0</v>
      </c>
      <c r="M16" s="36">
        <v>17</v>
      </c>
      <c r="N16" s="36">
        <v>7</v>
      </c>
      <c r="O16" s="43">
        <f t="shared" si="0"/>
        <v>24</v>
      </c>
      <c r="P16" s="30">
        <f t="shared" si="2"/>
        <v>6135</v>
      </c>
    </row>
    <row r="17" spans="1:26" ht="18" customHeight="1" thickTop="1" thickBot="1" x14ac:dyDescent="0.35">
      <c r="A17" s="35">
        <v>12</v>
      </c>
      <c r="B17" s="43">
        <v>8138</v>
      </c>
      <c r="C17" s="43">
        <v>2</v>
      </c>
      <c r="D17" s="43">
        <v>1386</v>
      </c>
      <c r="E17" s="43">
        <v>188</v>
      </c>
      <c r="F17" s="43">
        <v>199</v>
      </c>
      <c r="G17" s="43">
        <v>286</v>
      </c>
      <c r="H17" s="43">
        <f t="shared" si="1"/>
        <v>10199</v>
      </c>
      <c r="I17" s="43">
        <v>0</v>
      </c>
      <c r="J17" s="37"/>
      <c r="K17" s="35">
        <v>12</v>
      </c>
      <c r="L17" s="36">
        <v>0</v>
      </c>
      <c r="M17" s="36">
        <v>19</v>
      </c>
      <c r="N17" s="36">
        <v>7</v>
      </c>
      <c r="O17" s="43">
        <f t="shared" si="0"/>
        <v>26</v>
      </c>
      <c r="P17" s="30">
        <f t="shared" si="2"/>
        <v>6135</v>
      </c>
    </row>
    <row r="18" spans="1:26" ht="18" customHeight="1" thickTop="1" thickBot="1" x14ac:dyDescent="0.35">
      <c r="A18" s="35">
        <v>13</v>
      </c>
      <c r="B18" s="43">
        <v>8841</v>
      </c>
      <c r="C18" s="43">
        <v>0</v>
      </c>
      <c r="D18" s="43">
        <v>1068</v>
      </c>
      <c r="E18" s="43">
        <v>83</v>
      </c>
      <c r="F18" s="43">
        <v>139</v>
      </c>
      <c r="G18" s="43">
        <v>170</v>
      </c>
      <c r="H18" s="43">
        <f t="shared" si="1"/>
        <v>10301</v>
      </c>
      <c r="I18" s="43">
        <v>0</v>
      </c>
      <c r="J18" s="37"/>
      <c r="K18" s="35">
        <v>13</v>
      </c>
      <c r="L18" s="36">
        <v>0</v>
      </c>
      <c r="M18" s="36">
        <v>2</v>
      </c>
      <c r="N18" s="36">
        <v>1</v>
      </c>
      <c r="O18" s="43">
        <f t="shared" si="0"/>
        <v>3</v>
      </c>
      <c r="P18" s="30">
        <f t="shared" si="2"/>
        <v>6135</v>
      </c>
    </row>
    <row r="19" spans="1:26" ht="18" customHeight="1" thickTop="1" thickBot="1" x14ac:dyDescent="0.35">
      <c r="A19" s="35">
        <v>14</v>
      </c>
      <c r="B19" s="43">
        <v>6968</v>
      </c>
      <c r="C19" s="43">
        <v>0</v>
      </c>
      <c r="D19" s="43">
        <v>1028</v>
      </c>
      <c r="E19" s="43">
        <v>85</v>
      </c>
      <c r="F19" s="43">
        <v>120</v>
      </c>
      <c r="G19" s="43">
        <v>298</v>
      </c>
      <c r="H19" s="43">
        <f t="shared" si="1"/>
        <v>8499</v>
      </c>
      <c r="I19" s="43">
        <v>0</v>
      </c>
      <c r="J19" s="37"/>
      <c r="K19" s="35">
        <v>14</v>
      </c>
      <c r="L19" s="36">
        <v>2</v>
      </c>
      <c r="M19" s="36">
        <v>1</v>
      </c>
      <c r="N19" s="36">
        <v>1</v>
      </c>
      <c r="O19" s="43">
        <f t="shared" si="0"/>
        <v>4</v>
      </c>
      <c r="P19" s="30">
        <f t="shared" si="2"/>
        <v>6135</v>
      </c>
    </row>
    <row r="20" spans="1:26" ht="18" customHeight="1" thickTop="1" thickBot="1" x14ac:dyDescent="0.35">
      <c r="A20" s="35">
        <v>15</v>
      </c>
      <c r="B20" s="43">
        <v>13363</v>
      </c>
      <c r="C20" s="43">
        <v>0</v>
      </c>
      <c r="D20" s="43">
        <v>752</v>
      </c>
      <c r="E20" s="43">
        <v>70</v>
      </c>
      <c r="F20" s="43">
        <v>51</v>
      </c>
      <c r="G20" s="43">
        <v>83</v>
      </c>
      <c r="H20" s="43">
        <f t="shared" si="1"/>
        <v>14319</v>
      </c>
      <c r="I20" s="43">
        <v>0</v>
      </c>
      <c r="J20" s="37"/>
      <c r="K20" s="35">
        <v>15</v>
      </c>
      <c r="L20" s="36">
        <v>0</v>
      </c>
      <c r="M20" s="36">
        <v>2</v>
      </c>
      <c r="N20" s="36">
        <v>1</v>
      </c>
      <c r="O20" s="43">
        <f t="shared" si="0"/>
        <v>3</v>
      </c>
      <c r="P20" s="30">
        <f t="shared" si="2"/>
        <v>6135</v>
      </c>
    </row>
    <row r="21" spans="1:26" ht="18" customHeight="1" thickTop="1" thickBot="1" x14ac:dyDescent="0.35">
      <c r="A21" s="35">
        <v>16</v>
      </c>
      <c r="B21" s="43">
        <v>3521</v>
      </c>
      <c r="C21" s="43">
        <v>0</v>
      </c>
      <c r="D21" s="43">
        <v>1234</v>
      </c>
      <c r="E21" s="43">
        <v>194</v>
      </c>
      <c r="F21" s="43">
        <v>171</v>
      </c>
      <c r="G21" s="43">
        <v>293</v>
      </c>
      <c r="H21" s="43">
        <f t="shared" si="1"/>
        <v>5413</v>
      </c>
      <c r="I21" s="43">
        <v>0</v>
      </c>
      <c r="J21" s="37"/>
      <c r="K21" s="35">
        <v>16</v>
      </c>
      <c r="L21" s="36">
        <v>1</v>
      </c>
      <c r="M21" s="36">
        <v>5</v>
      </c>
      <c r="N21" s="36">
        <v>1</v>
      </c>
      <c r="O21" s="43">
        <f t="shared" si="0"/>
        <v>7</v>
      </c>
      <c r="P21" s="30">
        <f>+P20</f>
        <v>6135</v>
      </c>
    </row>
    <row r="22" spans="1:26" ht="18" customHeight="1" thickTop="1" thickBot="1" x14ac:dyDescent="0.35">
      <c r="A22" s="35">
        <v>17</v>
      </c>
      <c r="B22" s="43">
        <v>2684</v>
      </c>
      <c r="C22" s="43">
        <v>2</v>
      </c>
      <c r="D22" s="43">
        <v>1448</v>
      </c>
      <c r="E22" s="43">
        <v>219</v>
      </c>
      <c r="F22" s="43">
        <v>217</v>
      </c>
      <c r="G22" s="43">
        <v>336</v>
      </c>
      <c r="H22" s="43">
        <f>SUM(B22:G22)</f>
        <v>4906</v>
      </c>
      <c r="I22" s="43">
        <v>0</v>
      </c>
      <c r="J22" s="37"/>
      <c r="K22" s="35">
        <v>17</v>
      </c>
      <c r="L22" s="36">
        <v>0</v>
      </c>
      <c r="M22" s="36">
        <v>6</v>
      </c>
      <c r="N22" s="36">
        <v>0</v>
      </c>
      <c r="O22" s="43">
        <f t="shared" si="0"/>
        <v>6</v>
      </c>
      <c r="P22" s="30">
        <f t="shared" si="2"/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Top="1" thickBot="1" x14ac:dyDescent="0.35">
      <c r="A23" s="35">
        <v>18</v>
      </c>
      <c r="B23" s="43">
        <v>2681</v>
      </c>
      <c r="C23" s="43">
        <v>2</v>
      </c>
      <c r="D23" s="43">
        <v>1365</v>
      </c>
      <c r="E23" s="43">
        <v>218</v>
      </c>
      <c r="F23" s="43">
        <v>230</v>
      </c>
      <c r="G23" s="43">
        <v>369</v>
      </c>
      <c r="H23" s="43">
        <f t="shared" si="1"/>
        <v>4865</v>
      </c>
      <c r="I23" s="43">
        <v>0</v>
      </c>
      <c r="J23" s="37"/>
      <c r="K23" s="35">
        <v>18</v>
      </c>
      <c r="L23" s="36">
        <v>7</v>
      </c>
      <c r="M23" s="36">
        <v>7</v>
      </c>
      <c r="N23" s="36">
        <v>4</v>
      </c>
      <c r="O23" s="43">
        <f t="shared" si="0"/>
        <v>18</v>
      </c>
      <c r="P23" s="30">
        <f t="shared" si="2"/>
        <v>6135</v>
      </c>
    </row>
    <row r="24" spans="1:26" ht="18" customHeight="1" thickTop="1" thickBot="1" x14ac:dyDescent="0.35">
      <c r="A24" s="35">
        <v>19</v>
      </c>
      <c r="B24" s="43">
        <v>3824</v>
      </c>
      <c r="C24" s="43">
        <v>2</v>
      </c>
      <c r="D24" s="43">
        <v>1343</v>
      </c>
      <c r="E24" s="43">
        <v>174</v>
      </c>
      <c r="F24" s="43">
        <v>209</v>
      </c>
      <c r="G24" s="43">
        <v>359</v>
      </c>
      <c r="H24" s="43">
        <f t="shared" si="1"/>
        <v>5911</v>
      </c>
      <c r="I24" s="43">
        <v>0</v>
      </c>
      <c r="J24" s="37"/>
      <c r="K24" s="35">
        <v>19</v>
      </c>
      <c r="L24" s="36">
        <v>4</v>
      </c>
      <c r="M24" s="36">
        <v>5</v>
      </c>
      <c r="N24" s="36">
        <v>3</v>
      </c>
      <c r="O24" s="43">
        <f t="shared" si="0"/>
        <v>12</v>
      </c>
      <c r="P24" s="30">
        <f t="shared" si="2"/>
        <v>6135</v>
      </c>
    </row>
    <row r="25" spans="1:26" ht="18" customHeight="1" thickTop="1" thickBot="1" x14ac:dyDescent="0.35">
      <c r="A25" s="35">
        <v>20</v>
      </c>
      <c r="B25" s="43">
        <v>3820</v>
      </c>
      <c r="C25" s="43">
        <v>0</v>
      </c>
      <c r="D25" s="43">
        <v>1147</v>
      </c>
      <c r="E25" s="43">
        <v>135</v>
      </c>
      <c r="F25" s="43">
        <v>176</v>
      </c>
      <c r="G25" s="43">
        <v>277</v>
      </c>
      <c r="H25" s="43">
        <f>SUM(B25:G25)</f>
        <v>5555</v>
      </c>
      <c r="I25" s="43">
        <v>0</v>
      </c>
      <c r="J25" s="37"/>
      <c r="K25" s="35">
        <v>20</v>
      </c>
      <c r="L25" s="36">
        <v>1</v>
      </c>
      <c r="M25" s="36">
        <v>3</v>
      </c>
      <c r="N25" s="36">
        <v>2</v>
      </c>
      <c r="O25" s="43">
        <f t="shared" si="0"/>
        <v>6</v>
      </c>
      <c r="P25" s="30">
        <f t="shared" si="2"/>
        <v>6135</v>
      </c>
    </row>
    <row r="26" spans="1:26" ht="18" customHeight="1" thickTop="1" thickBot="1" x14ac:dyDescent="0.35">
      <c r="A26" s="35">
        <v>21</v>
      </c>
      <c r="B26" s="43">
        <v>5348</v>
      </c>
      <c r="C26" s="43">
        <v>0</v>
      </c>
      <c r="D26" s="43">
        <v>954</v>
      </c>
      <c r="E26" s="43">
        <v>134</v>
      </c>
      <c r="F26" s="43">
        <v>116</v>
      </c>
      <c r="G26" s="43">
        <v>259</v>
      </c>
      <c r="H26" s="43">
        <f>SUM(B26:G26)</f>
        <v>6811</v>
      </c>
      <c r="I26" s="43">
        <v>0</v>
      </c>
      <c r="J26" s="37"/>
      <c r="K26" s="35">
        <v>21</v>
      </c>
      <c r="L26" s="36">
        <v>0</v>
      </c>
      <c r="M26" s="36">
        <v>3</v>
      </c>
      <c r="N26" s="36">
        <v>3</v>
      </c>
      <c r="O26" s="43">
        <f t="shared" si="0"/>
        <v>6</v>
      </c>
      <c r="P26" s="30">
        <f t="shared" si="2"/>
        <v>6135</v>
      </c>
    </row>
    <row r="27" spans="1:26" ht="18" customHeight="1" thickTop="1" thickBot="1" x14ac:dyDescent="0.35">
      <c r="A27" s="35">
        <v>22</v>
      </c>
      <c r="B27" s="43">
        <v>2684</v>
      </c>
      <c r="C27" s="43">
        <v>0</v>
      </c>
      <c r="D27" s="43">
        <v>1099</v>
      </c>
      <c r="E27" s="43">
        <v>195</v>
      </c>
      <c r="F27" s="43">
        <v>155</v>
      </c>
      <c r="G27" s="43">
        <v>306</v>
      </c>
      <c r="H27" s="43">
        <f t="shared" si="1"/>
        <v>4439</v>
      </c>
      <c r="I27" s="43">
        <v>0</v>
      </c>
      <c r="J27" s="37"/>
      <c r="K27" s="35">
        <v>22</v>
      </c>
      <c r="L27" s="36">
        <v>1</v>
      </c>
      <c r="M27" s="36">
        <v>10</v>
      </c>
      <c r="N27" s="36">
        <v>0</v>
      </c>
      <c r="O27" s="43">
        <f t="shared" si="0"/>
        <v>11</v>
      </c>
      <c r="P27" s="30">
        <f t="shared" si="2"/>
        <v>6135</v>
      </c>
    </row>
    <row r="28" spans="1:26" ht="18" customHeight="1" thickTop="1" thickBot="1" x14ac:dyDescent="0.35">
      <c r="A28" s="35">
        <v>23</v>
      </c>
      <c r="B28" s="43">
        <v>2414</v>
      </c>
      <c r="C28" s="43">
        <v>0</v>
      </c>
      <c r="D28" s="43">
        <v>1308</v>
      </c>
      <c r="E28" s="43">
        <v>163</v>
      </c>
      <c r="F28" s="43">
        <v>186</v>
      </c>
      <c r="G28" s="43">
        <v>337</v>
      </c>
      <c r="H28" s="43">
        <f t="shared" si="1"/>
        <v>4408</v>
      </c>
      <c r="I28" s="43">
        <v>0</v>
      </c>
      <c r="J28" s="37"/>
      <c r="K28" s="35">
        <v>23</v>
      </c>
      <c r="L28" s="36">
        <v>2</v>
      </c>
      <c r="M28" s="36">
        <v>12</v>
      </c>
      <c r="N28" s="36">
        <v>6</v>
      </c>
      <c r="O28" s="43">
        <f t="shared" si="0"/>
        <v>20</v>
      </c>
      <c r="P28" s="30">
        <f t="shared" si="2"/>
        <v>6135</v>
      </c>
    </row>
    <row r="29" spans="1:26" ht="18" customHeight="1" thickTop="1" thickBot="1" x14ac:dyDescent="0.35">
      <c r="A29" s="35">
        <v>24</v>
      </c>
      <c r="B29" s="43">
        <v>2524</v>
      </c>
      <c r="C29" s="43">
        <v>0</v>
      </c>
      <c r="D29" s="43">
        <v>1386</v>
      </c>
      <c r="E29" s="43">
        <v>197</v>
      </c>
      <c r="F29" s="43">
        <v>217</v>
      </c>
      <c r="G29" s="43">
        <v>342</v>
      </c>
      <c r="H29" s="43">
        <f t="shared" si="1"/>
        <v>4666</v>
      </c>
      <c r="I29" s="43">
        <v>0</v>
      </c>
      <c r="J29" s="37"/>
      <c r="K29" s="35">
        <v>24</v>
      </c>
      <c r="L29" s="36">
        <v>2</v>
      </c>
      <c r="M29" s="36">
        <v>14</v>
      </c>
      <c r="N29" s="36">
        <v>5</v>
      </c>
      <c r="O29" s="43">
        <f t="shared" si="0"/>
        <v>21</v>
      </c>
      <c r="P29" s="30">
        <f t="shared" si="2"/>
        <v>6135</v>
      </c>
    </row>
    <row r="30" spans="1:26" ht="18" customHeight="1" thickTop="1" thickBot="1" x14ac:dyDescent="0.35">
      <c r="A30" s="35">
        <v>25</v>
      </c>
      <c r="B30" s="43">
        <v>2810</v>
      </c>
      <c r="C30" s="43">
        <v>2</v>
      </c>
      <c r="D30" s="43">
        <v>1317</v>
      </c>
      <c r="E30" s="43">
        <v>172</v>
      </c>
      <c r="F30" s="43">
        <v>200</v>
      </c>
      <c r="G30" s="43">
        <v>310</v>
      </c>
      <c r="H30" s="43">
        <f t="shared" si="1"/>
        <v>4811</v>
      </c>
      <c r="I30" s="43">
        <v>0</v>
      </c>
      <c r="J30" s="37"/>
      <c r="K30" s="35">
        <v>25</v>
      </c>
      <c r="L30" s="36">
        <v>1</v>
      </c>
      <c r="M30" s="36">
        <v>8</v>
      </c>
      <c r="N30" s="36">
        <v>11</v>
      </c>
      <c r="O30" s="43">
        <f t="shared" si="0"/>
        <v>20</v>
      </c>
      <c r="P30" s="30">
        <f t="shared" si="2"/>
        <v>6135</v>
      </c>
    </row>
    <row r="31" spans="1:26" ht="18" customHeight="1" thickTop="1" thickBot="1" x14ac:dyDescent="0.35">
      <c r="A31" s="35">
        <v>26</v>
      </c>
      <c r="B31" s="43">
        <v>4004</v>
      </c>
      <c r="C31" s="43">
        <v>2</v>
      </c>
      <c r="D31" s="43">
        <v>1244</v>
      </c>
      <c r="E31" s="43">
        <v>162</v>
      </c>
      <c r="F31" s="43">
        <v>205</v>
      </c>
      <c r="G31" s="43">
        <v>312</v>
      </c>
      <c r="H31" s="43">
        <f t="shared" si="1"/>
        <v>5929</v>
      </c>
      <c r="I31" s="43">
        <v>0</v>
      </c>
      <c r="J31" s="37"/>
      <c r="K31" s="35">
        <v>26</v>
      </c>
      <c r="L31" s="36">
        <v>2</v>
      </c>
      <c r="M31" s="36">
        <v>11</v>
      </c>
      <c r="N31" s="36">
        <v>5</v>
      </c>
      <c r="O31" s="43">
        <f t="shared" si="0"/>
        <v>18</v>
      </c>
      <c r="P31" s="30">
        <f t="shared" si="2"/>
        <v>6135</v>
      </c>
    </row>
    <row r="32" spans="1:26" ht="18" customHeight="1" thickTop="1" thickBot="1" x14ac:dyDescent="0.35">
      <c r="A32" s="35">
        <v>27</v>
      </c>
      <c r="B32" s="43">
        <v>4015</v>
      </c>
      <c r="C32" s="43">
        <v>0</v>
      </c>
      <c r="D32" s="43">
        <v>1115</v>
      </c>
      <c r="E32" s="43">
        <v>124</v>
      </c>
      <c r="F32" s="43">
        <v>163</v>
      </c>
      <c r="G32" s="43">
        <v>274</v>
      </c>
      <c r="H32" s="43">
        <f t="shared" si="1"/>
        <v>5691</v>
      </c>
      <c r="I32" s="43">
        <v>0</v>
      </c>
      <c r="J32" s="37"/>
      <c r="K32" s="35">
        <v>27</v>
      </c>
      <c r="L32" s="36">
        <v>0</v>
      </c>
      <c r="M32" s="36">
        <v>9</v>
      </c>
      <c r="N32" s="36">
        <v>0</v>
      </c>
      <c r="O32" s="43">
        <f t="shared" si="0"/>
        <v>9</v>
      </c>
      <c r="P32" s="30">
        <f t="shared" si="2"/>
        <v>6135</v>
      </c>
    </row>
    <row r="33" spans="1:16" ht="18" customHeight="1" thickTop="1" thickBot="1" x14ac:dyDescent="0.35">
      <c r="A33" s="35">
        <v>28</v>
      </c>
      <c r="B33" s="43">
        <v>5529</v>
      </c>
      <c r="C33" s="43">
        <v>0</v>
      </c>
      <c r="D33" s="43">
        <v>939</v>
      </c>
      <c r="E33" s="43">
        <v>126</v>
      </c>
      <c r="F33" s="43">
        <v>102</v>
      </c>
      <c r="G33" s="43">
        <v>262</v>
      </c>
      <c r="H33" s="43">
        <f t="shared" si="1"/>
        <v>6958</v>
      </c>
      <c r="I33" s="43">
        <v>0</v>
      </c>
      <c r="J33" s="37"/>
      <c r="K33" s="35">
        <v>28</v>
      </c>
      <c r="L33" s="36">
        <v>0</v>
      </c>
      <c r="M33" s="36">
        <v>3</v>
      </c>
      <c r="N33" s="36">
        <v>2</v>
      </c>
      <c r="O33" s="43">
        <f t="shared" si="0"/>
        <v>5</v>
      </c>
      <c r="P33" s="30">
        <f t="shared" si="2"/>
        <v>6135</v>
      </c>
    </row>
    <row r="34" spans="1:16" ht="18" customHeight="1" thickTop="1" thickBot="1" x14ac:dyDescent="0.35">
      <c r="A34" s="35">
        <v>29</v>
      </c>
      <c r="B34" s="43">
        <v>2584</v>
      </c>
      <c r="C34" s="43">
        <v>2</v>
      </c>
      <c r="D34" s="43">
        <v>1174</v>
      </c>
      <c r="E34" s="43">
        <v>157</v>
      </c>
      <c r="F34" s="43">
        <v>165</v>
      </c>
      <c r="G34" s="43">
        <v>294</v>
      </c>
      <c r="H34" s="43">
        <f t="shared" si="1"/>
        <v>4376</v>
      </c>
      <c r="I34" s="43">
        <v>0</v>
      </c>
      <c r="J34" s="37"/>
      <c r="K34" s="35">
        <v>29</v>
      </c>
      <c r="L34" s="43">
        <v>1</v>
      </c>
      <c r="M34" s="43">
        <v>10</v>
      </c>
      <c r="N34" s="43">
        <v>2</v>
      </c>
      <c r="O34" s="43">
        <f t="shared" si="0"/>
        <v>13</v>
      </c>
      <c r="P34" s="30">
        <f t="shared" si="2"/>
        <v>6135</v>
      </c>
    </row>
    <row r="35" spans="1:16" ht="18" customHeight="1" thickTop="1" thickBot="1" x14ac:dyDescent="0.35">
      <c r="A35" s="35">
        <v>30</v>
      </c>
      <c r="B35" s="43">
        <v>2511</v>
      </c>
      <c r="C35" s="43">
        <v>2</v>
      </c>
      <c r="D35" s="43">
        <v>1372</v>
      </c>
      <c r="E35" s="43">
        <v>164</v>
      </c>
      <c r="F35" s="43">
        <v>190</v>
      </c>
      <c r="G35" s="43">
        <v>297</v>
      </c>
      <c r="H35" s="43">
        <f t="shared" si="1"/>
        <v>4536</v>
      </c>
      <c r="I35" s="43">
        <v>0</v>
      </c>
      <c r="J35" s="37"/>
      <c r="K35" s="35">
        <v>30</v>
      </c>
      <c r="L35" s="43">
        <v>0</v>
      </c>
      <c r="M35" s="43">
        <v>4</v>
      </c>
      <c r="N35" s="43">
        <v>3</v>
      </c>
      <c r="O35" s="43">
        <f t="shared" si="0"/>
        <v>7</v>
      </c>
      <c r="P35" s="30">
        <f t="shared" si="2"/>
        <v>6135</v>
      </c>
    </row>
    <row r="36" spans="1:16" ht="18" customHeight="1" thickTop="1" thickBot="1" x14ac:dyDescent="0.35">
      <c r="A36" s="35">
        <v>31</v>
      </c>
      <c r="B36" s="43">
        <v>2441</v>
      </c>
      <c r="C36" s="43">
        <v>0</v>
      </c>
      <c r="D36" s="43">
        <v>1330</v>
      </c>
      <c r="E36" s="43">
        <v>186</v>
      </c>
      <c r="F36" s="43">
        <v>199</v>
      </c>
      <c r="G36" s="43">
        <v>318</v>
      </c>
      <c r="H36" s="43">
        <f t="shared" si="1"/>
        <v>4474</v>
      </c>
      <c r="I36" s="43">
        <v>0</v>
      </c>
      <c r="J36" s="37"/>
      <c r="K36" s="35">
        <v>31</v>
      </c>
      <c r="L36" s="43">
        <v>2</v>
      </c>
      <c r="M36" s="43">
        <v>10</v>
      </c>
      <c r="N36" s="43">
        <v>4</v>
      </c>
      <c r="O36" s="43">
        <f t="shared" si="0"/>
        <v>16</v>
      </c>
      <c r="P36" s="30">
        <f t="shared" si="2"/>
        <v>6135</v>
      </c>
    </row>
    <row r="37" spans="1:16" ht="18" customHeight="1" thickTop="1" x14ac:dyDescent="0.3">
      <c r="A37" s="29" t="s">
        <v>19</v>
      </c>
      <c r="B37" s="44">
        <f>SUM(B6:B36)</f>
        <v>128634</v>
      </c>
      <c r="C37" s="44">
        <f t="shared" ref="C37:H37" si="3">SUM(C6:C36)</f>
        <v>24</v>
      </c>
      <c r="D37" s="44">
        <f t="shared" si="3"/>
        <v>38137</v>
      </c>
      <c r="E37" s="44">
        <f t="shared" si="3"/>
        <v>5152</v>
      </c>
      <c r="F37" s="44">
        <f t="shared" si="3"/>
        <v>5461</v>
      </c>
      <c r="G37" s="44">
        <f t="shared" si="3"/>
        <v>9394</v>
      </c>
      <c r="H37" s="44">
        <f t="shared" si="3"/>
        <v>186802</v>
      </c>
      <c r="I37" s="44">
        <f>SUM(I6:I33)</f>
        <v>0</v>
      </c>
      <c r="J37" s="44"/>
      <c r="K37" s="44" t="s">
        <v>25</v>
      </c>
      <c r="L37" s="44">
        <f>SUM(L6:L36)</f>
        <v>38</v>
      </c>
      <c r="M37" s="44">
        <f>SUM(M6:M36)</f>
        <v>256</v>
      </c>
      <c r="N37" s="44">
        <f>SUM(N6:N36)</f>
        <v>102</v>
      </c>
      <c r="O37" s="51">
        <f>SUM(O6:O36)</f>
        <v>396</v>
      </c>
    </row>
    <row r="38" spans="1:16" ht="18" customHeight="1" x14ac:dyDescent="0.3">
      <c r="A38" s="29" t="s">
        <v>19</v>
      </c>
      <c r="B38" s="63">
        <f>+B37+C37</f>
        <v>128658</v>
      </c>
      <c r="C38" s="63"/>
      <c r="D38" s="44">
        <f>+D37</f>
        <v>38137</v>
      </c>
      <c r="E38" s="44">
        <f>+E37</f>
        <v>5152</v>
      </c>
      <c r="F38" s="44">
        <f>+F37</f>
        <v>5461</v>
      </c>
      <c r="G38" s="44">
        <f>+G37</f>
        <v>9394</v>
      </c>
      <c r="H38" s="51">
        <f>+H37</f>
        <v>186802</v>
      </c>
      <c r="I38" s="44">
        <v>0</v>
      </c>
      <c r="J38" s="41"/>
      <c r="K38" s="53"/>
      <c r="L38" s="53" t="s">
        <v>20</v>
      </c>
      <c r="M38" s="53" t="s">
        <v>21</v>
      </c>
      <c r="N38" s="53" t="s">
        <v>20</v>
      </c>
      <c r="O38" s="53" t="s">
        <v>21</v>
      </c>
    </row>
    <row r="39" spans="1:16" ht="18" customHeight="1" x14ac:dyDescent="0.3">
      <c r="A39" s="38" t="s">
        <v>22</v>
      </c>
      <c r="B39" s="49"/>
      <c r="C39" s="49"/>
      <c r="D39" s="49"/>
      <c r="E39" s="49"/>
      <c r="F39" s="49"/>
      <c r="G39" s="49"/>
      <c r="H39" s="49"/>
      <c r="L39" s="39"/>
    </row>
    <row r="40" spans="1:16" x14ac:dyDescent="0.3">
      <c r="A40" s="45"/>
      <c r="B40" s="50"/>
      <c r="C40" s="50"/>
      <c r="D40" s="50"/>
      <c r="E40" s="50"/>
      <c r="F40" s="50"/>
      <c r="G40" s="50"/>
      <c r="H40" s="50"/>
      <c r="I40" s="50"/>
      <c r="J40" s="39"/>
      <c r="K40" s="26"/>
      <c r="L40" s="25"/>
    </row>
    <row r="41" spans="1:16" x14ac:dyDescent="0.3">
      <c r="A41" s="48"/>
      <c r="H41" s="48"/>
      <c r="K41" s="26"/>
      <c r="L41" s="25"/>
    </row>
    <row r="42" spans="1:16" x14ac:dyDescent="0.3">
      <c r="K42" s="26"/>
      <c r="L42" s="25"/>
    </row>
    <row r="43" spans="1:16" x14ac:dyDescent="0.3">
      <c r="I43" s="48"/>
      <c r="J43" s="48"/>
    </row>
    <row r="45" spans="1:16" x14ac:dyDescent="0.3">
      <c r="A45" s="32"/>
    </row>
    <row r="46" spans="1:16" x14ac:dyDescent="0.3">
      <c r="A46" s="32"/>
      <c r="B46" s="48"/>
      <c r="C46" s="48"/>
      <c r="D46" s="48"/>
      <c r="E46" s="48"/>
      <c r="F46" s="48"/>
      <c r="G46" s="48"/>
      <c r="H46" s="48"/>
      <c r="I46" s="48"/>
      <c r="J46" s="48"/>
      <c r="K46" s="40"/>
      <c r="L46" s="48"/>
      <c r="M46" s="48"/>
      <c r="N46" s="48"/>
      <c r="O46" s="4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7465-4725-468A-95BA-401B52175C94}">
  <dimension ref="A1:Z46"/>
  <sheetViews>
    <sheetView workbookViewId="0">
      <selection sqref="A1:O2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33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2571</v>
      </c>
      <c r="C6" s="4">
        <v>2</v>
      </c>
      <c r="D6" s="4">
        <v>1346</v>
      </c>
      <c r="E6" s="4">
        <v>162</v>
      </c>
      <c r="F6" s="4">
        <v>197</v>
      </c>
      <c r="G6" s="4">
        <v>283</v>
      </c>
      <c r="H6" s="4">
        <v>4561</v>
      </c>
      <c r="I6" s="4">
        <v>0</v>
      </c>
      <c r="J6" s="5"/>
      <c r="K6" s="3">
        <v>1</v>
      </c>
      <c r="L6" s="54">
        <v>2</v>
      </c>
      <c r="M6" s="54">
        <v>11</v>
      </c>
      <c r="N6" s="54">
        <v>5</v>
      </c>
      <c r="O6" s="4">
        <v>18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4293</v>
      </c>
      <c r="C7" s="4">
        <v>2</v>
      </c>
      <c r="D7" s="4">
        <v>1216</v>
      </c>
      <c r="E7" s="4">
        <v>168</v>
      </c>
      <c r="F7" s="4">
        <v>175</v>
      </c>
      <c r="G7" s="4">
        <v>291</v>
      </c>
      <c r="H7" s="4">
        <v>6145</v>
      </c>
      <c r="I7" s="4">
        <v>0</v>
      </c>
      <c r="J7" s="5"/>
      <c r="K7" s="3">
        <v>2</v>
      </c>
      <c r="L7" s="54">
        <v>2</v>
      </c>
      <c r="M7" s="54">
        <v>7</v>
      </c>
      <c r="N7" s="54">
        <v>4</v>
      </c>
      <c r="O7" s="4">
        <v>13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4214</v>
      </c>
      <c r="C8" s="4">
        <v>0</v>
      </c>
      <c r="D8" s="4">
        <v>1067</v>
      </c>
      <c r="E8" s="4">
        <v>130</v>
      </c>
      <c r="F8" s="4">
        <v>142</v>
      </c>
      <c r="G8" s="4">
        <v>279</v>
      </c>
      <c r="H8" s="4">
        <v>5832</v>
      </c>
      <c r="I8" s="4">
        <v>0</v>
      </c>
      <c r="J8" s="5"/>
      <c r="K8" s="3">
        <v>3</v>
      </c>
      <c r="L8" s="54">
        <v>0</v>
      </c>
      <c r="M8" s="54">
        <v>9</v>
      </c>
      <c r="N8" s="54">
        <v>0</v>
      </c>
      <c r="O8" s="4">
        <v>9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5806</v>
      </c>
      <c r="C9" s="4">
        <v>2</v>
      </c>
      <c r="D9" s="4">
        <v>926</v>
      </c>
      <c r="E9" s="4">
        <v>120</v>
      </c>
      <c r="F9" s="4">
        <v>108</v>
      </c>
      <c r="G9" s="4">
        <v>231</v>
      </c>
      <c r="H9" s="4">
        <v>7193</v>
      </c>
      <c r="I9" s="4">
        <v>0</v>
      </c>
      <c r="J9" s="5"/>
      <c r="K9" s="3">
        <v>4</v>
      </c>
      <c r="L9" s="54">
        <v>0</v>
      </c>
      <c r="M9" s="54">
        <v>4</v>
      </c>
      <c r="N9" s="54">
        <v>3</v>
      </c>
      <c r="O9" s="4">
        <v>7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2750</v>
      </c>
      <c r="C10" s="4">
        <v>2</v>
      </c>
      <c r="D10" s="4">
        <v>1146</v>
      </c>
      <c r="E10" s="4">
        <v>165</v>
      </c>
      <c r="F10" s="4">
        <v>207</v>
      </c>
      <c r="G10" s="4">
        <v>257</v>
      </c>
      <c r="H10" s="4">
        <v>4527</v>
      </c>
      <c r="I10" s="4">
        <v>0</v>
      </c>
      <c r="J10" s="5"/>
      <c r="K10" s="3">
        <v>5</v>
      </c>
      <c r="L10" s="54">
        <v>0</v>
      </c>
      <c r="M10" s="54">
        <v>9</v>
      </c>
      <c r="N10" s="54">
        <v>5</v>
      </c>
      <c r="O10" s="4">
        <v>14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2258</v>
      </c>
      <c r="C11" s="4">
        <v>2</v>
      </c>
      <c r="D11" s="4">
        <v>1222</v>
      </c>
      <c r="E11" s="4">
        <v>160</v>
      </c>
      <c r="F11" s="4">
        <v>204</v>
      </c>
      <c r="G11" s="4">
        <v>306</v>
      </c>
      <c r="H11" s="4">
        <v>4152</v>
      </c>
      <c r="I11" s="4">
        <v>0</v>
      </c>
      <c r="J11" s="5"/>
      <c r="K11" s="3">
        <v>6</v>
      </c>
      <c r="L11" s="54">
        <v>2</v>
      </c>
      <c r="M11" s="54">
        <v>4</v>
      </c>
      <c r="N11" s="54">
        <v>6</v>
      </c>
      <c r="O11" s="4">
        <v>12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2481</v>
      </c>
      <c r="C12" s="4">
        <v>2</v>
      </c>
      <c r="D12" s="4">
        <v>1333</v>
      </c>
      <c r="E12" s="4">
        <v>190</v>
      </c>
      <c r="F12" s="4">
        <v>216</v>
      </c>
      <c r="G12" s="4">
        <v>364</v>
      </c>
      <c r="H12" s="4">
        <v>4586</v>
      </c>
      <c r="I12" s="4">
        <v>0</v>
      </c>
      <c r="J12" s="6"/>
      <c r="K12" s="3">
        <v>7</v>
      </c>
      <c r="L12" s="54">
        <v>2</v>
      </c>
      <c r="M12" s="54">
        <v>6</v>
      </c>
      <c r="N12" s="54">
        <v>4</v>
      </c>
      <c r="O12" s="4">
        <v>12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2765</v>
      </c>
      <c r="C13" s="4">
        <v>2</v>
      </c>
      <c r="D13" s="4">
        <v>1287</v>
      </c>
      <c r="E13" s="4">
        <v>155</v>
      </c>
      <c r="F13" s="4">
        <v>190</v>
      </c>
      <c r="G13" s="4">
        <v>326</v>
      </c>
      <c r="H13" s="4">
        <v>4725</v>
      </c>
      <c r="I13" s="4">
        <v>0</v>
      </c>
      <c r="J13" s="6"/>
      <c r="K13" s="3">
        <v>8</v>
      </c>
      <c r="L13" s="54">
        <v>1</v>
      </c>
      <c r="M13" s="54">
        <v>11</v>
      </c>
      <c r="N13" s="54">
        <v>7</v>
      </c>
      <c r="O13" s="4">
        <v>19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4032</v>
      </c>
      <c r="C14" s="4">
        <v>0</v>
      </c>
      <c r="D14" s="4">
        <v>1265</v>
      </c>
      <c r="E14" s="4">
        <v>150</v>
      </c>
      <c r="F14" s="4">
        <v>209</v>
      </c>
      <c r="G14" s="4">
        <v>327</v>
      </c>
      <c r="H14" s="4">
        <v>5983</v>
      </c>
      <c r="I14" s="4">
        <v>0</v>
      </c>
      <c r="J14" s="6"/>
      <c r="K14" s="3">
        <v>9</v>
      </c>
      <c r="L14" s="54">
        <v>0</v>
      </c>
      <c r="M14" s="54">
        <v>7</v>
      </c>
      <c r="N14" s="54">
        <v>5</v>
      </c>
      <c r="O14" s="4">
        <v>12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3982</v>
      </c>
      <c r="C15" s="4">
        <v>0</v>
      </c>
      <c r="D15" s="4">
        <v>1056</v>
      </c>
      <c r="E15" s="4">
        <v>134</v>
      </c>
      <c r="F15" s="4">
        <v>149</v>
      </c>
      <c r="G15" s="4">
        <v>215</v>
      </c>
      <c r="H15" s="4">
        <v>5536</v>
      </c>
      <c r="I15" s="4">
        <v>0</v>
      </c>
      <c r="J15" s="6"/>
      <c r="K15" s="3">
        <v>10</v>
      </c>
      <c r="L15" s="54">
        <v>3</v>
      </c>
      <c r="M15" s="54">
        <v>17</v>
      </c>
      <c r="N15" s="54">
        <v>2</v>
      </c>
      <c r="O15" s="4">
        <v>22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5833</v>
      </c>
      <c r="C16" s="4">
        <v>0</v>
      </c>
      <c r="D16" s="4">
        <v>909</v>
      </c>
      <c r="E16" s="4">
        <v>103</v>
      </c>
      <c r="F16" s="4">
        <v>87</v>
      </c>
      <c r="G16" s="4">
        <v>232</v>
      </c>
      <c r="H16" s="4">
        <v>7164</v>
      </c>
      <c r="I16" s="4">
        <v>0</v>
      </c>
      <c r="J16" s="6"/>
      <c r="K16" s="3">
        <v>11</v>
      </c>
      <c r="L16" s="54">
        <v>0</v>
      </c>
      <c r="M16" s="54">
        <v>6</v>
      </c>
      <c r="N16" s="54">
        <v>0</v>
      </c>
      <c r="O16" s="4">
        <v>6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2673</v>
      </c>
      <c r="C17" s="4">
        <v>0</v>
      </c>
      <c r="D17" s="4">
        <v>1065</v>
      </c>
      <c r="E17" s="4">
        <v>161</v>
      </c>
      <c r="F17" s="4">
        <v>156</v>
      </c>
      <c r="G17" s="4">
        <v>276</v>
      </c>
      <c r="H17" s="4">
        <v>4331</v>
      </c>
      <c r="I17" s="4">
        <v>0</v>
      </c>
      <c r="J17" s="6"/>
      <c r="K17" s="3">
        <v>12</v>
      </c>
      <c r="L17" s="54">
        <v>1</v>
      </c>
      <c r="M17" s="54">
        <v>9</v>
      </c>
      <c r="N17" s="54">
        <v>6</v>
      </c>
      <c r="O17" s="4">
        <v>16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2394</v>
      </c>
      <c r="C18" s="4">
        <v>0</v>
      </c>
      <c r="D18" s="4">
        <v>1256</v>
      </c>
      <c r="E18" s="4">
        <v>171</v>
      </c>
      <c r="F18" s="4">
        <v>219</v>
      </c>
      <c r="G18" s="4">
        <v>307</v>
      </c>
      <c r="H18" s="4">
        <v>4347</v>
      </c>
      <c r="I18" s="4">
        <v>0</v>
      </c>
      <c r="J18" s="6"/>
      <c r="K18" s="3">
        <v>13</v>
      </c>
      <c r="L18" s="54">
        <v>2</v>
      </c>
      <c r="M18" s="54">
        <v>9</v>
      </c>
      <c r="N18" s="54">
        <v>4</v>
      </c>
      <c r="O18" s="4">
        <v>15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2473</v>
      </c>
      <c r="C19" s="4">
        <v>0</v>
      </c>
      <c r="D19" s="4">
        <v>1373</v>
      </c>
      <c r="E19" s="4">
        <v>203</v>
      </c>
      <c r="F19" s="4">
        <v>207</v>
      </c>
      <c r="G19" s="4">
        <v>331</v>
      </c>
      <c r="H19" s="4">
        <v>4587</v>
      </c>
      <c r="I19" s="4">
        <v>0</v>
      </c>
      <c r="J19" s="6"/>
      <c r="K19" s="3">
        <v>14</v>
      </c>
      <c r="L19" s="54">
        <v>0</v>
      </c>
      <c r="M19" s="54">
        <v>10</v>
      </c>
      <c r="N19" s="54">
        <v>2</v>
      </c>
      <c r="O19" s="4">
        <v>12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2872</v>
      </c>
      <c r="C20" s="4">
        <v>0</v>
      </c>
      <c r="D20" s="4">
        <v>1315</v>
      </c>
      <c r="E20" s="4">
        <v>197</v>
      </c>
      <c r="F20" s="4">
        <v>206</v>
      </c>
      <c r="G20" s="4">
        <v>338</v>
      </c>
      <c r="H20" s="4">
        <v>4928</v>
      </c>
      <c r="I20" s="4">
        <v>0</v>
      </c>
      <c r="J20" s="6"/>
      <c r="K20" s="3">
        <v>15</v>
      </c>
      <c r="L20" s="54">
        <v>0</v>
      </c>
      <c r="M20" s="54">
        <v>4</v>
      </c>
      <c r="N20" s="54">
        <v>3</v>
      </c>
      <c r="O20" s="4">
        <v>7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4204</v>
      </c>
      <c r="C21" s="4">
        <v>0</v>
      </c>
      <c r="D21" s="4">
        <v>1273</v>
      </c>
      <c r="E21" s="4">
        <v>166</v>
      </c>
      <c r="F21" s="4">
        <v>188</v>
      </c>
      <c r="G21" s="4">
        <v>305</v>
      </c>
      <c r="H21" s="4">
        <v>6136</v>
      </c>
      <c r="I21" s="4">
        <v>0</v>
      </c>
      <c r="J21" s="6"/>
      <c r="K21" s="3">
        <v>16</v>
      </c>
      <c r="L21" s="54">
        <v>1</v>
      </c>
      <c r="M21" s="54">
        <v>15</v>
      </c>
      <c r="N21" s="54">
        <v>4</v>
      </c>
      <c r="O21" s="4">
        <v>20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4134</v>
      </c>
      <c r="C22" s="4">
        <v>0</v>
      </c>
      <c r="D22" s="4">
        <v>1114</v>
      </c>
      <c r="E22" s="4">
        <v>117</v>
      </c>
      <c r="F22" s="4">
        <v>175</v>
      </c>
      <c r="G22" s="4">
        <v>243</v>
      </c>
      <c r="H22" s="4">
        <v>5783</v>
      </c>
      <c r="I22" s="4">
        <v>0</v>
      </c>
      <c r="J22" s="6"/>
      <c r="K22" s="3">
        <v>17</v>
      </c>
      <c r="L22" s="54">
        <v>1</v>
      </c>
      <c r="M22" s="54">
        <v>8</v>
      </c>
      <c r="N22" s="54">
        <v>2</v>
      </c>
      <c r="O22" s="4">
        <v>11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6089</v>
      </c>
      <c r="C23" s="4">
        <v>0</v>
      </c>
      <c r="D23" s="4">
        <v>922</v>
      </c>
      <c r="E23" s="4">
        <v>103</v>
      </c>
      <c r="F23" s="4">
        <v>97</v>
      </c>
      <c r="G23" s="4">
        <v>216</v>
      </c>
      <c r="H23" s="4">
        <v>7427</v>
      </c>
      <c r="I23" s="4">
        <v>0</v>
      </c>
      <c r="J23" s="6"/>
      <c r="K23" s="3">
        <v>18</v>
      </c>
      <c r="L23" s="54">
        <v>1</v>
      </c>
      <c r="M23" s="54">
        <v>4</v>
      </c>
      <c r="N23" s="54">
        <v>0</v>
      </c>
      <c r="O23" s="4">
        <v>5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2651</v>
      </c>
      <c r="C24" s="4">
        <v>2</v>
      </c>
      <c r="D24" s="4">
        <v>1162</v>
      </c>
      <c r="E24" s="4">
        <v>191</v>
      </c>
      <c r="F24" s="4">
        <v>174</v>
      </c>
      <c r="G24" s="4">
        <v>253</v>
      </c>
      <c r="H24" s="4">
        <v>4433</v>
      </c>
      <c r="I24" s="4">
        <v>0</v>
      </c>
      <c r="J24" s="6"/>
      <c r="K24" s="3">
        <v>19</v>
      </c>
      <c r="L24" s="54">
        <v>1</v>
      </c>
      <c r="M24" s="54">
        <v>8</v>
      </c>
      <c r="N24" s="54">
        <v>3</v>
      </c>
      <c r="O24" s="4">
        <v>12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2341</v>
      </c>
      <c r="C25" s="4">
        <v>2</v>
      </c>
      <c r="D25" s="4">
        <v>1280</v>
      </c>
      <c r="E25" s="4">
        <v>187</v>
      </c>
      <c r="F25" s="4">
        <v>194</v>
      </c>
      <c r="G25" s="4">
        <v>285</v>
      </c>
      <c r="H25" s="4">
        <v>4289</v>
      </c>
      <c r="I25" s="4">
        <v>0</v>
      </c>
      <c r="J25" s="6"/>
      <c r="K25" s="3">
        <v>20</v>
      </c>
      <c r="L25" s="54">
        <v>0</v>
      </c>
      <c r="M25" s="54">
        <v>19</v>
      </c>
      <c r="N25" s="54">
        <v>5</v>
      </c>
      <c r="O25" s="4">
        <v>24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2528</v>
      </c>
      <c r="C26" s="4">
        <v>2</v>
      </c>
      <c r="D26" s="4">
        <v>1422</v>
      </c>
      <c r="E26" s="4">
        <v>195</v>
      </c>
      <c r="F26" s="4">
        <v>195</v>
      </c>
      <c r="G26" s="4">
        <v>311</v>
      </c>
      <c r="H26" s="4">
        <v>4653</v>
      </c>
      <c r="I26" s="4">
        <v>0</v>
      </c>
      <c r="J26" s="6"/>
      <c r="K26" s="3">
        <v>21</v>
      </c>
      <c r="L26" s="54">
        <v>2</v>
      </c>
      <c r="M26" s="54">
        <v>9</v>
      </c>
      <c r="N26" s="54">
        <v>4</v>
      </c>
      <c r="O26" s="4">
        <v>15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2725</v>
      </c>
      <c r="C27" s="4">
        <v>0</v>
      </c>
      <c r="D27" s="4">
        <v>1410</v>
      </c>
      <c r="E27" s="4">
        <v>180</v>
      </c>
      <c r="F27" s="4">
        <v>207</v>
      </c>
      <c r="G27" s="4">
        <v>304</v>
      </c>
      <c r="H27" s="4">
        <v>4826</v>
      </c>
      <c r="I27" s="4">
        <v>0</v>
      </c>
      <c r="J27" s="6"/>
      <c r="K27" s="3">
        <v>22</v>
      </c>
      <c r="L27" s="54">
        <v>3</v>
      </c>
      <c r="M27" s="54">
        <v>5</v>
      </c>
      <c r="N27" s="54">
        <v>7</v>
      </c>
      <c r="O27" s="4">
        <v>15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4121</v>
      </c>
      <c r="C28" s="4">
        <v>2</v>
      </c>
      <c r="D28" s="4">
        <v>1222</v>
      </c>
      <c r="E28" s="4">
        <v>156</v>
      </c>
      <c r="F28" s="4">
        <v>201</v>
      </c>
      <c r="G28" s="4">
        <v>262</v>
      </c>
      <c r="H28" s="4">
        <v>5964</v>
      </c>
      <c r="I28" s="4">
        <v>0</v>
      </c>
      <c r="J28" s="6"/>
      <c r="K28" s="3">
        <v>23</v>
      </c>
      <c r="L28" s="54">
        <v>0</v>
      </c>
      <c r="M28" s="54">
        <v>7</v>
      </c>
      <c r="N28" s="54">
        <v>3</v>
      </c>
      <c r="O28" s="4">
        <v>10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4129</v>
      </c>
      <c r="C29" s="4">
        <v>0</v>
      </c>
      <c r="D29" s="4">
        <v>1151</v>
      </c>
      <c r="E29" s="4">
        <v>118</v>
      </c>
      <c r="F29" s="4">
        <v>173</v>
      </c>
      <c r="G29" s="4">
        <v>197</v>
      </c>
      <c r="H29" s="4">
        <v>5768</v>
      </c>
      <c r="I29" s="4">
        <v>0</v>
      </c>
      <c r="J29" s="6"/>
      <c r="K29" s="3">
        <v>24</v>
      </c>
      <c r="L29" s="54">
        <v>1</v>
      </c>
      <c r="M29" s="54">
        <v>2</v>
      </c>
      <c r="N29" s="54">
        <v>4</v>
      </c>
      <c r="O29" s="4">
        <v>7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5957</v>
      </c>
      <c r="C30" s="4">
        <v>0</v>
      </c>
      <c r="D30" s="4">
        <v>1028</v>
      </c>
      <c r="E30" s="4">
        <v>127</v>
      </c>
      <c r="F30" s="4">
        <v>87</v>
      </c>
      <c r="G30" s="4">
        <v>201</v>
      </c>
      <c r="H30" s="4">
        <v>7400</v>
      </c>
      <c r="I30" s="4">
        <v>0</v>
      </c>
      <c r="J30" s="6"/>
      <c r="K30" s="3">
        <v>25</v>
      </c>
      <c r="L30" s="54">
        <v>0</v>
      </c>
      <c r="M30" s="54">
        <v>2</v>
      </c>
      <c r="N30" s="54">
        <v>4</v>
      </c>
      <c r="O30" s="4">
        <v>6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2665</v>
      </c>
      <c r="C31" s="4">
        <v>2</v>
      </c>
      <c r="D31" s="4">
        <v>1207</v>
      </c>
      <c r="E31" s="4">
        <v>135</v>
      </c>
      <c r="F31" s="4">
        <v>177</v>
      </c>
      <c r="G31" s="4">
        <v>229</v>
      </c>
      <c r="H31" s="4">
        <v>4415</v>
      </c>
      <c r="I31" s="4">
        <v>0</v>
      </c>
      <c r="J31" s="6"/>
      <c r="K31" s="3">
        <v>26</v>
      </c>
      <c r="L31" s="54">
        <v>1</v>
      </c>
      <c r="M31" s="54">
        <v>10</v>
      </c>
      <c r="N31" s="54">
        <v>1</v>
      </c>
      <c r="O31" s="4">
        <v>12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2481</v>
      </c>
      <c r="C32" s="4">
        <v>2</v>
      </c>
      <c r="D32" s="4">
        <v>1321</v>
      </c>
      <c r="E32" s="4">
        <v>161</v>
      </c>
      <c r="F32" s="4">
        <v>212</v>
      </c>
      <c r="G32" s="4">
        <v>273</v>
      </c>
      <c r="H32" s="4">
        <v>4450</v>
      </c>
      <c r="I32" s="4">
        <v>0</v>
      </c>
      <c r="J32" s="6"/>
      <c r="K32" s="3">
        <v>27</v>
      </c>
      <c r="L32" s="54">
        <v>0</v>
      </c>
      <c r="M32" s="54">
        <v>12</v>
      </c>
      <c r="N32" s="54">
        <v>3</v>
      </c>
      <c r="O32" s="4">
        <v>15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2501</v>
      </c>
      <c r="C33" s="4">
        <v>0</v>
      </c>
      <c r="D33" s="4">
        <v>1352</v>
      </c>
      <c r="E33" s="4">
        <v>148</v>
      </c>
      <c r="F33" s="4">
        <v>218</v>
      </c>
      <c r="G33" s="4">
        <v>306</v>
      </c>
      <c r="H33" s="4">
        <v>4525</v>
      </c>
      <c r="I33" s="4">
        <v>0</v>
      </c>
      <c r="J33" s="6"/>
      <c r="K33" s="3">
        <v>28</v>
      </c>
      <c r="L33" s="54">
        <v>0</v>
      </c>
      <c r="M33" s="54">
        <v>11</v>
      </c>
      <c r="N33" s="54">
        <v>8</v>
      </c>
      <c r="O33" s="4">
        <v>19</v>
      </c>
      <c r="P33" s="19">
        <v>6135</v>
      </c>
    </row>
    <row r="34" spans="1:16" ht="15.6" thickTop="1" thickBot="1" x14ac:dyDescent="0.35">
      <c r="A34" s="3">
        <v>29</v>
      </c>
      <c r="B34" s="4">
        <v>2734</v>
      </c>
      <c r="C34" s="4">
        <v>2</v>
      </c>
      <c r="D34" s="4">
        <v>1462</v>
      </c>
      <c r="E34" s="4">
        <v>162</v>
      </c>
      <c r="F34" s="4">
        <v>187</v>
      </c>
      <c r="G34" s="4">
        <v>305</v>
      </c>
      <c r="H34" s="4">
        <v>4852</v>
      </c>
      <c r="I34" s="4">
        <v>0</v>
      </c>
      <c r="J34" s="6"/>
      <c r="K34" s="3">
        <v>29</v>
      </c>
      <c r="L34" s="4">
        <v>1</v>
      </c>
      <c r="M34" s="4">
        <v>11</v>
      </c>
      <c r="N34" s="4">
        <v>3</v>
      </c>
      <c r="O34" s="4">
        <v>15</v>
      </c>
      <c r="P34" s="19">
        <v>6135</v>
      </c>
    </row>
    <row r="35" spans="1:16" ht="15.6" thickTop="1" thickBot="1" x14ac:dyDescent="0.35">
      <c r="A35" s="3">
        <v>30</v>
      </c>
      <c r="B35" s="4">
        <v>3708</v>
      </c>
      <c r="C35" s="4">
        <v>0</v>
      </c>
      <c r="D35" s="4">
        <v>1277</v>
      </c>
      <c r="E35" s="4">
        <v>134</v>
      </c>
      <c r="F35" s="4">
        <v>166</v>
      </c>
      <c r="G35" s="4">
        <v>274</v>
      </c>
      <c r="H35" s="4">
        <v>5559</v>
      </c>
      <c r="I35" s="4">
        <v>0</v>
      </c>
      <c r="J35" s="6"/>
      <c r="K35" s="3">
        <v>30</v>
      </c>
      <c r="L35" s="4">
        <v>0</v>
      </c>
      <c r="M35" s="4">
        <v>8</v>
      </c>
      <c r="N35" s="4">
        <v>5</v>
      </c>
      <c r="O35" s="4">
        <v>13</v>
      </c>
      <c r="P35" s="19">
        <v>6135</v>
      </c>
    </row>
    <row r="36" spans="1:16" ht="15.6" hidden="1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11" t="s">
        <v>19</v>
      </c>
      <c r="B37" s="12">
        <v>104365</v>
      </c>
      <c r="C37" s="12">
        <v>28</v>
      </c>
      <c r="D37" s="12">
        <v>36385</v>
      </c>
      <c r="E37" s="12">
        <v>4649</v>
      </c>
      <c r="F37" s="12">
        <v>5323</v>
      </c>
      <c r="G37" s="12">
        <v>8327</v>
      </c>
      <c r="H37" s="12">
        <v>159077</v>
      </c>
      <c r="I37" s="12">
        <v>0</v>
      </c>
      <c r="J37" s="12"/>
      <c r="K37" s="12" t="s">
        <v>25</v>
      </c>
      <c r="L37" s="12">
        <v>27</v>
      </c>
      <c r="M37" s="12">
        <v>254</v>
      </c>
      <c r="N37" s="12">
        <v>112</v>
      </c>
      <c r="O37" s="27">
        <f>SUM(O6:O36)</f>
        <v>393</v>
      </c>
      <c r="P37" s="1"/>
    </row>
    <row r="38" spans="1:16" x14ac:dyDescent="0.3">
      <c r="A38" s="11" t="s">
        <v>19</v>
      </c>
      <c r="B38" s="60">
        <v>104393</v>
      </c>
      <c r="C38" s="60"/>
      <c r="D38" s="12">
        <v>36385</v>
      </c>
      <c r="E38" s="12">
        <v>4649</v>
      </c>
      <c r="F38" s="12">
        <v>5323</v>
      </c>
      <c r="G38" s="12">
        <v>8327</v>
      </c>
      <c r="H38" s="27">
        <v>159077</v>
      </c>
      <c r="I38" s="12">
        <v>0</v>
      </c>
      <c r="J38" s="7"/>
      <c r="K38" s="8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41E0-2C91-40CA-A10C-D0D476C60BE3}">
  <dimension ref="A1:Z46"/>
  <sheetViews>
    <sheetView workbookViewId="0">
      <selection sqref="A1:O2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34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3752</v>
      </c>
      <c r="C6" s="4">
        <v>0</v>
      </c>
      <c r="D6" s="4">
        <v>1099</v>
      </c>
      <c r="E6" s="4">
        <v>138</v>
      </c>
      <c r="F6" s="4">
        <v>176</v>
      </c>
      <c r="G6" s="4">
        <v>192</v>
      </c>
      <c r="H6" s="4">
        <v>5357</v>
      </c>
      <c r="I6" s="4">
        <v>0</v>
      </c>
      <c r="J6" s="5"/>
      <c r="K6" s="3">
        <v>1</v>
      </c>
      <c r="L6" s="54">
        <v>0</v>
      </c>
      <c r="M6" s="54">
        <v>13</v>
      </c>
      <c r="N6" s="54">
        <v>1</v>
      </c>
      <c r="O6" s="4">
        <v>14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4654</v>
      </c>
      <c r="C7" s="4">
        <v>0</v>
      </c>
      <c r="D7" s="4">
        <v>872</v>
      </c>
      <c r="E7" s="4">
        <v>92</v>
      </c>
      <c r="F7" s="4">
        <v>94</v>
      </c>
      <c r="G7" s="4">
        <v>209</v>
      </c>
      <c r="H7" s="4">
        <v>5921</v>
      </c>
      <c r="I7" s="4">
        <v>0</v>
      </c>
      <c r="J7" s="5"/>
      <c r="K7" s="3">
        <v>2</v>
      </c>
      <c r="L7" s="54">
        <v>0</v>
      </c>
      <c r="M7" s="54">
        <v>0</v>
      </c>
      <c r="N7" s="54">
        <v>0</v>
      </c>
      <c r="O7" s="4">
        <v>0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2565</v>
      </c>
      <c r="C8" s="4">
        <v>0</v>
      </c>
      <c r="D8" s="4">
        <v>1147</v>
      </c>
      <c r="E8" s="4">
        <v>161</v>
      </c>
      <c r="F8" s="4">
        <v>182</v>
      </c>
      <c r="G8" s="4">
        <v>282</v>
      </c>
      <c r="H8" s="4">
        <v>4337</v>
      </c>
      <c r="I8" s="4">
        <v>0</v>
      </c>
      <c r="J8" s="5"/>
      <c r="K8" s="3">
        <v>3</v>
      </c>
      <c r="L8" s="54">
        <v>1</v>
      </c>
      <c r="M8" s="54">
        <v>20</v>
      </c>
      <c r="N8" s="54">
        <v>3</v>
      </c>
      <c r="O8" s="4">
        <v>24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2378</v>
      </c>
      <c r="C9" s="4">
        <v>0</v>
      </c>
      <c r="D9" s="4">
        <v>1320</v>
      </c>
      <c r="E9" s="4">
        <v>141</v>
      </c>
      <c r="F9" s="4">
        <v>197</v>
      </c>
      <c r="G9" s="4">
        <v>282</v>
      </c>
      <c r="H9" s="4">
        <v>4318</v>
      </c>
      <c r="I9" s="4">
        <v>0</v>
      </c>
      <c r="J9" s="5"/>
      <c r="K9" s="3">
        <v>4</v>
      </c>
      <c r="L9" s="54">
        <v>1</v>
      </c>
      <c r="M9" s="54">
        <v>12</v>
      </c>
      <c r="N9" s="54">
        <v>4</v>
      </c>
      <c r="O9" s="4">
        <v>17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2522</v>
      </c>
      <c r="C10" s="4">
        <v>2</v>
      </c>
      <c r="D10" s="4">
        <v>1393</v>
      </c>
      <c r="E10" s="4">
        <v>175</v>
      </c>
      <c r="F10" s="4">
        <v>204</v>
      </c>
      <c r="G10" s="4">
        <v>310</v>
      </c>
      <c r="H10" s="4">
        <v>4606</v>
      </c>
      <c r="I10" s="4">
        <v>0</v>
      </c>
      <c r="J10" s="5"/>
      <c r="K10" s="3">
        <v>5</v>
      </c>
      <c r="L10" s="54">
        <v>2</v>
      </c>
      <c r="M10" s="54">
        <v>14</v>
      </c>
      <c r="N10" s="54">
        <v>3</v>
      </c>
      <c r="O10" s="4">
        <v>19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2983</v>
      </c>
      <c r="C11" s="4">
        <v>2</v>
      </c>
      <c r="D11" s="4">
        <v>1279</v>
      </c>
      <c r="E11" s="4">
        <v>206</v>
      </c>
      <c r="F11" s="4">
        <v>206</v>
      </c>
      <c r="G11" s="4">
        <v>358</v>
      </c>
      <c r="H11" s="4">
        <v>5034</v>
      </c>
      <c r="I11" s="4">
        <v>0</v>
      </c>
      <c r="J11" s="5"/>
      <c r="K11" s="3">
        <v>6</v>
      </c>
      <c r="L11" s="54">
        <v>2</v>
      </c>
      <c r="M11" s="54">
        <v>16</v>
      </c>
      <c r="N11" s="54">
        <v>2</v>
      </c>
      <c r="O11" s="4">
        <v>20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5038</v>
      </c>
      <c r="C12" s="4">
        <v>0</v>
      </c>
      <c r="D12" s="4">
        <v>1247</v>
      </c>
      <c r="E12" s="4">
        <v>146</v>
      </c>
      <c r="F12" s="4">
        <v>180</v>
      </c>
      <c r="G12" s="4">
        <v>275</v>
      </c>
      <c r="H12" s="4">
        <v>6886</v>
      </c>
      <c r="I12" s="4">
        <v>0</v>
      </c>
      <c r="J12" s="6"/>
      <c r="K12" s="3">
        <v>7</v>
      </c>
      <c r="L12" s="54">
        <v>1</v>
      </c>
      <c r="M12" s="54">
        <v>12</v>
      </c>
      <c r="N12" s="54">
        <v>5</v>
      </c>
      <c r="O12" s="4">
        <v>18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5689</v>
      </c>
      <c r="C13" s="4">
        <v>0</v>
      </c>
      <c r="D13" s="4">
        <v>1210</v>
      </c>
      <c r="E13" s="4">
        <v>123</v>
      </c>
      <c r="F13" s="4">
        <v>168</v>
      </c>
      <c r="G13" s="4">
        <v>254</v>
      </c>
      <c r="H13" s="4">
        <v>7444</v>
      </c>
      <c r="I13" s="4">
        <v>0</v>
      </c>
      <c r="J13" s="6"/>
      <c r="K13" s="3">
        <v>8</v>
      </c>
      <c r="L13" s="54">
        <v>1</v>
      </c>
      <c r="M13" s="54">
        <v>8</v>
      </c>
      <c r="N13" s="54">
        <v>2</v>
      </c>
      <c r="O13" s="4">
        <v>11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6813</v>
      </c>
      <c r="C14" s="4">
        <v>0</v>
      </c>
      <c r="D14" s="4">
        <v>1018</v>
      </c>
      <c r="E14" s="4">
        <v>107</v>
      </c>
      <c r="F14" s="4">
        <v>80</v>
      </c>
      <c r="G14" s="4">
        <v>231</v>
      </c>
      <c r="H14" s="4">
        <v>8249</v>
      </c>
      <c r="I14" s="4">
        <v>0</v>
      </c>
      <c r="J14" s="6"/>
      <c r="K14" s="3">
        <v>9</v>
      </c>
      <c r="L14" s="54">
        <v>3</v>
      </c>
      <c r="M14" s="54">
        <v>13</v>
      </c>
      <c r="N14" s="54">
        <v>2</v>
      </c>
      <c r="O14" s="4">
        <v>18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3872</v>
      </c>
      <c r="C15" s="4">
        <v>2</v>
      </c>
      <c r="D15" s="4">
        <v>1244</v>
      </c>
      <c r="E15" s="4">
        <v>128</v>
      </c>
      <c r="F15" s="4">
        <v>183</v>
      </c>
      <c r="G15" s="4">
        <v>305</v>
      </c>
      <c r="H15" s="4">
        <v>5734</v>
      </c>
      <c r="I15" s="4">
        <v>0</v>
      </c>
      <c r="J15" s="6"/>
      <c r="K15" s="3">
        <v>10</v>
      </c>
      <c r="L15" s="54">
        <v>0</v>
      </c>
      <c r="M15" s="54">
        <v>14</v>
      </c>
      <c r="N15" s="54">
        <v>0</v>
      </c>
      <c r="O15" s="4">
        <v>14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3410</v>
      </c>
      <c r="C16" s="4">
        <v>0</v>
      </c>
      <c r="D16" s="4">
        <v>1319</v>
      </c>
      <c r="E16" s="4">
        <v>178</v>
      </c>
      <c r="F16" s="4">
        <v>172</v>
      </c>
      <c r="G16" s="4">
        <v>308</v>
      </c>
      <c r="H16" s="4">
        <v>5387</v>
      </c>
      <c r="I16" s="4">
        <v>0</v>
      </c>
      <c r="J16" s="6"/>
      <c r="K16" s="3">
        <v>11</v>
      </c>
      <c r="L16" s="54">
        <v>0</v>
      </c>
      <c r="M16" s="54">
        <v>16</v>
      </c>
      <c r="N16" s="54">
        <v>2</v>
      </c>
      <c r="O16" s="4">
        <v>18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4143</v>
      </c>
      <c r="C17" s="4">
        <v>0</v>
      </c>
      <c r="D17" s="4">
        <v>1412</v>
      </c>
      <c r="E17" s="4">
        <v>169</v>
      </c>
      <c r="F17" s="4">
        <v>219</v>
      </c>
      <c r="G17" s="4">
        <v>388</v>
      </c>
      <c r="H17" s="4">
        <v>6331</v>
      </c>
      <c r="I17" s="4">
        <v>0</v>
      </c>
      <c r="J17" s="6"/>
      <c r="K17" s="3">
        <v>12</v>
      </c>
      <c r="L17" s="54">
        <v>1</v>
      </c>
      <c r="M17" s="54">
        <v>10</v>
      </c>
      <c r="N17" s="54">
        <v>6</v>
      </c>
      <c r="O17" s="4">
        <v>17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4846</v>
      </c>
      <c r="C18" s="4">
        <v>0</v>
      </c>
      <c r="D18" s="4">
        <v>1323</v>
      </c>
      <c r="E18" s="4">
        <v>147</v>
      </c>
      <c r="F18" s="4">
        <v>159</v>
      </c>
      <c r="G18" s="4">
        <v>272</v>
      </c>
      <c r="H18" s="4">
        <v>6747</v>
      </c>
      <c r="I18" s="4">
        <v>0</v>
      </c>
      <c r="J18" s="6"/>
      <c r="K18" s="3">
        <v>13</v>
      </c>
      <c r="L18" s="54">
        <v>1</v>
      </c>
      <c r="M18" s="54">
        <v>23</v>
      </c>
      <c r="N18" s="54">
        <v>6</v>
      </c>
      <c r="O18" s="4">
        <v>30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9449</v>
      </c>
      <c r="C19" s="4">
        <v>0</v>
      </c>
      <c r="D19" s="4">
        <v>1392</v>
      </c>
      <c r="E19" s="4">
        <v>120</v>
      </c>
      <c r="F19" s="4">
        <v>203</v>
      </c>
      <c r="G19" s="4">
        <v>286</v>
      </c>
      <c r="H19" s="4">
        <v>11450</v>
      </c>
      <c r="I19" s="4">
        <v>0</v>
      </c>
      <c r="J19" s="6"/>
      <c r="K19" s="3">
        <v>14</v>
      </c>
      <c r="L19" s="54">
        <v>1</v>
      </c>
      <c r="M19" s="54">
        <v>15</v>
      </c>
      <c r="N19" s="54">
        <v>3</v>
      </c>
      <c r="O19" s="4">
        <v>19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9791</v>
      </c>
      <c r="C20" s="4">
        <v>0</v>
      </c>
      <c r="D20" s="4">
        <v>1108</v>
      </c>
      <c r="E20" s="4">
        <v>75</v>
      </c>
      <c r="F20" s="4">
        <v>134</v>
      </c>
      <c r="G20" s="4">
        <v>181</v>
      </c>
      <c r="H20" s="4">
        <v>11289</v>
      </c>
      <c r="I20" s="4">
        <v>0</v>
      </c>
      <c r="J20" s="6"/>
      <c r="K20" s="3">
        <v>15</v>
      </c>
      <c r="L20" s="54">
        <v>0</v>
      </c>
      <c r="M20" s="54">
        <v>5</v>
      </c>
      <c r="N20" s="54">
        <v>1</v>
      </c>
      <c r="O20" s="4">
        <v>6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10301</v>
      </c>
      <c r="C21" s="4">
        <v>0</v>
      </c>
      <c r="D21" s="4">
        <v>1102</v>
      </c>
      <c r="E21" s="4">
        <v>112</v>
      </c>
      <c r="F21" s="4">
        <v>95</v>
      </c>
      <c r="G21" s="4">
        <v>213</v>
      </c>
      <c r="H21" s="4">
        <v>11823</v>
      </c>
      <c r="I21" s="4">
        <v>0</v>
      </c>
      <c r="J21" s="6"/>
      <c r="K21" s="3">
        <v>16</v>
      </c>
      <c r="L21" s="54">
        <v>0</v>
      </c>
      <c r="M21" s="54">
        <v>10</v>
      </c>
      <c r="N21" s="54">
        <v>0</v>
      </c>
      <c r="O21" s="4">
        <v>10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15751</v>
      </c>
      <c r="C22" s="4">
        <v>0</v>
      </c>
      <c r="D22" s="4">
        <v>854</v>
      </c>
      <c r="E22" s="4">
        <v>66</v>
      </c>
      <c r="F22" s="4">
        <v>42</v>
      </c>
      <c r="G22" s="4">
        <v>81</v>
      </c>
      <c r="H22" s="4">
        <v>16794</v>
      </c>
      <c r="I22" s="4">
        <v>0</v>
      </c>
      <c r="J22" s="6"/>
      <c r="K22" s="3">
        <v>17</v>
      </c>
      <c r="L22" s="54">
        <v>0</v>
      </c>
      <c r="M22" s="54">
        <v>1</v>
      </c>
      <c r="N22" s="54">
        <v>0</v>
      </c>
      <c r="O22" s="4">
        <v>1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3933</v>
      </c>
      <c r="C23" s="4">
        <v>2</v>
      </c>
      <c r="D23" s="4">
        <v>1274</v>
      </c>
      <c r="E23" s="4">
        <v>154</v>
      </c>
      <c r="F23" s="4">
        <v>173</v>
      </c>
      <c r="G23" s="4">
        <v>291</v>
      </c>
      <c r="H23" s="4">
        <v>5827</v>
      </c>
      <c r="I23" s="4">
        <v>0</v>
      </c>
      <c r="J23" s="6"/>
      <c r="K23" s="3">
        <v>18</v>
      </c>
      <c r="L23" s="54">
        <v>0</v>
      </c>
      <c r="M23" s="54">
        <v>15</v>
      </c>
      <c r="N23" s="54">
        <v>4</v>
      </c>
      <c r="O23" s="4">
        <v>19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2835</v>
      </c>
      <c r="C24" s="4">
        <v>0</v>
      </c>
      <c r="D24" s="4">
        <v>1415</v>
      </c>
      <c r="E24" s="4">
        <v>158</v>
      </c>
      <c r="F24" s="4">
        <v>201</v>
      </c>
      <c r="G24" s="4">
        <v>317</v>
      </c>
      <c r="H24" s="4">
        <v>4926</v>
      </c>
      <c r="I24" s="4">
        <v>0</v>
      </c>
      <c r="J24" s="6"/>
      <c r="K24" s="3">
        <v>19</v>
      </c>
      <c r="L24" s="54">
        <v>10</v>
      </c>
      <c r="M24" s="54">
        <v>20</v>
      </c>
      <c r="N24" s="54">
        <v>7</v>
      </c>
      <c r="O24" s="4">
        <v>37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3030</v>
      </c>
      <c r="C25" s="4">
        <v>0</v>
      </c>
      <c r="D25" s="4">
        <v>1464</v>
      </c>
      <c r="E25" s="4">
        <v>198</v>
      </c>
      <c r="F25" s="4">
        <v>213</v>
      </c>
      <c r="G25" s="4">
        <v>305</v>
      </c>
      <c r="H25" s="4">
        <v>5210</v>
      </c>
      <c r="I25" s="4">
        <v>0</v>
      </c>
      <c r="J25" s="6"/>
      <c r="K25" s="3">
        <v>20</v>
      </c>
      <c r="L25" s="54">
        <v>3</v>
      </c>
      <c r="M25" s="54">
        <v>16</v>
      </c>
      <c r="N25" s="54">
        <v>4</v>
      </c>
      <c r="O25" s="4">
        <v>23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3700</v>
      </c>
      <c r="C26" s="4">
        <v>0</v>
      </c>
      <c r="D26" s="4">
        <v>1287</v>
      </c>
      <c r="E26" s="4">
        <v>142</v>
      </c>
      <c r="F26" s="4">
        <v>202</v>
      </c>
      <c r="G26" s="4">
        <v>302</v>
      </c>
      <c r="H26" s="4">
        <v>5633</v>
      </c>
      <c r="I26" s="4">
        <v>0</v>
      </c>
      <c r="J26" s="6"/>
      <c r="K26" s="3">
        <v>21</v>
      </c>
      <c r="L26" s="54">
        <v>3</v>
      </c>
      <c r="M26" s="54">
        <v>18</v>
      </c>
      <c r="N26" s="54">
        <v>0</v>
      </c>
      <c r="O26" s="4">
        <v>21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3710</v>
      </c>
      <c r="C27" s="4">
        <v>0</v>
      </c>
      <c r="D27" s="4">
        <v>1094</v>
      </c>
      <c r="E27" s="4">
        <v>141</v>
      </c>
      <c r="F27" s="4">
        <v>152</v>
      </c>
      <c r="G27" s="4">
        <v>272</v>
      </c>
      <c r="H27" s="4">
        <v>5369</v>
      </c>
      <c r="I27" s="4">
        <v>0</v>
      </c>
      <c r="J27" s="6"/>
      <c r="K27" s="3">
        <v>22</v>
      </c>
      <c r="L27" s="54">
        <v>4</v>
      </c>
      <c r="M27" s="54">
        <v>14</v>
      </c>
      <c r="N27" s="54">
        <v>1</v>
      </c>
      <c r="O27" s="4">
        <v>19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5031</v>
      </c>
      <c r="C28" s="4">
        <v>0</v>
      </c>
      <c r="D28" s="4">
        <v>1014</v>
      </c>
      <c r="E28" s="4">
        <v>118</v>
      </c>
      <c r="F28" s="4">
        <v>97</v>
      </c>
      <c r="G28" s="4">
        <v>248</v>
      </c>
      <c r="H28" s="4">
        <v>6508</v>
      </c>
      <c r="I28" s="4">
        <v>0</v>
      </c>
      <c r="J28" s="6"/>
      <c r="K28" s="3">
        <v>23</v>
      </c>
      <c r="L28" s="54">
        <v>0</v>
      </c>
      <c r="M28" s="54">
        <v>5</v>
      </c>
      <c r="N28" s="54">
        <v>0</v>
      </c>
      <c r="O28" s="4">
        <v>5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2635</v>
      </c>
      <c r="C29" s="4">
        <v>0</v>
      </c>
      <c r="D29" s="4">
        <v>1271</v>
      </c>
      <c r="E29" s="4">
        <v>184</v>
      </c>
      <c r="F29" s="4">
        <v>183</v>
      </c>
      <c r="G29" s="4">
        <v>346</v>
      </c>
      <c r="H29" s="4">
        <v>4619</v>
      </c>
      <c r="I29" s="4">
        <v>0</v>
      </c>
      <c r="J29" s="6"/>
      <c r="K29" s="3">
        <v>24</v>
      </c>
      <c r="L29" s="54">
        <v>0</v>
      </c>
      <c r="M29" s="54">
        <v>8</v>
      </c>
      <c r="N29" s="54">
        <v>1</v>
      </c>
      <c r="O29" s="4">
        <v>9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2407</v>
      </c>
      <c r="C30" s="4">
        <v>0</v>
      </c>
      <c r="D30" s="4">
        <v>1395</v>
      </c>
      <c r="E30" s="4">
        <v>155</v>
      </c>
      <c r="F30" s="4">
        <v>183</v>
      </c>
      <c r="G30" s="4">
        <v>312</v>
      </c>
      <c r="H30" s="4">
        <v>4452</v>
      </c>
      <c r="I30" s="4">
        <v>0</v>
      </c>
      <c r="J30" s="6"/>
      <c r="K30" s="3">
        <v>25</v>
      </c>
      <c r="L30" s="54">
        <v>1</v>
      </c>
      <c r="M30" s="54">
        <v>17</v>
      </c>
      <c r="N30" s="54">
        <v>0</v>
      </c>
      <c r="O30" s="4">
        <v>18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2459</v>
      </c>
      <c r="C31" s="4">
        <v>2</v>
      </c>
      <c r="D31" s="4">
        <v>1408</v>
      </c>
      <c r="E31" s="4">
        <v>174</v>
      </c>
      <c r="F31" s="4">
        <v>173</v>
      </c>
      <c r="G31" s="4">
        <v>318</v>
      </c>
      <c r="H31" s="4">
        <v>4534</v>
      </c>
      <c r="I31" s="4">
        <v>0</v>
      </c>
      <c r="J31" s="6"/>
      <c r="K31" s="3">
        <v>26</v>
      </c>
      <c r="L31" s="54">
        <v>2</v>
      </c>
      <c r="M31" s="54">
        <v>6</v>
      </c>
      <c r="N31" s="54">
        <v>3</v>
      </c>
      <c r="O31" s="4">
        <v>11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2657</v>
      </c>
      <c r="C32" s="4">
        <v>2</v>
      </c>
      <c r="D32" s="4">
        <v>1251</v>
      </c>
      <c r="E32" s="4">
        <v>182</v>
      </c>
      <c r="F32" s="4">
        <v>205</v>
      </c>
      <c r="G32" s="4">
        <v>324</v>
      </c>
      <c r="H32" s="4">
        <v>4621</v>
      </c>
      <c r="I32" s="4">
        <v>0</v>
      </c>
      <c r="J32" s="6"/>
      <c r="K32" s="3">
        <v>27</v>
      </c>
      <c r="L32" s="54">
        <v>5</v>
      </c>
      <c r="M32" s="54">
        <v>14</v>
      </c>
      <c r="N32" s="54">
        <v>7</v>
      </c>
      <c r="O32" s="4">
        <v>26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3594</v>
      </c>
      <c r="C33" s="4">
        <v>0</v>
      </c>
      <c r="D33" s="4">
        <v>1371</v>
      </c>
      <c r="E33" s="4">
        <v>140</v>
      </c>
      <c r="F33" s="4">
        <v>187</v>
      </c>
      <c r="G33" s="4">
        <v>287</v>
      </c>
      <c r="H33" s="4">
        <v>5579</v>
      </c>
      <c r="I33" s="4">
        <v>0</v>
      </c>
      <c r="J33" s="6"/>
      <c r="K33" s="3">
        <v>28</v>
      </c>
      <c r="L33" s="54">
        <v>4</v>
      </c>
      <c r="M33" s="54">
        <v>16</v>
      </c>
      <c r="N33" s="54">
        <v>5</v>
      </c>
      <c r="O33" s="4">
        <v>25</v>
      </c>
      <c r="P33" s="19">
        <v>6135</v>
      </c>
    </row>
    <row r="34" spans="1:16" ht="15.6" thickTop="1" thickBot="1" x14ac:dyDescent="0.35">
      <c r="A34" s="3">
        <v>29</v>
      </c>
      <c r="B34" s="4">
        <v>3583</v>
      </c>
      <c r="C34" s="4">
        <v>0</v>
      </c>
      <c r="D34" s="4">
        <v>1132</v>
      </c>
      <c r="E34" s="4">
        <v>124</v>
      </c>
      <c r="F34" s="4">
        <v>174</v>
      </c>
      <c r="G34" s="4">
        <v>255</v>
      </c>
      <c r="H34" s="4">
        <v>5268</v>
      </c>
      <c r="I34" s="4">
        <v>0</v>
      </c>
      <c r="J34" s="6"/>
      <c r="K34" s="3">
        <v>29</v>
      </c>
      <c r="L34" s="4">
        <v>1</v>
      </c>
      <c r="M34" s="4">
        <v>3</v>
      </c>
      <c r="N34" s="4">
        <v>1</v>
      </c>
      <c r="O34" s="4">
        <v>5</v>
      </c>
      <c r="P34" s="19">
        <v>6135</v>
      </c>
    </row>
    <row r="35" spans="1:16" ht="15.6" thickTop="1" thickBot="1" x14ac:dyDescent="0.35">
      <c r="A35" s="3">
        <v>30</v>
      </c>
      <c r="B35" s="4">
        <v>4548</v>
      </c>
      <c r="C35" s="4">
        <v>0</v>
      </c>
      <c r="D35" s="4">
        <v>1107</v>
      </c>
      <c r="E35" s="4">
        <v>149</v>
      </c>
      <c r="F35" s="4">
        <v>114</v>
      </c>
      <c r="G35" s="4">
        <v>259</v>
      </c>
      <c r="H35" s="4">
        <v>6177</v>
      </c>
      <c r="I35" s="4">
        <v>0</v>
      </c>
      <c r="J35" s="6"/>
      <c r="K35" s="3">
        <v>30</v>
      </c>
      <c r="L35" s="4">
        <v>4</v>
      </c>
      <c r="M35" s="4">
        <v>4</v>
      </c>
      <c r="N35" s="4">
        <v>1</v>
      </c>
      <c r="O35" s="4">
        <v>9</v>
      </c>
      <c r="P35" s="19">
        <v>6135</v>
      </c>
    </row>
    <row r="36" spans="1:16" ht="15.6" thickTop="1" thickBot="1" x14ac:dyDescent="0.35">
      <c r="A36" s="3">
        <v>31</v>
      </c>
      <c r="B36" s="4">
        <v>2385</v>
      </c>
      <c r="C36" s="4">
        <v>4</v>
      </c>
      <c r="D36" s="4">
        <v>1145</v>
      </c>
      <c r="E36" s="4">
        <v>137</v>
      </c>
      <c r="F36" s="4">
        <v>154</v>
      </c>
      <c r="G36" s="4">
        <v>266</v>
      </c>
      <c r="H36" s="4">
        <v>4091</v>
      </c>
      <c r="I36" s="4">
        <v>0</v>
      </c>
      <c r="J36" s="6"/>
      <c r="K36" s="3">
        <v>31</v>
      </c>
      <c r="L36" s="4">
        <v>0</v>
      </c>
      <c r="M36" s="4">
        <v>10</v>
      </c>
      <c r="N36" s="4">
        <v>0</v>
      </c>
      <c r="O36" s="4">
        <v>10</v>
      </c>
      <c r="P36" s="19">
        <v>6135</v>
      </c>
    </row>
    <row r="37" spans="1:16" ht="15" thickTop="1" x14ac:dyDescent="0.3">
      <c r="A37" s="11" t="s">
        <v>19</v>
      </c>
      <c r="B37" s="12">
        <v>144464</v>
      </c>
      <c r="C37" s="12">
        <v>16</v>
      </c>
      <c r="D37" s="12">
        <v>37967</v>
      </c>
      <c r="E37" s="12">
        <v>4440</v>
      </c>
      <c r="F37" s="12">
        <v>5105</v>
      </c>
      <c r="G37" s="12">
        <v>8529</v>
      </c>
      <c r="H37" s="12">
        <v>200521</v>
      </c>
      <c r="I37" s="12">
        <v>0</v>
      </c>
      <c r="J37" s="12"/>
      <c r="K37" s="12" t="s">
        <v>25</v>
      </c>
      <c r="L37" s="12">
        <v>51</v>
      </c>
      <c r="M37" s="12">
        <v>368</v>
      </c>
      <c r="N37" s="12">
        <v>74</v>
      </c>
      <c r="O37" s="27">
        <f>SUM(O6:O36)</f>
        <v>493</v>
      </c>
      <c r="P37" s="1"/>
    </row>
    <row r="38" spans="1:16" x14ac:dyDescent="0.3">
      <c r="A38" s="11" t="s">
        <v>19</v>
      </c>
      <c r="B38" s="60">
        <v>144480</v>
      </c>
      <c r="C38" s="60"/>
      <c r="D38" s="12">
        <v>37967</v>
      </c>
      <c r="E38" s="12">
        <v>4440</v>
      </c>
      <c r="F38" s="12">
        <v>5105</v>
      </c>
      <c r="G38" s="12">
        <v>8529</v>
      </c>
      <c r="H38" s="27">
        <v>200521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8BB7-48B7-41DF-83F9-0B86B718754A}">
  <dimension ref="A1:Z46"/>
  <sheetViews>
    <sheetView workbookViewId="0">
      <selection sqref="A1:O2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5"/>
      <c r="Q1" s="15"/>
      <c r="R1" s="15"/>
      <c r="S1" s="15"/>
    </row>
    <row r="2" spans="1:19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5"/>
      <c r="Q2" s="15"/>
      <c r="R2" s="15"/>
      <c r="S2" s="15"/>
    </row>
    <row r="3" spans="1:19" ht="15.6" x14ac:dyDescent="0.3">
      <c r="A3" s="58" t="s">
        <v>35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9" t="s">
        <v>2</v>
      </c>
      <c r="C4" s="59"/>
      <c r="D4" s="10" t="s">
        <v>3</v>
      </c>
      <c r="E4" s="10" t="s">
        <v>4</v>
      </c>
      <c r="F4" s="10" t="s">
        <v>5</v>
      </c>
      <c r="G4" s="10" t="s">
        <v>6</v>
      </c>
      <c r="H4" s="59" t="s">
        <v>7</v>
      </c>
      <c r="I4" s="59" t="s">
        <v>8</v>
      </c>
      <c r="J4" s="2"/>
      <c r="K4" s="61" t="s">
        <v>1</v>
      </c>
      <c r="L4" s="59" t="s">
        <v>9</v>
      </c>
      <c r="M4" s="59" t="s">
        <v>10</v>
      </c>
      <c r="N4" s="59" t="s">
        <v>11</v>
      </c>
      <c r="O4" s="59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9"/>
      <c r="I5" s="59"/>
      <c r="J5" s="2"/>
      <c r="K5" s="61"/>
      <c r="L5" s="59"/>
      <c r="M5" s="59"/>
      <c r="N5" s="59"/>
      <c r="O5" s="59"/>
      <c r="P5" s="1"/>
      <c r="Q5" s="1"/>
      <c r="R5" s="1"/>
      <c r="S5" s="1"/>
    </row>
    <row r="6" spans="1:19" ht="15" thickBot="1" x14ac:dyDescent="0.35">
      <c r="A6" s="3">
        <v>1</v>
      </c>
      <c r="B6" s="4">
        <v>2563</v>
      </c>
      <c r="C6" s="4">
        <v>0</v>
      </c>
      <c r="D6" s="4">
        <v>1357</v>
      </c>
      <c r="E6" s="4">
        <v>161</v>
      </c>
      <c r="F6" s="4">
        <v>176</v>
      </c>
      <c r="G6" s="4">
        <v>331</v>
      </c>
      <c r="H6" s="4">
        <v>4588</v>
      </c>
      <c r="I6" s="4">
        <v>0</v>
      </c>
      <c r="J6" s="5"/>
      <c r="K6" s="3">
        <v>1</v>
      </c>
      <c r="L6" s="54">
        <v>3</v>
      </c>
      <c r="M6" s="54">
        <v>16</v>
      </c>
      <c r="N6" s="54">
        <v>4</v>
      </c>
      <c r="O6" s="4">
        <v>23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2533</v>
      </c>
      <c r="C7" s="4">
        <v>0</v>
      </c>
      <c r="D7" s="4">
        <v>1434</v>
      </c>
      <c r="E7" s="4">
        <v>182</v>
      </c>
      <c r="F7" s="4">
        <v>220</v>
      </c>
      <c r="G7" s="4">
        <v>331</v>
      </c>
      <c r="H7" s="4">
        <v>4700</v>
      </c>
      <c r="I7" s="4">
        <v>0</v>
      </c>
      <c r="J7" s="5"/>
      <c r="K7" s="3">
        <v>2</v>
      </c>
      <c r="L7" s="54">
        <v>1</v>
      </c>
      <c r="M7" s="54">
        <v>16</v>
      </c>
      <c r="N7" s="54">
        <v>0</v>
      </c>
      <c r="O7" s="4">
        <v>17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3057</v>
      </c>
      <c r="C8" s="4">
        <v>0</v>
      </c>
      <c r="D8" s="4">
        <v>1437</v>
      </c>
      <c r="E8" s="4">
        <v>153</v>
      </c>
      <c r="F8" s="4">
        <v>233</v>
      </c>
      <c r="G8" s="4">
        <v>343</v>
      </c>
      <c r="H8" s="4">
        <v>5223</v>
      </c>
      <c r="I8" s="4">
        <v>0</v>
      </c>
      <c r="J8" s="5"/>
      <c r="K8" s="3">
        <v>3</v>
      </c>
      <c r="L8" s="54">
        <v>1</v>
      </c>
      <c r="M8" s="54">
        <v>20</v>
      </c>
      <c r="N8" s="54">
        <v>10</v>
      </c>
      <c r="O8" s="4">
        <v>31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6047</v>
      </c>
      <c r="C9" s="4">
        <v>0</v>
      </c>
      <c r="D9" s="4">
        <v>1364</v>
      </c>
      <c r="E9" s="4">
        <v>146</v>
      </c>
      <c r="F9" s="4">
        <v>180</v>
      </c>
      <c r="G9" s="4">
        <v>297</v>
      </c>
      <c r="H9" s="4">
        <v>8034</v>
      </c>
      <c r="I9" s="4">
        <v>0</v>
      </c>
      <c r="J9" s="5"/>
      <c r="K9" s="3">
        <v>4</v>
      </c>
      <c r="L9" s="54">
        <v>4</v>
      </c>
      <c r="M9" s="54">
        <v>8</v>
      </c>
      <c r="N9" s="54">
        <v>2</v>
      </c>
      <c r="O9" s="4">
        <v>14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6796</v>
      </c>
      <c r="C10" s="4">
        <v>2</v>
      </c>
      <c r="D10" s="4">
        <v>1023</v>
      </c>
      <c r="E10" s="4">
        <v>56</v>
      </c>
      <c r="F10" s="4">
        <v>153</v>
      </c>
      <c r="G10" s="4">
        <v>181</v>
      </c>
      <c r="H10" s="4">
        <v>8211</v>
      </c>
      <c r="I10" s="4">
        <v>0</v>
      </c>
      <c r="J10" s="5"/>
      <c r="K10" s="3">
        <v>5</v>
      </c>
      <c r="L10" s="54">
        <v>3</v>
      </c>
      <c r="M10" s="54">
        <v>6</v>
      </c>
      <c r="N10" s="54">
        <v>5</v>
      </c>
      <c r="O10" s="4">
        <v>14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5782</v>
      </c>
      <c r="C11" s="4">
        <v>2</v>
      </c>
      <c r="D11" s="4">
        <v>1044</v>
      </c>
      <c r="E11" s="4">
        <v>100</v>
      </c>
      <c r="F11" s="4">
        <v>94</v>
      </c>
      <c r="G11" s="4">
        <v>263</v>
      </c>
      <c r="H11" s="4">
        <v>7285</v>
      </c>
      <c r="I11" s="4">
        <v>0</v>
      </c>
      <c r="J11" s="5"/>
      <c r="K11" s="3">
        <v>6</v>
      </c>
      <c r="L11" s="54">
        <v>0</v>
      </c>
      <c r="M11" s="54">
        <v>2</v>
      </c>
      <c r="N11" s="54">
        <v>0</v>
      </c>
      <c r="O11" s="4">
        <v>2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9590</v>
      </c>
      <c r="C12" s="4">
        <v>0</v>
      </c>
      <c r="D12" s="4">
        <v>811</v>
      </c>
      <c r="E12" s="4">
        <v>77</v>
      </c>
      <c r="F12" s="4">
        <v>50</v>
      </c>
      <c r="G12" s="4">
        <v>93</v>
      </c>
      <c r="H12" s="4">
        <v>10621</v>
      </c>
      <c r="I12" s="4">
        <v>0</v>
      </c>
      <c r="J12" s="6"/>
      <c r="K12" s="3">
        <v>7</v>
      </c>
      <c r="L12" s="54">
        <v>0</v>
      </c>
      <c r="M12" s="54">
        <v>2</v>
      </c>
      <c r="N12" s="54">
        <v>0</v>
      </c>
      <c r="O12" s="4">
        <v>2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3007</v>
      </c>
      <c r="C13" s="4">
        <v>0</v>
      </c>
      <c r="D13" s="4">
        <v>1307</v>
      </c>
      <c r="E13" s="4">
        <v>162</v>
      </c>
      <c r="F13" s="4">
        <v>194</v>
      </c>
      <c r="G13" s="4">
        <v>254</v>
      </c>
      <c r="H13" s="4">
        <v>4924</v>
      </c>
      <c r="I13" s="4">
        <v>0</v>
      </c>
      <c r="J13" s="6"/>
      <c r="K13" s="3">
        <v>8</v>
      </c>
      <c r="L13" s="54">
        <v>0</v>
      </c>
      <c r="M13" s="54">
        <v>12</v>
      </c>
      <c r="N13" s="54">
        <v>8</v>
      </c>
      <c r="O13" s="4">
        <v>20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2720</v>
      </c>
      <c r="C14" s="4">
        <v>0</v>
      </c>
      <c r="D14" s="4">
        <v>1478</v>
      </c>
      <c r="E14" s="4">
        <v>206</v>
      </c>
      <c r="F14" s="4">
        <v>223</v>
      </c>
      <c r="G14" s="4">
        <v>365</v>
      </c>
      <c r="H14" s="4">
        <v>4992</v>
      </c>
      <c r="I14" s="4">
        <v>0</v>
      </c>
      <c r="J14" s="6"/>
      <c r="K14" s="3">
        <v>9</v>
      </c>
      <c r="L14" s="54">
        <v>2</v>
      </c>
      <c r="M14" s="54">
        <v>19</v>
      </c>
      <c r="N14" s="54">
        <v>2</v>
      </c>
      <c r="O14" s="4">
        <v>23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2833</v>
      </c>
      <c r="C15" s="4">
        <v>0</v>
      </c>
      <c r="D15" s="4">
        <v>1403</v>
      </c>
      <c r="E15" s="4">
        <v>174</v>
      </c>
      <c r="F15" s="4">
        <v>237</v>
      </c>
      <c r="G15" s="4">
        <v>376</v>
      </c>
      <c r="H15" s="4">
        <v>5023</v>
      </c>
      <c r="I15" s="4">
        <v>0</v>
      </c>
      <c r="J15" s="6"/>
      <c r="K15" s="3">
        <v>10</v>
      </c>
      <c r="L15" s="54">
        <v>4</v>
      </c>
      <c r="M15" s="54">
        <v>16</v>
      </c>
      <c r="N15" s="54">
        <v>7</v>
      </c>
      <c r="O15" s="4">
        <v>27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6366</v>
      </c>
      <c r="C16" s="4">
        <v>0</v>
      </c>
      <c r="D16" s="4">
        <v>1378</v>
      </c>
      <c r="E16" s="4">
        <v>150</v>
      </c>
      <c r="F16" s="4">
        <v>199</v>
      </c>
      <c r="G16" s="4">
        <v>318</v>
      </c>
      <c r="H16" s="4">
        <v>8411</v>
      </c>
      <c r="I16" s="4">
        <v>0</v>
      </c>
      <c r="J16" s="6"/>
      <c r="K16" s="3">
        <v>11</v>
      </c>
      <c r="L16" s="54">
        <v>3</v>
      </c>
      <c r="M16" s="54">
        <v>15</v>
      </c>
      <c r="N16" s="54">
        <v>2</v>
      </c>
      <c r="O16" s="4">
        <v>20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7414</v>
      </c>
      <c r="C17" s="4">
        <v>0</v>
      </c>
      <c r="D17" s="4">
        <v>1065</v>
      </c>
      <c r="E17" s="4">
        <v>89</v>
      </c>
      <c r="F17" s="4">
        <v>139</v>
      </c>
      <c r="G17" s="4">
        <v>169</v>
      </c>
      <c r="H17" s="4">
        <v>8876</v>
      </c>
      <c r="I17" s="4">
        <v>0</v>
      </c>
      <c r="J17" s="6"/>
      <c r="K17" s="3">
        <v>12</v>
      </c>
      <c r="L17" s="54">
        <v>0</v>
      </c>
      <c r="M17" s="54">
        <v>16</v>
      </c>
      <c r="N17" s="54">
        <v>0</v>
      </c>
      <c r="O17" s="4">
        <v>16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6457</v>
      </c>
      <c r="C18" s="4">
        <v>0</v>
      </c>
      <c r="D18" s="4">
        <v>1058</v>
      </c>
      <c r="E18" s="4">
        <v>126</v>
      </c>
      <c r="F18" s="4">
        <v>114</v>
      </c>
      <c r="G18" s="4">
        <v>302</v>
      </c>
      <c r="H18" s="4">
        <v>8057</v>
      </c>
      <c r="I18" s="4">
        <v>0</v>
      </c>
      <c r="J18" s="6"/>
      <c r="K18" s="3">
        <v>13</v>
      </c>
      <c r="L18" s="54">
        <v>2</v>
      </c>
      <c r="M18" s="54">
        <v>3</v>
      </c>
      <c r="N18" s="54">
        <v>0</v>
      </c>
      <c r="O18" s="4">
        <v>5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10862</v>
      </c>
      <c r="C19" s="4">
        <v>0</v>
      </c>
      <c r="D19" s="4">
        <v>781</v>
      </c>
      <c r="E19" s="4">
        <v>67</v>
      </c>
      <c r="F19" s="4">
        <v>49</v>
      </c>
      <c r="G19" s="4">
        <v>100</v>
      </c>
      <c r="H19" s="4">
        <v>11859</v>
      </c>
      <c r="I19" s="4">
        <v>0</v>
      </c>
      <c r="J19" s="6"/>
      <c r="K19" s="3">
        <v>14</v>
      </c>
      <c r="L19" s="54">
        <v>0</v>
      </c>
      <c r="M19" s="54">
        <v>3</v>
      </c>
      <c r="N19" s="54">
        <v>2</v>
      </c>
      <c r="O19" s="4">
        <v>5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3051</v>
      </c>
      <c r="C20" s="4">
        <v>0</v>
      </c>
      <c r="D20" s="4">
        <v>1329</v>
      </c>
      <c r="E20" s="4">
        <v>146</v>
      </c>
      <c r="F20" s="4">
        <v>169</v>
      </c>
      <c r="G20" s="4">
        <v>304</v>
      </c>
      <c r="H20" s="4">
        <v>4999</v>
      </c>
      <c r="I20" s="4">
        <v>0</v>
      </c>
      <c r="J20" s="6"/>
      <c r="K20" s="3">
        <v>15</v>
      </c>
      <c r="L20" s="54">
        <v>3</v>
      </c>
      <c r="M20" s="54">
        <v>21</v>
      </c>
      <c r="N20" s="54">
        <v>2</v>
      </c>
      <c r="O20" s="4">
        <v>26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2656</v>
      </c>
      <c r="C21" s="4">
        <v>2</v>
      </c>
      <c r="D21" s="4">
        <v>1471</v>
      </c>
      <c r="E21" s="4">
        <v>213</v>
      </c>
      <c r="F21" s="4">
        <v>210</v>
      </c>
      <c r="G21" s="4">
        <v>331</v>
      </c>
      <c r="H21" s="4">
        <v>4883</v>
      </c>
      <c r="I21" s="4">
        <v>0</v>
      </c>
      <c r="J21" s="6"/>
      <c r="K21" s="3">
        <v>16</v>
      </c>
      <c r="L21" s="54">
        <v>0</v>
      </c>
      <c r="M21" s="54">
        <v>19</v>
      </c>
      <c r="N21" s="54">
        <v>2</v>
      </c>
      <c r="O21" s="4">
        <v>21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2872</v>
      </c>
      <c r="C22" s="4">
        <v>0</v>
      </c>
      <c r="D22" s="4">
        <v>1445</v>
      </c>
      <c r="E22" s="4">
        <v>189</v>
      </c>
      <c r="F22" s="4">
        <v>213</v>
      </c>
      <c r="G22" s="4">
        <v>382</v>
      </c>
      <c r="H22" s="4">
        <v>5101</v>
      </c>
      <c r="I22" s="4">
        <v>0</v>
      </c>
      <c r="J22" s="6"/>
      <c r="K22" s="3">
        <v>17</v>
      </c>
      <c r="L22" s="54">
        <v>2</v>
      </c>
      <c r="M22" s="54">
        <v>19</v>
      </c>
      <c r="N22" s="54">
        <v>6</v>
      </c>
      <c r="O22" s="4">
        <v>27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3592</v>
      </c>
      <c r="C23" s="4">
        <v>0</v>
      </c>
      <c r="D23" s="4">
        <v>1376</v>
      </c>
      <c r="E23" s="4">
        <v>179</v>
      </c>
      <c r="F23" s="4">
        <v>179</v>
      </c>
      <c r="G23" s="4">
        <v>332</v>
      </c>
      <c r="H23" s="4">
        <v>5658</v>
      </c>
      <c r="I23" s="4">
        <v>0</v>
      </c>
      <c r="J23" s="6"/>
      <c r="K23" s="3">
        <v>18</v>
      </c>
      <c r="L23" s="54">
        <v>1</v>
      </c>
      <c r="M23" s="54">
        <v>16</v>
      </c>
      <c r="N23" s="54">
        <v>2</v>
      </c>
      <c r="O23" s="4">
        <v>19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3773</v>
      </c>
      <c r="C24" s="4">
        <v>0</v>
      </c>
      <c r="D24" s="4">
        <v>1208</v>
      </c>
      <c r="E24" s="4">
        <v>137</v>
      </c>
      <c r="F24" s="4">
        <v>172</v>
      </c>
      <c r="G24" s="4">
        <v>287</v>
      </c>
      <c r="H24" s="4">
        <v>5577</v>
      </c>
      <c r="I24" s="4">
        <v>0</v>
      </c>
      <c r="J24" s="6"/>
      <c r="K24" s="3">
        <v>19</v>
      </c>
      <c r="L24" s="54">
        <v>1</v>
      </c>
      <c r="M24" s="54">
        <v>8</v>
      </c>
      <c r="N24" s="54">
        <v>3</v>
      </c>
      <c r="O24" s="4">
        <v>12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4502</v>
      </c>
      <c r="C25" s="4">
        <v>0</v>
      </c>
      <c r="D25" s="4">
        <v>1029</v>
      </c>
      <c r="E25" s="4">
        <v>98</v>
      </c>
      <c r="F25" s="4">
        <v>116</v>
      </c>
      <c r="G25" s="4">
        <v>263</v>
      </c>
      <c r="H25" s="4">
        <v>6008</v>
      </c>
      <c r="I25" s="4">
        <v>0</v>
      </c>
      <c r="J25" s="6"/>
      <c r="K25" s="3">
        <v>20</v>
      </c>
      <c r="L25" s="54">
        <v>2</v>
      </c>
      <c r="M25" s="54">
        <v>9</v>
      </c>
      <c r="N25" s="54">
        <v>0</v>
      </c>
      <c r="O25" s="4">
        <v>11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2935</v>
      </c>
      <c r="C26" s="4">
        <v>0</v>
      </c>
      <c r="D26" s="4">
        <v>1273</v>
      </c>
      <c r="E26" s="4">
        <v>200</v>
      </c>
      <c r="F26" s="4">
        <v>209</v>
      </c>
      <c r="G26" s="4">
        <v>305</v>
      </c>
      <c r="H26" s="4">
        <v>4922</v>
      </c>
      <c r="I26" s="4">
        <v>0</v>
      </c>
      <c r="J26" s="6"/>
      <c r="K26" s="3">
        <v>21</v>
      </c>
      <c r="L26" s="54">
        <v>1</v>
      </c>
      <c r="M26" s="54">
        <v>24</v>
      </c>
      <c r="N26" s="54">
        <v>6</v>
      </c>
      <c r="O26" s="4">
        <v>31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4102</v>
      </c>
      <c r="C27" s="4">
        <v>0</v>
      </c>
      <c r="D27" s="4">
        <v>1472</v>
      </c>
      <c r="E27" s="4">
        <v>208</v>
      </c>
      <c r="F27" s="4">
        <v>205</v>
      </c>
      <c r="G27" s="4">
        <v>388</v>
      </c>
      <c r="H27" s="4">
        <v>6375</v>
      </c>
      <c r="I27" s="4">
        <v>0</v>
      </c>
      <c r="J27" s="6"/>
      <c r="K27" s="3">
        <v>22</v>
      </c>
      <c r="L27" s="54">
        <v>5</v>
      </c>
      <c r="M27" s="54">
        <v>14</v>
      </c>
      <c r="N27" s="54">
        <v>5</v>
      </c>
      <c r="O27" s="4">
        <v>24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3105</v>
      </c>
      <c r="C28" s="4">
        <v>0</v>
      </c>
      <c r="D28" s="4">
        <v>1527</v>
      </c>
      <c r="E28" s="4">
        <v>228</v>
      </c>
      <c r="F28" s="4">
        <v>215</v>
      </c>
      <c r="G28" s="4">
        <v>406</v>
      </c>
      <c r="H28" s="4">
        <v>5481</v>
      </c>
      <c r="I28" s="4">
        <v>0</v>
      </c>
      <c r="J28" s="6"/>
      <c r="K28" s="3">
        <v>23</v>
      </c>
      <c r="L28" s="54">
        <v>0</v>
      </c>
      <c r="M28" s="54">
        <v>21</v>
      </c>
      <c r="N28" s="54">
        <v>0</v>
      </c>
      <c r="O28" s="4">
        <v>21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4082</v>
      </c>
      <c r="C29" s="4">
        <v>0</v>
      </c>
      <c r="D29" s="4">
        <v>1585</v>
      </c>
      <c r="E29" s="4">
        <v>239</v>
      </c>
      <c r="F29" s="4">
        <v>234</v>
      </c>
      <c r="G29" s="4">
        <v>365</v>
      </c>
      <c r="H29" s="4">
        <v>6505</v>
      </c>
      <c r="I29" s="4">
        <v>0</v>
      </c>
      <c r="J29" s="6"/>
      <c r="K29" s="3">
        <v>24</v>
      </c>
      <c r="L29" s="54">
        <v>2</v>
      </c>
      <c r="M29" s="54">
        <v>15</v>
      </c>
      <c r="N29" s="54">
        <v>6</v>
      </c>
      <c r="O29" s="4">
        <v>23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4491</v>
      </c>
      <c r="C30" s="4">
        <v>0</v>
      </c>
      <c r="D30" s="4">
        <v>1390</v>
      </c>
      <c r="E30" s="4">
        <v>156</v>
      </c>
      <c r="F30" s="4">
        <v>203</v>
      </c>
      <c r="G30" s="4">
        <v>344</v>
      </c>
      <c r="H30" s="4">
        <v>6584</v>
      </c>
      <c r="I30" s="4">
        <v>0</v>
      </c>
      <c r="J30" s="6"/>
      <c r="K30" s="3">
        <v>25</v>
      </c>
      <c r="L30" s="54">
        <v>1</v>
      </c>
      <c r="M30" s="54">
        <v>25</v>
      </c>
      <c r="N30" s="54">
        <v>3</v>
      </c>
      <c r="O30" s="4">
        <v>29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4502</v>
      </c>
      <c r="C31" s="4">
        <v>0</v>
      </c>
      <c r="D31" s="4">
        <v>1184</v>
      </c>
      <c r="E31" s="4">
        <v>121</v>
      </c>
      <c r="F31" s="4">
        <v>184</v>
      </c>
      <c r="G31" s="4">
        <v>298</v>
      </c>
      <c r="H31" s="4">
        <v>6289</v>
      </c>
      <c r="I31" s="4">
        <v>0</v>
      </c>
      <c r="J31" s="6"/>
      <c r="K31" s="3">
        <v>26</v>
      </c>
      <c r="L31" s="54">
        <v>2</v>
      </c>
      <c r="M31" s="54">
        <v>5</v>
      </c>
      <c r="N31" s="54">
        <v>0</v>
      </c>
      <c r="O31" s="4">
        <v>7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5945</v>
      </c>
      <c r="C32" s="4">
        <v>0</v>
      </c>
      <c r="D32" s="4">
        <v>1119</v>
      </c>
      <c r="E32" s="4">
        <v>105</v>
      </c>
      <c r="F32" s="4">
        <v>98</v>
      </c>
      <c r="G32" s="4">
        <v>258</v>
      </c>
      <c r="H32" s="4">
        <v>7525</v>
      </c>
      <c r="I32" s="4">
        <v>0</v>
      </c>
      <c r="J32" s="6"/>
      <c r="K32" s="3">
        <v>27</v>
      </c>
      <c r="L32" s="54">
        <v>2</v>
      </c>
      <c r="M32" s="54">
        <v>13</v>
      </c>
      <c r="N32" s="54">
        <v>1</v>
      </c>
      <c r="O32" s="4">
        <v>16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3001</v>
      </c>
      <c r="C33" s="4">
        <v>2</v>
      </c>
      <c r="D33" s="4">
        <v>1274</v>
      </c>
      <c r="E33" s="4">
        <v>157</v>
      </c>
      <c r="F33" s="4">
        <v>178</v>
      </c>
      <c r="G33" s="4">
        <v>309</v>
      </c>
      <c r="H33" s="4">
        <v>4921</v>
      </c>
      <c r="I33" s="4">
        <v>0</v>
      </c>
      <c r="J33" s="6"/>
      <c r="K33" s="3">
        <v>28</v>
      </c>
      <c r="L33" s="54">
        <v>0</v>
      </c>
      <c r="M33" s="54">
        <v>6</v>
      </c>
      <c r="N33" s="54">
        <v>2</v>
      </c>
      <c r="O33" s="4">
        <v>8</v>
      </c>
      <c r="P33" s="19">
        <v>6135</v>
      </c>
    </row>
    <row r="34" spans="1:16" ht="15.6" thickTop="1" thickBot="1" x14ac:dyDescent="0.35">
      <c r="A34" s="3">
        <v>29</v>
      </c>
      <c r="B34" s="4">
        <v>2940</v>
      </c>
      <c r="C34" s="4">
        <v>0</v>
      </c>
      <c r="D34" s="4">
        <v>1410</v>
      </c>
      <c r="E34" s="4">
        <v>167</v>
      </c>
      <c r="F34" s="4">
        <v>182</v>
      </c>
      <c r="G34" s="4">
        <v>332</v>
      </c>
      <c r="H34" s="4">
        <v>5031</v>
      </c>
      <c r="I34" s="4">
        <v>0</v>
      </c>
      <c r="J34" s="6"/>
      <c r="K34" s="3">
        <v>29</v>
      </c>
      <c r="L34" s="4">
        <v>0</v>
      </c>
      <c r="M34" s="4">
        <v>9</v>
      </c>
      <c r="N34" s="4">
        <v>8</v>
      </c>
      <c r="O34" s="4">
        <v>17</v>
      </c>
      <c r="P34" s="19">
        <v>6135</v>
      </c>
    </row>
    <row r="35" spans="1:16" ht="15.6" thickTop="1" thickBot="1" x14ac:dyDescent="0.35">
      <c r="A35" s="3">
        <v>30</v>
      </c>
      <c r="B35" s="4">
        <v>2971</v>
      </c>
      <c r="C35" s="4">
        <v>4</v>
      </c>
      <c r="D35" s="4">
        <v>1493</v>
      </c>
      <c r="E35" s="4">
        <v>196</v>
      </c>
      <c r="F35" s="4">
        <v>246</v>
      </c>
      <c r="G35" s="4">
        <v>421</v>
      </c>
      <c r="H35" s="4">
        <v>5331</v>
      </c>
      <c r="I35" s="4">
        <v>0</v>
      </c>
      <c r="J35" s="6"/>
      <c r="K35" s="3">
        <v>30</v>
      </c>
      <c r="L35" s="4">
        <v>3</v>
      </c>
      <c r="M35" s="4">
        <v>14</v>
      </c>
      <c r="N35" s="4">
        <v>5</v>
      </c>
      <c r="O35" s="4">
        <v>22</v>
      </c>
      <c r="P35" s="19">
        <v>6135</v>
      </c>
    </row>
    <row r="36" spans="1:16" ht="15.6" hidden="1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11" t="s">
        <v>19</v>
      </c>
      <c r="B37" s="12">
        <v>134547</v>
      </c>
      <c r="C37" s="12">
        <v>12</v>
      </c>
      <c r="D37" s="12">
        <v>38525</v>
      </c>
      <c r="E37" s="12">
        <v>4588</v>
      </c>
      <c r="F37" s="12">
        <v>5274</v>
      </c>
      <c r="G37" s="12">
        <v>9048</v>
      </c>
      <c r="H37" s="12">
        <v>191994</v>
      </c>
      <c r="I37" s="12">
        <v>0</v>
      </c>
      <c r="J37" s="12"/>
      <c r="K37" s="12" t="s">
        <v>25</v>
      </c>
      <c r="L37" s="12">
        <v>48</v>
      </c>
      <c r="M37" s="12">
        <v>392</v>
      </c>
      <c r="N37" s="12">
        <v>93</v>
      </c>
      <c r="O37" s="27">
        <f>SUM(O6:O36)</f>
        <v>533</v>
      </c>
      <c r="P37" s="1"/>
    </row>
    <row r="38" spans="1:16" x14ac:dyDescent="0.3">
      <c r="A38" s="11" t="s">
        <v>19</v>
      </c>
      <c r="B38" s="60">
        <v>134559</v>
      </c>
      <c r="C38" s="60"/>
      <c r="D38" s="12">
        <v>38525</v>
      </c>
      <c r="E38" s="12">
        <v>4588</v>
      </c>
      <c r="F38" s="12">
        <v>5274</v>
      </c>
      <c r="G38" s="12">
        <v>9048</v>
      </c>
      <c r="H38" s="27">
        <v>191994</v>
      </c>
      <c r="I38" s="12">
        <v>0</v>
      </c>
      <c r="J38" s="7"/>
      <c r="K38" s="8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17C5-85E9-4DCB-8F2D-681550248ECE}">
  <dimension ref="A1:Z46"/>
  <sheetViews>
    <sheetView workbookViewId="0">
      <selection activeCell="O37" sqref="O37"/>
    </sheetView>
  </sheetViews>
  <sheetFormatPr baseColWidth="10" defaultColWidth="11.44140625" defaultRowHeight="13.8" x14ac:dyDescent="0.3"/>
  <cols>
    <col min="1" max="9" width="12.6640625" style="42" customWidth="1"/>
    <col min="10" max="10" width="4.6640625" style="42" customWidth="1"/>
    <col min="11" max="11" width="12.5546875" style="31" customWidth="1"/>
    <col min="12" max="15" width="12.5546875" style="42" customWidth="1"/>
    <col min="16" max="16" width="0" style="42" hidden="1" customWidth="1"/>
    <col min="17" max="16384" width="11.44140625" style="42"/>
  </cols>
  <sheetData>
    <row r="1" spans="1:19" s="33" customFormat="1" ht="15.6" x14ac:dyDescent="0.3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33" customFormat="1" ht="15.6" x14ac:dyDescent="0.3">
      <c r="A2" s="57" t="s">
        <v>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s="33" customFormat="1" ht="15.6" x14ac:dyDescent="0.3">
      <c r="A3" s="64" t="s">
        <v>36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9" ht="78" customHeight="1" x14ac:dyDescent="0.3">
      <c r="A4" s="65" t="s">
        <v>1</v>
      </c>
      <c r="B4" s="62" t="s">
        <v>2</v>
      </c>
      <c r="C4" s="62"/>
      <c r="D4" s="28" t="s">
        <v>3</v>
      </c>
      <c r="E4" s="28" t="s">
        <v>4</v>
      </c>
      <c r="F4" s="28" t="s">
        <v>5</v>
      </c>
      <c r="G4" s="28" t="s">
        <v>6</v>
      </c>
      <c r="H4" s="62" t="s">
        <v>7</v>
      </c>
      <c r="I4" s="62" t="s">
        <v>8</v>
      </c>
      <c r="J4" s="34"/>
      <c r="K4" s="67" t="s">
        <v>1</v>
      </c>
      <c r="L4" s="62" t="s">
        <v>9</v>
      </c>
      <c r="M4" s="62" t="s">
        <v>10</v>
      </c>
      <c r="N4" s="62" t="s">
        <v>11</v>
      </c>
      <c r="O4" s="62" t="s">
        <v>12</v>
      </c>
    </row>
    <row r="5" spans="1:19" ht="18" customHeight="1" x14ac:dyDescent="0.3">
      <c r="A5" s="66"/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62"/>
      <c r="I5" s="62"/>
      <c r="J5" s="34"/>
      <c r="K5" s="67"/>
      <c r="L5" s="62"/>
      <c r="M5" s="62"/>
      <c r="N5" s="62"/>
      <c r="O5" s="62"/>
    </row>
    <row r="6" spans="1:19" ht="18" customHeight="1" thickBot="1" x14ac:dyDescent="0.35">
      <c r="A6" s="35">
        <v>1</v>
      </c>
      <c r="B6" s="43">
        <v>3371</v>
      </c>
      <c r="C6" s="43">
        <v>0</v>
      </c>
      <c r="D6" s="43">
        <v>1442</v>
      </c>
      <c r="E6" s="43">
        <v>199</v>
      </c>
      <c r="F6" s="43">
        <v>224</v>
      </c>
      <c r="G6" s="43">
        <v>354</v>
      </c>
      <c r="H6" s="43">
        <f>SUM(B6:G6)</f>
        <v>5590</v>
      </c>
      <c r="I6" s="43">
        <v>0</v>
      </c>
      <c r="J6" s="47"/>
      <c r="K6" s="35">
        <v>1</v>
      </c>
      <c r="L6" s="36">
        <v>2</v>
      </c>
      <c r="M6" s="36">
        <v>15</v>
      </c>
      <c r="N6" s="36">
        <v>2</v>
      </c>
      <c r="O6" s="43">
        <f>SUM(L6:N6)</f>
        <v>19</v>
      </c>
      <c r="P6" s="30">
        <v>6135</v>
      </c>
    </row>
    <row r="7" spans="1:19" ht="18" customHeight="1" thickTop="1" thickBot="1" x14ac:dyDescent="0.35">
      <c r="A7" s="35">
        <v>2</v>
      </c>
      <c r="B7" s="43">
        <v>4464</v>
      </c>
      <c r="C7" s="43">
        <v>0</v>
      </c>
      <c r="D7" s="43">
        <v>1393</v>
      </c>
      <c r="E7" s="43">
        <v>104</v>
      </c>
      <c r="F7" s="43">
        <v>189</v>
      </c>
      <c r="G7" s="43">
        <v>322</v>
      </c>
      <c r="H7" s="43">
        <f>SUM(B7:G7)</f>
        <v>6472</v>
      </c>
      <c r="I7" s="43">
        <v>0</v>
      </c>
      <c r="J7" s="47"/>
      <c r="K7" s="35">
        <v>2</v>
      </c>
      <c r="L7" s="36">
        <v>1</v>
      </c>
      <c r="M7" s="36">
        <v>11</v>
      </c>
      <c r="N7" s="36">
        <v>4</v>
      </c>
      <c r="O7" s="43">
        <f t="shared" ref="O7:O36" si="0">SUM(L7:N7)</f>
        <v>16</v>
      </c>
      <c r="P7" s="30">
        <f>+P6</f>
        <v>6135</v>
      </c>
    </row>
    <row r="8" spans="1:19" ht="18" customHeight="1" thickTop="1" thickBot="1" x14ac:dyDescent="0.35">
      <c r="A8" s="35">
        <v>3</v>
      </c>
      <c r="B8" s="43">
        <v>4294</v>
      </c>
      <c r="C8" s="43">
        <v>0</v>
      </c>
      <c r="D8" s="43">
        <v>1209</v>
      </c>
      <c r="E8" s="43">
        <v>108</v>
      </c>
      <c r="F8" s="43">
        <v>172</v>
      </c>
      <c r="G8" s="43">
        <v>270</v>
      </c>
      <c r="H8" s="43">
        <f t="shared" ref="H8:H36" si="1">SUM(B8:G8)</f>
        <v>6053</v>
      </c>
      <c r="I8" s="43">
        <v>0</v>
      </c>
      <c r="J8" s="47"/>
      <c r="K8" s="35">
        <v>3</v>
      </c>
      <c r="L8" s="36">
        <v>3</v>
      </c>
      <c r="M8" s="36">
        <v>10</v>
      </c>
      <c r="N8" s="36">
        <v>6</v>
      </c>
      <c r="O8" s="43">
        <f t="shared" si="0"/>
        <v>19</v>
      </c>
      <c r="P8" s="30">
        <f t="shared" ref="P8:P36" si="2">+P7</f>
        <v>6135</v>
      </c>
      <c r="S8" s="48"/>
    </row>
    <row r="9" spans="1:19" ht="18" customHeight="1" thickTop="1" thickBot="1" x14ac:dyDescent="0.35">
      <c r="A9" s="35">
        <v>4</v>
      </c>
      <c r="B9" s="43">
        <v>5725</v>
      </c>
      <c r="C9" s="43">
        <v>0</v>
      </c>
      <c r="D9" s="43">
        <v>1140</v>
      </c>
      <c r="E9" s="43">
        <v>113</v>
      </c>
      <c r="F9" s="43">
        <v>92</v>
      </c>
      <c r="G9" s="43">
        <v>224</v>
      </c>
      <c r="H9" s="43">
        <f t="shared" si="1"/>
        <v>7294</v>
      </c>
      <c r="I9" s="43">
        <v>0</v>
      </c>
      <c r="J9" s="47"/>
      <c r="K9" s="35">
        <v>4</v>
      </c>
      <c r="L9" s="36">
        <v>0</v>
      </c>
      <c r="M9" s="36">
        <v>10</v>
      </c>
      <c r="N9" s="36">
        <v>0</v>
      </c>
      <c r="O9" s="43">
        <f t="shared" si="0"/>
        <v>10</v>
      </c>
      <c r="P9" s="30">
        <f t="shared" si="2"/>
        <v>6135</v>
      </c>
    </row>
    <row r="10" spans="1:19" ht="18" customHeight="1" thickTop="1" thickBot="1" x14ac:dyDescent="0.35">
      <c r="A10" s="35">
        <v>5</v>
      </c>
      <c r="B10" s="43">
        <v>3498</v>
      </c>
      <c r="C10" s="43">
        <v>2</v>
      </c>
      <c r="D10" s="43">
        <v>1339</v>
      </c>
      <c r="E10" s="43">
        <v>148</v>
      </c>
      <c r="F10" s="43">
        <v>180</v>
      </c>
      <c r="G10" s="43">
        <v>292</v>
      </c>
      <c r="H10" s="43">
        <f t="shared" si="1"/>
        <v>5459</v>
      </c>
      <c r="I10" s="43">
        <v>0</v>
      </c>
      <c r="J10" s="47"/>
      <c r="K10" s="35">
        <v>5</v>
      </c>
      <c r="L10" s="36">
        <v>1</v>
      </c>
      <c r="M10" s="36">
        <v>12</v>
      </c>
      <c r="N10" s="36">
        <v>4</v>
      </c>
      <c r="O10" s="43">
        <f t="shared" si="0"/>
        <v>17</v>
      </c>
      <c r="P10" s="30">
        <f t="shared" si="2"/>
        <v>6135</v>
      </c>
    </row>
    <row r="11" spans="1:19" ht="18" customHeight="1" thickTop="1" thickBot="1" x14ac:dyDescent="0.35">
      <c r="A11" s="35">
        <v>6</v>
      </c>
      <c r="B11" s="43">
        <v>3519</v>
      </c>
      <c r="C11" s="43">
        <v>0</v>
      </c>
      <c r="D11" s="43">
        <v>1489</v>
      </c>
      <c r="E11" s="43">
        <v>123</v>
      </c>
      <c r="F11" s="43">
        <v>208</v>
      </c>
      <c r="G11" s="43">
        <v>341</v>
      </c>
      <c r="H11" s="43">
        <f t="shared" si="1"/>
        <v>5680</v>
      </c>
      <c r="I11" s="43">
        <v>0</v>
      </c>
      <c r="J11" s="47"/>
      <c r="K11" s="35">
        <v>6</v>
      </c>
      <c r="L11" s="36">
        <v>1</v>
      </c>
      <c r="M11" s="36">
        <v>11</v>
      </c>
      <c r="N11" s="36">
        <v>5</v>
      </c>
      <c r="O11" s="43">
        <f t="shared" si="0"/>
        <v>17</v>
      </c>
      <c r="P11" s="30">
        <f t="shared" si="2"/>
        <v>6135</v>
      </c>
    </row>
    <row r="12" spans="1:19" ht="18" customHeight="1" thickTop="1" thickBot="1" x14ac:dyDescent="0.35">
      <c r="A12" s="35">
        <v>7</v>
      </c>
      <c r="B12" s="43">
        <v>4985</v>
      </c>
      <c r="C12" s="43">
        <v>2</v>
      </c>
      <c r="D12" s="43">
        <v>1325</v>
      </c>
      <c r="E12" s="43">
        <v>112</v>
      </c>
      <c r="F12" s="43">
        <v>191</v>
      </c>
      <c r="G12" s="43">
        <v>327</v>
      </c>
      <c r="H12" s="43">
        <f t="shared" si="1"/>
        <v>6942</v>
      </c>
      <c r="I12" s="43">
        <v>0</v>
      </c>
      <c r="J12" s="37"/>
      <c r="K12" s="35">
        <v>7</v>
      </c>
      <c r="L12" s="36">
        <v>0</v>
      </c>
      <c r="M12" s="36">
        <v>17</v>
      </c>
      <c r="N12" s="36">
        <v>5</v>
      </c>
      <c r="O12" s="43">
        <f t="shared" si="0"/>
        <v>22</v>
      </c>
      <c r="P12" s="30">
        <f t="shared" si="2"/>
        <v>6135</v>
      </c>
    </row>
    <row r="13" spans="1:19" ht="18" customHeight="1" thickTop="1" thickBot="1" x14ac:dyDescent="0.35">
      <c r="A13" s="35">
        <v>8</v>
      </c>
      <c r="B13" s="43">
        <v>5265</v>
      </c>
      <c r="C13" s="43">
        <v>0</v>
      </c>
      <c r="D13" s="43">
        <v>1106</v>
      </c>
      <c r="E13" s="43">
        <v>92</v>
      </c>
      <c r="F13" s="43">
        <v>126</v>
      </c>
      <c r="G13" s="43">
        <v>240</v>
      </c>
      <c r="H13" s="43">
        <f t="shared" si="1"/>
        <v>6829</v>
      </c>
      <c r="I13" s="43">
        <v>0</v>
      </c>
      <c r="J13" s="37"/>
      <c r="K13" s="35">
        <v>8</v>
      </c>
      <c r="L13" s="36">
        <v>0</v>
      </c>
      <c r="M13" s="36">
        <v>0</v>
      </c>
      <c r="N13" s="36">
        <v>5</v>
      </c>
      <c r="O13" s="43">
        <f t="shared" si="0"/>
        <v>5</v>
      </c>
      <c r="P13" s="30">
        <f t="shared" si="2"/>
        <v>6135</v>
      </c>
    </row>
    <row r="14" spans="1:19" s="52" customFormat="1" ht="18" customHeight="1" thickTop="1" thickBot="1" x14ac:dyDescent="0.35">
      <c r="A14" s="35">
        <v>9</v>
      </c>
      <c r="B14" s="43">
        <v>4711</v>
      </c>
      <c r="C14" s="43">
        <v>0</v>
      </c>
      <c r="D14" s="43">
        <v>1374</v>
      </c>
      <c r="E14" s="43">
        <v>118</v>
      </c>
      <c r="F14" s="43">
        <v>175</v>
      </c>
      <c r="G14" s="43">
        <v>343</v>
      </c>
      <c r="H14" s="43">
        <f t="shared" si="1"/>
        <v>6721</v>
      </c>
      <c r="I14" s="43">
        <v>0</v>
      </c>
      <c r="J14" s="37"/>
      <c r="K14" s="35">
        <v>9</v>
      </c>
      <c r="L14" s="36">
        <v>2</v>
      </c>
      <c r="M14" s="36">
        <v>11</v>
      </c>
      <c r="N14" s="36">
        <v>3</v>
      </c>
      <c r="O14" s="43">
        <f t="shared" si="0"/>
        <v>16</v>
      </c>
      <c r="P14" s="46">
        <f t="shared" si="2"/>
        <v>6135</v>
      </c>
    </row>
    <row r="15" spans="1:19" ht="18" customHeight="1" thickTop="1" thickBot="1" x14ac:dyDescent="0.35">
      <c r="A15" s="35">
        <v>10</v>
      </c>
      <c r="B15" s="43">
        <v>5203</v>
      </c>
      <c r="C15" s="43">
        <v>2</v>
      </c>
      <c r="D15" s="43">
        <v>1355</v>
      </c>
      <c r="E15" s="43">
        <v>104</v>
      </c>
      <c r="F15" s="43">
        <v>193</v>
      </c>
      <c r="G15" s="43">
        <v>328</v>
      </c>
      <c r="H15" s="43">
        <f t="shared" si="1"/>
        <v>7185</v>
      </c>
      <c r="I15" s="43">
        <v>0</v>
      </c>
      <c r="J15" s="37"/>
      <c r="K15" s="35">
        <v>10</v>
      </c>
      <c r="L15" s="36">
        <v>3</v>
      </c>
      <c r="M15" s="36">
        <v>19</v>
      </c>
      <c r="N15" s="36">
        <v>4</v>
      </c>
      <c r="O15" s="43">
        <f t="shared" si="0"/>
        <v>26</v>
      </c>
      <c r="P15" s="30">
        <f t="shared" si="2"/>
        <v>6135</v>
      </c>
    </row>
    <row r="16" spans="1:19" ht="18" customHeight="1" thickTop="1" thickBot="1" x14ac:dyDescent="0.35">
      <c r="A16" s="35">
        <v>11</v>
      </c>
      <c r="B16" s="43">
        <v>8521</v>
      </c>
      <c r="C16" s="43">
        <v>0</v>
      </c>
      <c r="D16" s="43">
        <v>1048</v>
      </c>
      <c r="E16" s="43">
        <v>111</v>
      </c>
      <c r="F16" s="43">
        <v>107</v>
      </c>
      <c r="G16" s="43">
        <v>203</v>
      </c>
      <c r="H16" s="43">
        <f t="shared" si="1"/>
        <v>9990</v>
      </c>
      <c r="I16" s="43">
        <v>0</v>
      </c>
      <c r="J16" s="37"/>
      <c r="K16" s="35">
        <v>11</v>
      </c>
      <c r="L16" s="36">
        <v>0</v>
      </c>
      <c r="M16" s="36">
        <v>9</v>
      </c>
      <c r="N16" s="36">
        <v>2</v>
      </c>
      <c r="O16" s="43">
        <f t="shared" si="0"/>
        <v>11</v>
      </c>
      <c r="P16" s="30">
        <f t="shared" si="2"/>
        <v>6135</v>
      </c>
    </row>
    <row r="17" spans="1:26" ht="18" customHeight="1" thickTop="1" thickBot="1" x14ac:dyDescent="0.35">
      <c r="A17" s="35">
        <v>12</v>
      </c>
      <c r="B17" s="43">
        <v>3819</v>
      </c>
      <c r="C17" s="43">
        <v>0</v>
      </c>
      <c r="D17" s="43">
        <v>1351</v>
      </c>
      <c r="E17" s="43">
        <v>214</v>
      </c>
      <c r="F17" s="43">
        <v>199</v>
      </c>
      <c r="G17" s="43">
        <v>333</v>
      </c>
      <c r="H17" s="43">
        <f t="shared" si="1"/>
        <v>5916</v>
      </c>
      <c r="I17" s="43">
        <v>0</v>
      </c>
      <c r="J17" s="37"/>
      <c r="K17" s="35">
        <v>12</v>
      </c>
      <c r="L17" s="36">
        <v>3</v>
      </c>
      <c r="M17" s="36">
        <v>16</v>
      </c>
      <c r="N17" s="36">
        <v>2</v>
      </c>
      <c r="O17" s="43">
        <f t="shared" si="0"/>
        <v>21</v>
      </c>
      <c r="P17" s="30">
        <f t="shared" si="2"/>
        <v>6135</v>
      </c>
    </row>
    <row r="18" spans="1:26" ht="18" customHeight="1" thickTop="1" thickBot="1" x14ac:dyDescent="0.35">
      <c r="A18" s="35">
        <v>13</v>
      </c>
      <c r="B18" s="43">
        <v>3392</v>
      </c>
      <c r="C18" s="43">
        <v>0</v>
      </c>
      <c r="D18" s="43">
        <v>1490</v>
      </c>
      <c r="E18" s="43">
        <v>187</v>
      </c>
      <c r="F18" s="43">
        <v>212</v>
      </c>
      <c r="G18" s="43">
        <v>336</v>
      </c>
      <c r="H18" s="43">
        <f t="shared" si="1"/>
        <v>5617</v>
      </c>
      <c r="I18" s="43">
        <v>0</v>
      </c>
      <c r="J18" s="37"/>
      <c r="K18" s="35">
        <v>13</v>
      </c>
      <c r="L18" s="36">
        <v>2</v>
      </c>
      <c r="M18" s="36">
        <v>15</v>
      </c>
      <c r="N18" s="36">
        <v>4</v>
      </c>
      <c r="O18" s="43">
        <f t="shared" si="0"/>
        <v>21</v>
      </c>
      <c r="P18" s="30">
        <f t="shared" si="2"/>
        <v>6135</v>
      </c>
    </row>
    <row r="19" spans="1:26" ht="18" customHeight="1" thickTop="1" thickBot="1" x14ac:dyDescent="0.35">
      <c r="A19" s="35">
        <v>14</v>
      </c>
      <c r="B19" s="43">
        <v>3533</v>
      </c>
      <c r="C19" s="43">
        <v>0</v>
      </c>
      <c r="D19" s="43">
        <v>1568</v>
      </c>
      <c r="E19" s="43">
        <v>155</v>
      </c>
      <c r="F19" s="43">
        <v>238</v>
      </c>
      <c r="G19" s="43">
        <v>335</v>
      </c>
      <c r="H19" s="43">
        <f t="shared" si="1"/>
        <v>5829</v>
      </c>
      <c r="I19" s="43">
        <v>0</v>
      </c>
      <c r="J19" s="37"/>
      <c r="K19" s="35">
        <v>14</v>
      </c>
      <c r="L19" s="36">
        <v>2</v>
      </c>
      <c r="M19" s="36">
        <v>14</v>
      </c>
      <c r="N19" s="36">
        <v>1</v>
      </c>
      <c r="O19" s="43">
        <f t="shared" si="0"/>
        <v>17</v>
      </c>
      <c r="P19" s="30">
        <f t="shared" si="2"/>
        <v>6135</v>
      </c>
    </row>
    <row r="20" spans="1:26" ht="18" customHeight="1" thickTop="1" thickBot="1" x14ac:dyDescent="0.35">
      <c r="A20" s="35">
        <v>15</v>
      </c>
      <c r="B20" s="43">
        <v>3905</v>
      </c>
      <c r="C20" s="43">
        <v>2</v>
      </c>
      <c r="D20" s="43">
        <v>1545</v>
      </c>
      <c r="E20" s="43">
        <v>175</v>
      </c>
      <c r="F20" s="43">
        <v>263</v>
      </c>
      <c r="G20" s="43">
        <v>369</v>
      </c>
      <c r="H20" s="43">
        <f t="shared" si="1"/>
        <v>6259</v>
      </c>
      <c r="I20" s="43">
        <v>0</v>
      </c>
      <c r="J20" s="37"/>
      <c r="K20" s="35">
        <v>15</v>
      </c>
      <c r="L20" s="36">
        <v>2</v>
      </c>
      <c r="M20" s="36">
        <v>19</v>
      </c>
      <c r="N20" s="36">
        <v>6</v>
      </c>
      <c r="O20" s="43">
        <f t="shared" si="0"/>
        <v>27</v>
      </c>
      <c r="P20" s="30">
        <f t="shared" si="2"/>
        <v>6135</v>
      </c>
    </row>
    <row r="21" spans="1:26" ht="18" customHeight="1" thickTop="1" thickBot="1" x14ac:dyDescent="0.35">
      <c r="A21" s="35">
        <v>16</v>
      </c>
      <c r="B21" s="43">
        <v>5534</v>
      </c>
      <c r="C21" s="43">
        <v>0</v>
      </c>
      <c r="D21" s="43">
        <v>1521</v>
      </c>
      <c r="E21" s="43">
        <v>147</v>
      </c>
      <c r="F21" s="43">
        <v>208</v>
      </c>
      <c r="G21" s="43">
        <v>338</v>
      </c>
      <c r="H21" s="43">
        <f t="shared" si="1"/>
        <v>7748</v>
      </c>
      <c r="I21" s="43">
        <v>0</v>
      </c>
      <c r="J21" s="37"/>
      <c r="K21" s="35">
        <v>16</v>
      </c>
      <c r="L21" s="36">
        <v>2</v>
      </c>
      <c r="M21" s="36">
        <v>16</v>
      </c>
      <c r="N21" s="36">
        <v>3</v>
      </c>
      <c r="O21" s="43">
        <f t="shared" si="0"/>
        <v>21</v>
      </c>
      <c r="P21" s="30">
        <f>+P20</f>
        <v>6135</v>
      </c>
    </row>
    <row r="22" spans="1:26" ht="18" customHeight="1" thickTop="1" thickBot="1" x14ac:dyDescent="0.35">
      <c r="A22" s="35">
        <v>17</v>
      </c>
      <c r="B22" s="43">
        <v>5729</v>
      </c>
      <c r="C22" s="43">
        <v>0</v>
      </c>
      <c r="D22" s="43">
        <v>1339</v>
      </c>
      <c r="E22" s="43">
        <v>145</v>
      </c>
      <c r="F22" s="43">
        <v>195</v>
      </c>
      <c r="G22" s="43">
        <v>268</v>
      </c>
      <c r="H22" s="43">
        <f>SUM(B22:G22)</f>
        <v>7676</v>
      </c>
      <c r="I22" s="43">
        <v>0</v>
      </c>
      <c r="J22" s="37"/>
      <c r="K22" s="35">
        <v>17</v>
      </c>
      <c r="L22" s="36">
        <v>1</v>
      </c>
      <c r="M22" s="36">
        <v>9</v>
      </c>
      <c r="N22" s="36">
        <v>2</v>
      </c>
      <c r="O22" s="43">
        <f t="shared" si="0"/>
        <v>12</v>
      </c>
      <c r="P22" s="30">
        <f t="shared" si="2"/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Top="1" thickBot="1" x14ac:dyDescent="0.35">
      <c r="A23" s="35">
        <v>18</v>
      </c>
      <c r="B23" s="43">
        <v>6676</v>
      </c>
      <c r="C23" s="43">
        <v>0</v>
      </c>
      <c r="D23" s="43">
        <v>1161</v>
      </c>
      <c r="E23" s="43">
        <v>131</v>
      </c>
      <c r="F23" s="43">
        <v>103</v>
      </c>
      <c r="G23" s="43">
        <v>264</v>
      </c>
      <c r="H23" s="43">
        <f t="shared" si="1"/>
        <v>8335</v>
      </c>
      <c r="I23" s="43">
        <v>0</v>
      </c>
      <c r="J23" s="37"/>
      <c r="K23" s="35">
        <v>18</v>
      </c>
      <c r="L23" s="36">
        <v>1</v>
      </c>
      <c r="M23" s="36">
        <v>8</v>
      </c>
      <c r="N23" s="36">
        <v>1</v>
      </c>
      <c r="O23" s="43">
        <f t="shared" si="0"/>
        <v>10</v>
      </c>
      <c r="P23" s="30">
        <f t="shared" si="2"/>
        <v>6135</v>
      </c>
    </row>
    <row r="24" spans="1:26" ht="18" customHeight="1" thickTop="1" thickBot="1" x14ac:dyDescent="0.35">
      <c r="A24" s="35">
        <v>19</v>
      </c>
      <c r="B24" s="43">
        <v>4574</v>
      </c>
      <c r="C24" s="43">
        <v>2</v>
      </c>
      <c r="D24" s="43">
        <v>1375</v>
      </c>
      <c r="E24" s="43">
        <v>182</v>
      </c>
      <c r="F24" s="43">
        <v>210</v>
      </c>
      <c r="G24" s="43">
        <v>331</v>
      </c>
      <c r="H24" s="43">
        <f t="shared" si="1"/>
        <v>6674</v>
      </c>
      <c r="I24" s="43">
        <v>0</v>
      </c>
      <c r="J24" s="37"/>
      <c r="K24" s="35">
        <v>19</v>
      </c>
      <c r="L24" s="36">
        <v>2</v>
      </c>
      <c r="M24" s="36">
        <v>9</v>
      </c>
      <c r="N24" s="36">
        <v>0</v>
      </c>
      <c r="O24" s="43">
        <f t="shared" si="0"/>
        <v>11</v>
      </c>
      <c r="P24" s="30">
        <f t="shared" si="2"/>
        <v>6135</v>
      </c>
    </row>
    <row r="25" spans="1:26" ht="18" customHeight="1" thickTop="1" thickBot="1" x14ac:dyDescent="0.35">
      <c r="A25" s="35">
        <v>20</v>
      </c>
      <c r="B25" s="43">
        <v>4732</v>
      </c>
      <c r="C25" s="43">
        <v>0</v>
      </c>
      <c r="D25" s="43">
        <v>1547</v>
      </c>
      <c r="E25" s="43">
        <v>174</v>
      </c>
      <c r="F25" s="43">
        <v>199</v>
      </c>
      <c r="G25" s="43">
        <v>332</v>
      </c>
      <c r="H25" s="43">
        <f>SUM(B25:G25)</f>
        <v>6984</v>
      </c>
      <c r="I25" s="43">
        <v>0</v>
      </c>
      <c r="J25" s="37"/>
      <c r="K25" s="35">
        <v>20</v>
      </c>
      <c r="L25" s="36">
        <v>2</v>
      </c>
      <c r="M25" s="36">
        <v>16</v>
      </c>
      <c r="N25" s="36">
        <v>2</v>
      </c>
      <c r="O25" s="43">
        <f t="shared" si="0"/>
        <v>20</v>
      </c>
      <c r="P25" s="30">
        <f t="shared" si="2"/>
        <v>6135</v>
      </c>
    </row>
    <row r="26" spans="1:26" ht="18" customHeight="1" thickTop="1" thickBot="1" x14ac:dyDescent="0.35">
      <c r="A26" s="35">
        <v>21</v>
      </c>
      <c r="B26" s="43">
        <v>5709</v>
      </c>
      <c r="C26" s="43">
        <v>0</v>
      </c>
      <c r="D26" s="43">
        <v>1636</v>
      </c>
      <c r="E26" s="43">
        <v>176</v>
      </c>
      <c r="F26" s="43">
        <v>225</v>
      </c>
      <c r="G26" s="43">
        <v>369</v>
      </c>
      <c r="H26" s="43">
        <f>SUM(B26:G26)</f>
        <v>8115</v>
      </c>
      <c r="I26" s="43">
        <v>0</v>
      </c>
      <c r="J26" s="37"/>
      <c r="K26" s="35">
        <v>21</v>
      </c>
      <c r="L26" s="36">
        <v>2</v>
      </c>
      <c r="M26" s="36">
        <v>12</v>
      </c>
      <c r="N26" s="36">
        <v>3</v>
      </c>
      <c r="O26" s="43">
        <f t="shared" si="0"/>
        <v>17</v>
      </c>
      <c r="P26" s="30">
        <f t="shared" si="2"/>
        <v>6135</v>
      </c>
    </row>
    <row r="27" spans="1:26" ht="18" customHeight="1" thickTop="1" thickBot="1" x14ac:dyDescent="0.35">
      <c r="A27" s="35">
        <v>22</v>
      </c>
      <c r="B27" s="43">
        <v>7564</v>
      </c>
      <c r="C27" s="43">
        <v>0</v>
      </c>
      <c r="D27" s="43">
        <v>1978</v>
      </c>
      <c r="E27" s="43">
        <v>178</v>
      </c>
      <c r="F27" s="43">
        <v>234</v>
      </c>
      <c r="G27" s="43">
        <v>334</v>
      </c>
      <c r="H27" s="43">
        <f t="shared" si="1"/>
        <v>10288</v>
      </c>
      <c r="I27" s="43">
        <v>0</v>
      </c>
      <c r="J27" s="37"/>
      <c r="K27" s="35">
        <v>22</v>
      </c>
      <c r="L27" s="36">
        <v>3</v>
      </c>
      <c r="M27" s="36">
        <v>20</v>
      </c>
      <c r="N27" s="36">
        <v>6</v>
      </c>
      <c r="O27" s="43">
        <f t="shared" si="0"/>
        <v>29</v>
      </c>
      <c r="P27" s="30">
        <f t="shared" si="2"/>
        <v>6135</v>
      </c>
    </row>
    <row r="28" spans="1:26" ht="18" customHeight="1" thickTop="1" thickBot="1" x14ac:dyDescent="0.35">
      <c r="A28" s="35">
        <v>23</v>
      </c>
      <c r="B28" s="43">
        <v>10350</v>
      </c>
      <c r="C28" s="43">
        <v>2</v>
      </c>
      <c r="D28" s="43">
        <v>1674</v>
      </c>
      <c r="E28" s="43">
        <v>125</v>
      </c>
      <c r="F28" s="43">
        <v>172</v>
      </c>
      <c r="G28" s="43">
        <v>250</v>
      </c>
      <c r="H28" s="43">
        <f t="shared" si="1"/>
        <v>12573</v>
      </c>
      <c r="I28" s="43">
        <v>0</v>
      </c>
      <c r="J28" s="37"/>
      <c r="K28" s="35">
        <v>23</v>
      </c>
      <c r="L28" s="36">
        <v>3</v>
      </c>
      <c r="M28" s="36">
        <v>16</v>
      </c>
      <c r="N28" s="36">
        <v>2</v>
      </c>
      <c r="O28" s="43">
        <f t="shared" si="0"/>
        <v>21</v>
      </c>
      <c r="P28" s="30">
        <f t="shared" si="2"/>
        <v>6135</v>
      </c>
    </row>
    <row r="29" spans="1:26" ht="18" customHeight="1" thickTop="1" thickBot="1" x14ac:dyDescent="0.35">
      <c r="A29" s="35">
        <v>24</v>
      </c>
      <c r="B29" s="43">
        <v>5033</v>
      </c>
      <c r="C29" s="43">
        <v>0</v>
      </c>
      <c r="D29" s="43">
        <v>785</v>
      </c>
      <c r="E29" s="43">
        <v>39</v>
      </c>
      <c r="F29" s="43">
        <v>78</v>
      </c>
      <c r="G29" s="43">
        <v>81</v>
      </c>
      <c r="H29" s="43">
        <f t="shared" si="1"/>
        <v>6016</v>
      </c>
      <c r="I29" s="43">
        <v>0</v>
      </c>
      <c r="J29" s="37"/>
      <c r="K29" s="35">
        <v>24</v>
      </c>
      <c r="L29" s="36">
        <v>0</v>
      </c>
      <c r="M29" s="36">
        <v>1</v>
      </c>
      <c r="N29" s="36">
        <v>0</v>
      </c>
      <c r="O29" s="43">
        <f t="shared" si="0"/>
        <v>1</v>
      </c>
      <c r="P29" s="30">
        <f t="shared" si="2"/>
        <v>6135</v>
      </c>
    </row>
    <row r="30" spans="1:26" ht="18" customHeight="1" thickTop="1" thickBot="1" x14ac:dyDescent="0.35">
      <c r="A30" s="35">
        <v>25</v>
      </c>
      <c r="B30" s="43">
        <v>8899</v>
      </c>
      <c r="C30" s="43">
        <v>0</v>
      </c>
      <c r="D30" s="43">
        <v>689</v>
      </c>
      <c r="E30" s="43">
        <v>49</v>
      </c>
      <c r="F30" s="43">
        <v>43</v>
      </c>
      <c r="G30" s="43">
        <v>110</v>
      </c>
      <c r="H30" s="43">
        <f t="shared" si="1"/>
        <v>9790</v>
      </c>
      <c r="I30" s="43">
        <v>0</v>
      </c>
      <c r="J30" s="37"/>
      <c r="K30" s="35">
        <v>25</v>
      </c>
      <c r="L30" s="36">
        <v>0</v>
      </c>
      <c r="M30" s="36">
        <v>4</v>
      </c>
      <c r="N30" s="36">
        <v>0</v>
      </c>
      <c r="O30" s="43">
        <f t="shared" si="0"/>
        <v>4</v>
      </c>
      <c r="P30" s="30">
        <f t="shared" si="2"/>
        <v>6135</v>
      </c>
    </row>
    <row r="31" spans="1:26" ht="18" customHeight="1" thickTop="1" thickBot="1" x14ac:dyDescent="0.35">
      <c r="A31" s="35">
        <v>26</v>
      </c>
      <c r="B31" s="43">
        <v>9151</v>
      </c>
      <c r="C31" s="43">
        <v>0</v>
      </c>
      <c r="D31" s="43">
        <v>1344</v>
      </c>
      <c r="E31" s="43">
        <v>173</v>
      </c>
      <c r="F31" s="43">
        <v>207</v>
      </c>
      <c r="G31" s="43">
        <v>357</v>
      </c>
      <c r="H31" s="43">
        <f t="shared" si="1"/>
        <v>11232</v>
      </c>
      <c r="I31" s="43">
        <v>0</v>
      </c>
      <c r="J31" s="37"/>
      <c r="K31" s="35">
        <v>26</v>
      </c>
      <c r="L31" s="36">
        <v>0</v>
      </c>
      <c r="M31" s="36">
        <v>8</v>
      </c>
      <c r="N31" s="36">
        <v>1</v>
      </c>
      <c r="O31" s="43">
        <f t="shared" si="0"/>
        <v>9</v>
      </c>
      <c r="P31" s="30">
        <f t="shared" si="2"/>
        <v>6135</v>
      </c>
    </row>
    <row r="32" spans="1:26" ht="18" customHeight="1" thickTop="1" thickBot="1" x14ac:dyDescent="0.35">
      <c r="A32" s="35">
        <v>27</v>
      </c>
      <c r="B32" s="43">
        <v>8344</v>
      </c>
      <c r="C32" s="43">
        <v>0</v>
      </c>
      <c r="D32" s="43">
        <v>1434</v>
      </c>
      <c r="E32" s="43">
        <v>147</v>
      </c>
      <c r="F32" s="43">
        <v>195</v>
      </c>
      <c r="G32" s="43">
        <v>326</v>
      </c>
      <c r="H32" s="43">
        <f t="shared" si="1"/>
        <v>10446</v>
      </c>
      <c r="I32" s="43">
        <v>0</v>
      </c>
      <c r="J32" s="37"/>
      <c r="K32" s="35">
        <v>27</v>
      </c>
      <c r="L32" s="36">
        <v>1</v>
      </c>
      <c r="M32" s="36">
        <v>12</v>
      </c>
      <c r="N32" s="36">
        <v>3</v>
      </c>
      <c r="O32" s="43">
        <f t="shared" si="0"/>
        <v>16</v>
      </c>
      <c r="P32" s="30">
        <f t="shared" si="2"/>
        <v>6135</v>
      </c>
    </row>
    <row r="33" spans="1:16" ht="18" customHeight="1" thickTop="1" thickBot="1" x14ac:dyDescent="0.35">
      <c r="A33" s="35">
        <v>28</v>
      </c>
      <c r="B33" s="43">
        <v>9722</v>
      </c>
      <c r="C33" s="43">
        <v>0</v>
      </c>
      <c r="D33" s="43">
        <v>1567</v>
      </c>
      <c r="E33" s="43">
        <v>129</v>
      </c>
      <c r="F33" s="43">
        <v>220</v>
      </c>
      <c r="G33" s="43">
        <v>311</v>
      </c>
      <c r="H33" s="43">
        <f t="shared" si="1"/>
        <v>11949</v>
      </c>
      <c r="I33" s="43">
        <v>0</v>
      </c>
      <c r="J33" s="37"/>
      <c r="K33" s="35">
        <v>28</v>
      </c>
      <c r="L33" s="36">
        <v>0</v>
      </c>
      <c r="M33" s="36">
        <v>13</v>
      </c>
      <c r="N33" s="36">
        <v>5</v>
      </c>
      <c r="O33" s="43">
        <f t="shared" si="0"/>
        <v>18</v>
      </c>
      <c r="P33" s="30">
        <f t="shared" si="2"/>
        <v>6135</v>
      </c>
    </row>
    <row r="34" spans="1:16" ht="18" customHeight="1" thickTop="1" thickBot="1" x14ac:dyDescent="0.35">
      <c r="A34" s="35">
        <v>29</v>
      </c>
      <c r="B34" s="43">
        <v>12695</v>
      </c>
      <c r="C34" s="43">
        <v>4</v>
      </c>
      <c r="D34" s="43">
        <v>1609</v>
      </c>
      <c r="E34" s="43">
        <v>130</v>
      </c>
      <c r="F34" s="43">
        <v>160</v>
      </c>
      <c r="G34" s="43">
        <v>293</v>
      </c>
      <c r="H34" s="43">
        <f t="shared" si="1"/>
        <v>14891</v>
      </c>
      <c r="I34" s="43">
        <v>0</v>
      </c>
      <c r="J34" s="37"/>
      <c r="K34" s="35">
        <v>29</v>
      </c>
      <c r="L34" s="43">
        <v>2</v>
      </c>
      <c r="M34" s="43">
        <v>14</v>
      </c>
      <c r="N34" s="43">
        <v>6</v>
      </c>
      <c r="O34" s="43">
        <f t="shared" si="0"/>
        <v>22</v>
      </c>
      <c r="P34" s="30">
        <f t="shared" si="2"/>
        <v>6135</v>
      </c>
    </row>
    <row r="35" spans="1:16" ht="18" customHeight="1" thickTop="1" thickBot="1" x14ac:dyDescent="0.35">
      <c r="A35" s="35">
        <v>30</v>
      </c>
      <c r="B35" s="43">
        <v>17157</v>
      </c>
      <c r="C35" s="43">
        <v>2</v>
      </c>
      <c r="D35" s="43">
        <v>1332</v>
      </c>
      <c r="E35" s="43">
        <v>83</v>
      </c>
      <c r="F35" s="43">
        <v>137</v>
      </c>
      <c r="G35" s="43">
        <v>174</v>
      </c>
      <c r="H35" s="43">
        <f t="shared" si="1"/>
        <v>18885</v>
      </c>
      <c r="I35" s="43">
        <v>0</v>
      </c>
      <c r="J35" s="37"/>
      <c r="K35" s="35">
        <v>30</v>
      </c>
      <c r="L35" s="43">
        <v>0</v>
      </c>
      <c r="M35" s="43">
        <v>12</v>
      </c>
      <c r="N35" s="43">
        <v>3</v>
      </c>
      <c r="O35" s="43">
        <f t="shared" si="0"/>
        <v>15</v>
      </c>
      <c r="P35" s="30">
        <f t="shared" si="2"/>
        <v>6135</v>
      </c>
    </row>
    <row r="36" spans="1:16" ht="18" customHeight="1" thickTop="1" thickBot="1" x14ac:dyDescent="0.35">
      <c r="A36" s="35">
        <v>31</v>
      </c>
      <c r="B36" s="43">
        <v>8121</v>
      </c>
      <c r="C36" s="43">
        <v>4</v>
      </c>
      <c r="D36" s="43">
        <v>629</v>
      </c>
      <c r="E36" s="43">
        <v>18</v>
      </c>
      <c r="F36" s="43">
        <v>47</v>
      </c>
      <c r="G36" s="43">
        <v>44</v>
      </c>
      <c r="H36" s="43">
        <f t="shared" si="1"/>
        <v>8863</v>
      </c>
      <c r="I36" s="43">
        <v>0</v>
      </c>
      <c r="J36" s="37"/>
      <c r="K36" s="35">
        <v>31</v>
      </c>
      <c r="L36" s="43">
        <v>0</v>
      </c>
      <c r="M36" s="43">
        <v>4</v>
      </c>
      <c r="N36" s="43">
        <v>1</v>
      </c>
      <c r="O36" s="43">
        <f t="shared" si="0"/>
        <v>5</v>
      </c>
      <c r="P36" s="30">
        <f t="shared" si="2"/>
        <v>6135</v>
      </c>
    </row>
    <row r="37" spans="1:16" ht="18" customHeight="1" thickTop="1" x14ac:dyDescent="0.3">
      <c r="A37" s="29" t="s">
        <v>19</v>
      </c>
      <c r="B37" s="44">
        <f>SUM(B6:B36)</f>
        <v>198195</v>
      </c>
      <c r="C37" s="44">
        <f t="shared" ref="C37:H37" si="3">SUM(C6:C36)</f>
        <v>22</v>
      </c>
      <c r="D37" s="44">
        <f t="shared" si="3"/>
        <v>41794</v>
      </c>
      <c r="E37" s="44">
        <f t="shared" si="3"/>
        <v>4089</v>
      </c>
      <c r="F37" s="44">
        <f t="shared" si="3"/>
        <v>5402</v>
      </c>
      <c r="G37" s="44">
        <f t="shared" si="3"/>
        <v>8799</v>
      </c>
      <c r="H37" s="44">
        <f t="shared" si="3"/>
        <v>258301</v>
      </c>
      <c r="I37" s="44">
        <f>SUM(I6:I33)</f>
        <v>0</v>
      </c>
      <c r="J37" s="44"/>
      <c r="K37" s="44" t="s">
        <v>25</v>
      </c>
      <c r="L37" s="44">
        <f>SUM(L6:L36)</f>
        <v>41</v>
      </c>
      <c r="M37" s="44">
        <f>SUM(M6:M36)</f>
        <v>363</v>
      </c>
      <c r="N37" s="44">
        <f>SUM(N6:N36)</f>
        <v>91</v>
      </c>
      <c r="O37" s="51">
        <f>SUM(O6:O36)</f>
        <v>495</v>
      </c>
    </row>
    <row r="38" spans="1:16" ht="18" customHeight="1" x14ac:dyDescent="0.3">
      <c r="A38" s="29" t="s">
        <v>19</v>
      </c>
      <c r="B38" s="63">
        <f>+B37+C37</f>
        <v>198217</v>
      </c>
      <c r="C38" s="63"/>
      <c r="D38" s="44">
        <f>+D37</f>
        <v>41794</v>
      </c>
      <c r="E38" s="44">
        <f>+E37</f>
        <v>4089</v>
      </c>
      <c r="F38" s="44">
        <f>+F37</f>
        <v>5402</v>
      </c>
      <c r="G38" s="44">
        <f>+G37</f>
        <v>8799</v>
      </c>
      <c r="H38" s="51">
        <f>+H37</f>
        <v>258301</v>
      </c>
      <c r="I38" s="44">
        <v>0</v>
      </c>
      <c r="J38" s="41"/>
      <c r="K38" s="53"/>
      <c r="L38" s="53" t="s">
        <v>20</v>
      </c>
      <c r="M38" s="53" t="s">
        <v>21</v>
      </c>
      <c r="N38" s="53" t="s">
        <v>20</v>
      </c>
      <c r="O38" s="53" t="s">
        <v>21</v>
      </c>
    </row>
    <row r="39" spans="1:16" ht="18" customHeight="1" x14ac:dyDescent="0.3">
      <c r="A39" s="38" t="s">
        <v>22</v>
      </c>
      <c r="B39" s="49"/>
      <c r="C39" s="49"/>
      <c r="D39" s="49"/>
      <c r="E39" s="49"/>
      <c r="F39" s="49"/>
      <c r="G39" s="49"/>
      <c r="H39" s="49"/>
      <c r="L39" s="39"/>
    </row>
    <row r="40" spans="1:16" x14ac:dyDescent="0.3">
      <c r="A40" s="45"/>
      <c r="B40" s="50"/>
      <c r="C40" s="50"/>
      <c r="D40" s="50"/>
      <c r="E40" s="50"/>
      <c r="F40" s="50"/>
      <c r="G40" s="50"/>
      <c r="H40" s="50"/>
      <c r="I40" s="50"/>
      <c r="J40" s="39"/>
      <c r="K40" s="26"/>
      <c r="L40" s="25"/>
    </row>
    <row r="41" spans="1:16" x14ac:dyDescent="0.3">
      <c r="A41" s="48"/>
      <c r="H41" s="48"/>
      <c r="K41" s="26"/>
      <c r="L41" s="25"/>
    </row>
    <row r="42" spans="1:16" x14ac:dyDescent="0.3">
      <c r="K42" s="26"/>
      <c r="L42" s="25"/>
    </row>
    <row r="43" spans="1:16" x14ac:dyDescent="0.3">
      <c r="I43" s="48"/>
      <c r="J43" s="48"/>
    </row>
    <row r="45" spans="1:16" x14ac:dyDescent="0.3">
      <c r="A45" s="32"/>
    </row>
    <row r="46" spans="1:16" x14ac:dyDescent="0.3">
      <c r="A46" s="32"/>
      <c r="B46" s="48"/>
      <c r="C46" s="48"/>
      <c r="D46" s="48"/>
      <c r="E46" s="48"/>
      <c r="F46" s="48"/>
      <c r="G46" s="48"/>
      <c r="H46" s="48"/>
      <c r="I46" s="48"/>
      <c r="J46" s="48"/>
      <c r="K46" s="40"/>
      <c r="L46" s="48"/>
      <c r="M46" s="48"/>
      <c r="N46" s="48"/>
      <c r="O46" s="4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2016</vt:lpstr>
      <vt:lpstr>FEBRERO 2016</vt:lpstr>
      <vt:lpstr>MARZO 2016</vt:lpstr>
      <vt:lpstr>ABRIL 2016</vt:lpstr>
      <vt:lpstr>MAYO 2016</vt:lpstr>
      <vt:lpstr>JUNIO 2016</vt:lpstr>
      <vt:lpstr>JULIO 2016</vt:lpstr>
      <vt:lpstr>AGOSTO 2016</vt:lpstr>
      <vt:lpstr>SEPTIEMBRE 2016</vt:lpstr>
      <vt:lpstr>OCTUBRE 2016</vt:lpstr>
      <vt:lpstr>NOVIEMBRE 2016</vt:lpstr>
      <vt:lpstr>DICIEMBRE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2024-09-03T16:36:27Z</dcterms:created>
  <dcterms:modified xsi:type="dcterms:W3CDTF">2026-01-27T23:17:51Z</dcterms:modified>
</cp:coreProperties>
</file>