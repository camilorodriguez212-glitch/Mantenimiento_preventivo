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cargas\TRAFICO DIARIO\"/>
    </mc:Choice>
  </mc:AlternateContent>
  <xr:revisionPtr revIDLastSave="0" documentId="13_ncr:1_{4E6A8371-C691-4B1A-95E3-601E19E9348D}" xr6:coauthVersionLast="47" xr6:coauthVersionMax="47" xr10:uidLastSave="{00000000-0000-0000-0000-000000000000}"/>
  <bookViews>
    <workbookView xWindow="-108" yWindow="-108" windowWidth="23256" windowHeight="12456" firstSheet="7" activeTab="11" xr2:uid="{0E3B96EA-3204-4F68-BE1E-86FE8E60E6B4}"/>
  </bookViews>
  <sheets>
    <sheet name="ENERO 2025" sheetId="1" r:id="rId1"/>
    <sheet name="FEBRERO 2025" sheetId="2" r:id="rId2"/>
    <sheet name="MARZO 2025" sheetId="3" r:id="rId3"/>
    <sheet name="ABRIL 2025" sheetId="4" r:id="rId4"/>
    <sheet name="MAYO 2025" sheetId="5" r:id="rId5"/>
    <sheet name="JUNIO 2025" sheetId="6" r:id="rId6"/>
    <sheet name="JULIO 2025" sheetId="7" r:id="rId7"/>
    <sheet name="AGOSTO 2025" sheetId="8" r:id="rId8"/>
    <sheet name="SEPTIEMBRE 2025" sheetId="9" r:id="rId9"/>
    <sheet name="OCTUBRE 2025" sheetId="10" r:id="rId10"/>
    <sheet name="NOVIEMBRE 2025" sheetId="11" r:id="rId11"/>
    <sheet name="DICIEMBRE 2025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7" i="11" l="1"/>
  <c r="M37" i="11"/>
  <c r="L37" i="11"/>
  <c r="O37" i="11" s="1"/>
  <c r="I37" i="11"/>
  <c r="G37" i="11"/>
  <c r="G38" i="11" s="1"/>
  <c r="F37" i="11"/>
  <c r="F38" i="11" s="1"/>
  <c r="E37" i="11"/>
  <c r="E38" i="11" s="1"/>
  <c r="D37" i="11"/>
  <c r="D38" i="11" s="1"/>
  <c r="C37" i="11"/>
  <c r="B37" i="11"/>
  <c r="B38" i="11" s="1"/>
  <c r="O36" i="11"/>
  <c r="H36" i="11"/>
  <c r="O35" i="11"/>
  <c r="H35" i="11"/>
  <c r="O34" i="11"/>
  <c r="H34" i="11"/>
  <c r="O33" i="11"/>
  <c r="H33" i="11"/>
  <c r="O32" i="11"/>
  <c r="H32" i="11"/>
  <c r="O31" i="11"/>
  <c r="H31" i="11"/>
  <c r="O30" i="11"/>
  <c r="H30" i="11"/>
  <c r="O29" i="11"/>
  <c r="H29" i="11"/>
  <c r="O28" i="11"/>
  <c r="H28" i="11"/>
  <c r="O27" i="11"/>
  <c r="H27" i="11"/>
  <c r="O26" i="11"/>
  <c r="H26" i="11"/>
  <c r="O25" i="11"/>
  <c r="H25" i="11"/>
  <c r="O24" i="11"/>
  <c r="H24" i="11"/>
  <c r="O23" i="11"/>
  <c r="H23" i="11"/>
  <c r="O22" i="11"/>
  <c r="H22" i="11"/>
  <c r="O21" i="11"/>
  <c r="H21" i="11"/>
  <c r="O20" i="11"/>
  <c r="H20" i="11"/>
  <c r="O19" i="11"/>
  <c r="H19" i="11"/>
  <c r="O18" i="11"/>
  <c r="H18" i="11"/>
  <c r="O17" i="11"/>
  <c r="H17" i="11"/>
  <c r="O16" i="11"/>
  <c r="H16" i="11"/>
  <c r="O15" i="11"/>
  <c r="H15" i="11"/>
  <c r="O14" i="11"/>
  <c r="H14" i="11"/>
  <c r="O13" i="11"/>
  <c r="H13" i="11"/>
  <c r="O12" i="11"/>
  <c r="H12" i="11"/>
  <c r="O11" i="11"/>
  <c r="H11" i="11"/>
  <c r="P10" i="11"/>
  <c r="P11" i="11" s="1"/>
  <c r="P12" i="11" s="1"/>
  <c r="P13" i="11" s="1"/>
  <c r="P14" i="11" s="1"/>
  <c r="P15" i="11" s="1"/>
  <c r="P16" i="11" s="1"/>
  <c r="P17" i="11" s="1"/>
  <c r="P18" i="11" s="1"/>
  <c r="P19" i="11" s="1"/>
  <c r="P20" i="11" s="1"/>
  <c r="P21" i="11" s="1"/>
  <c r="P22" i="11" s="1"/>
  <c r="P23" i="11" s="1"/>
  <c r="P24" i="11" s="1"/>
  <c r="P25" i="11" s="1"/>
  <c r="P26" i="11" s="1"/>
  <c r="P27" i="11" s="1"/>
  <c r="P28" i="11" s="1"/>
  <c r="P29" i="11" s="1"/>
  <c r="P30" i="11" s="1"/>
  <c r="P31" i="11" s="1"/>
  <c r="P32" i="11" s="1"/>
  <c r="P33" i="11" s="1"/>
  <c r="P34" i="11" s="1"/>
  <c r="P35" i="11" s="1"/>
  <c r="P36" i="11" s="1"/>
  <c r="O10" i="11"/>
  <c r="H10" i="11"/>
  <c r="O9" i="11"/>
  <c r="H9" i="11"/>
  <c r="O8" i="11"/>
  <c r="H8" i="11"/>
  <c r="P7" i="11"/>
  <c r="O7" i="11"/>
  <c r="H7" i="11"/>
  <c r="O6" i="11"/>
  <c r="H6" i="11"/>
  <c r="H37" i="11" l="1"/>
  <c r="H38" i="11"/>
  <c r="P8" i="11"/>
  <c r="P37" i="11" s="1"/>
  <c r="N37" i="12" l="1"/>
  <c r="M37" i="12"/>
  <c r="L37" i="12"/>
  <c r="O37" i="12" s="1"/>
  <c r="I37" i="12"/>
  <c r="G37" i="12"/>
  <c r="G38" i="12" s="1"/>
  <c r="F37" i="12"/>
  <c r="F38" i="12" s="1"/>
  <c r="E37" i="12"/>
  <c r="E38" i="12" s="1"/>
  <c r="D37" i="12"/>
  <c r="D38" i="12" s="1"/>
  <c r="C37" i="12"/>
  <c r="O36" i="12"/>
  <c r="H36" i="12"/>
  <c r="O35" i="12"/>
  <c r="H35" i="12"/>
  <c r="O34" i="12"/>
  <c r="H34" i="12"/>
  <c r="O33" i="12"/>
  <c r="H33" i="12"/>
  <c r="O32" i="12"/>
  <c r="B32" i="12"/>
  <c r="H32" i="12" s="1"/>
  <c r="O31" i="12"/>
  <c r="H31" i="12"/>
  <c r="O30" i="12"/>
  <c r="H30" i="12"/>
  <c r="O29" i="12"/>
  <c r="B29" i="12"/>
  <c r="H29" i="12" s="1"/>
  <c r="O28" i="12"/>
  <c r="B28" i="12"/>
  <c r="H28" i="12" s="1"/>
  <c r="O27" i="12"/>
  <c r="B27" i="12"/>
  <c r="H27" i="12" s="1"/>
  <c r="O26" i="12"/>
  <c r="B26" i="12"/>
  <c r="H26" i="12" s="1"/>
  <c r="O25" i="12"/>
  <c r="B25" i="12"/>
  <c r="H25" i="12" s="1"/>
  <c r="O24" i="12"/>
  <c r="B24" i="12"/>
  <c r="H24" i="12" s="1"/>
  <c r="O23" i="12"/>
  <c r="H23" i="12"/>
  <c r="O22" i="12"/>
  <c r="H22" i="12"/>
  <c r="O21" i="12"/>
  <c r="H21" i="12"/>
  <c r="O20" i="12"/>
  <c r="H20" i="12"/>
  <c r="O19" i="12"/>
  <c r="B19" i="12"/>
  <c r="H19" i="12" s="1"/>
  <c r="O18" i="12"/>
  <c r="B18" i="12"/>
  <c r="H18" i="12" s="1"/>
  <c r="O17" i="12"/>
  <c r="H17" i="12"/>
  <c r="O16" i="12"/>
  <c r="H16" i="12"/>
  <c r="O15" i="12"/>
  <c r="H15" i="12"/>
  <c r="O14" i="12"/>
  <c r="H14" i="12"/>
  <c r="O13" i="12"/>
  <c r="B13" i="12"/>
  <c r="H13" i="12" s="1"/>
  <c r="O12" i="12"/>
  <c r="B12" i="12"/>
  <c r="H12" i="12" s="1"/>
  <c r="O11" i="12"/>
  <c r="B11" i="12"/>
  <c r="H11" i="12" s="1"/>
  <c r="P10" i="12"/>
  <c r="P11" i="12" s="1"/>
  <c r="P12" i="12" s="1"/>
  <c r="P13" i="12" s="1"/>
  <c r="P14" i="12" s="1"/>
  <c r="P15" i="12" s="1"/>
  <c r="P16" i="12" s="1"/>
  <c r="P17" i="12" s="1"/>
  <c r="P18" i="12" s="1"/>
  <c r="P19" i="12" s="1"/>
  <c r="P20" i="12" s="1"/>
  <c r="P21" i="12" s="1"/>
  <c r="P22" i="12" s="1"/>
  <c r="P23" i="12" s="1"/>
  <c r="P24" i="12" s="1"/>
  <c r="P25" i="12" s="1"/>
  <c r="P26" i="12" s="1"/>
  <c r="P27" i="12" s="1"/>
  <c r="P28" i="12" s="1"/>
  <c r="P29" i="12" s="1"/>
  <c r="P30" i="12" s="1"/>
  <c r="P31" i="12" s="1"/>
  <c r="P32" i="12" s="1"/>
  <c r="P33" i="12" s="1"/>
  <c r="P34" i="12" s="1"/>
  <c r="P35" i="12" s="1"/>
  <c r="P36" i="12" s="1"/>
  <c r="O10" i="12"/>
  <c r="B10" i="12"/>
  <c r="O9" i="12"/>
  <c r="H9" i="12"/>
  <c r="O8" i="12"/>
  <c r="H8" i="12"/>
  <c r="P7" i="12"/>
  <c r="O7" i="12"/>
  <c r="H7" i="12"/>
  <c r="O6" i="12"/>
  <c r="B37" i="12" l="1"/>
  <c r="B38" i="12" s="1"/>
  <c r="H38" i="12" s="1"/>
  <c r="H10" i="12"/>
  <c r="H37" i="12" s="1"/>
  <c r="P8" i="12"/>
  <c r="P37" i="12" s="1"/>
  <c r="N37" i="10" l="1"/>
  <c r="M37" i="10"/>
  <c r="L37" i="10"/>
  <c r="O37" i="10" s="1"/>
  <c r="I37" i="10"/>
  <c r="G37" i="10"/>
  <c r="G38" i="10" s="1"/>
  <c r="F37" i="10"/>
  <c r="F38" i="10" s="1"/>
  <c r="E37" i="10"/>
  <c r="E38" i="10" s="1"/>
  <c r="D37" i="10"/>
  <c r="D38" i="10" s="1"/>
  <c r="C37" i="10"/>
  <c r="B37" i="10"/>
  <c r="B38" i="10" s="1"/>
  <c r="O36" i="10"/>
  <c r="H36" i="10"/>
  <c r="O35" i="10"/>
  <c r="H35" i="10"/>
  <c r="O34" i="10"/>
  <c r="H34" i="10"/>
  <c r="O33" i="10"/>
  <c r="H33" i="10"/>
  <c r="O32" i="10"/>
  <c r="H32" i="10"/>
  <c r="O31" i="10"/>
  <c r="H31" i="10"/>
  <c r="O30" i="10"/>
  <c r="H30" i="10"/>
  <c r="O29" i="10"/>
  <c r="H29" i="10"/>
  <c r="O28" i="10"/>
  <c r="H28" i="10"/>
  <c r="O27" i="10"/>
  <c r="H27" i="10"/>
  <c r="O26" i="10"/>
  <c r="H26" i="10"/>
  <c r="O25" i="10"/>
  <c r="H25" i="10"/>
  <c r="O24" i="10"/>
  <c r="H24" i="10"/>
  <c r="O23" i="10"/>
  <c r="H23" i="10"/>
  <c r="O22" i="10"/>
  <c r="H22" i="10"/>
  <c r="O21" i="10"/>
  <c r="H21" i="10"/>
  <c r="O20" i="10"/>
  <c r="H20" i="10"/>
  <c r="O19" i="10"/>
  <c r="H19" i="10"/>
  <c r="O18" i="10"/>
  <c r="H18" i="10"/>
  <c r="O17" i="10"/>
  <c r="H17" i="10"/>
  <c r="O16" i="10"/>
  <c r="H16" i="10"/>
  <c r="O15" i="10"/>
  <c r="H15" i="10"/>
  <c r="O14" i="10"/>
  <c r="H14" i="10"/>
  <c r="O13" i="10"/>
  <c r="H13" i="10"/>
  <c r="O12" i="10"/>
  <c r="H12" i="10"/>
  <c r="O11" i="10"/>
  <c r="H11" i="10"/>
  <c r="P10" i="10"/>
  <c r="P11" i="10" s="1"/>
  <c r="P12" i="10" s="1"/>
  <c r="P13" i="10" s="1"/>
  <c r="P14" i="10" s="1"/>
  <c r="P15" i="10" s="1"/>
  <c r="P16" i="10" s="1"/>
  <c r="P17" i="10" s="1"/>
  <c r="P18" i="10" s="1"/>
  <c r="P19" i="10" s="1"/>
  <c r="P20" i="10" s="1"/>
  <c r="P21" i="10" s="1"/>
  <c r="P22" i="10" s="1"/>
  <c r="P23" i="10" s="1"/>
  <c r="P24" i="10" s="1"/>
  <c r="P25" i="10" s="1"/>
  <c r="P26" i="10" s="1"/>
  <c r="P27" i="10" s="1"/>
  <c r="P28" i="10" s="1"/>
  <c r="P29" i="10" s="1"/>
  <c r="P30" i="10" s="1"/>
  <c r="P31" i="10" s="1"/>
  <c r="P32" i="10" s="1"/>
  <c r="P33" i="10" s="1"/>
  <c r="P34" i="10" s="1"/>
  <c r="P35" i="10" s="1"/>
  <c r="P36" i="10" s="1"/>
  <c r="O10" i="10"/>
  <c r="H10" i="10"/>
  <c r="O9" i="10"/>
  <c r="H9" i="10"/>
  <c r="O8" i="10"/>
  <c r="H8" i="10"/>
  <c r="P7" i="10"/>
  <c r="P8" i="10" s="1"/>
  <c r="O7" i="10"/>
  <c r="H7" i="10"/>
  <c r="O6" i="10"/>
  <c r="H6" i="10"/>
  <c r="H37" i="10" l="1"/>
  <c r="P37" i="10"/>
  <c r="H38" i="10"/>
  <c r="N37" i="9" l="1"/>
  <c r="M37" i="9"/>
  <c r="L37" i="9"/>
  <c r="O37" i="9" s="1"/>
  <c r="I37" i="9"/>
  <c r="G37" i="9"/>
  <c r="G38" i="9" s="1"/>
  <c r="F37" i="9"/>
  <c r="F38" i="9" s="1"/>
  <c r="E37" i="9"/>
  <c r="E38" i="9" s="1"/>
  <c r="D37" i="9"/>
  <c r="D38" i="9" s="1"/>
  <c r="C37" i="9"/>
  <c r="B37" i="9"/>
  <c r="O36" i="9"/>
  <c r="H36" i="9"/>
  <c r="O35" i="9"/>
  <c r="H35" i="9"/>
  <c r="O34" i="9"/>
  <c r="H34" i="9"/>
  <c r="O33" i="9"/>
  <c r="H33" i="9"/>
  <c r="O32" i="9"/>
  <c r="H32" i="9"/>
  <c r="O31" i="9"/>
  <c r="H31" i="9"/>
  <c r="O30" i="9"/>
  <c r="H30" i="9"/>
  <c r="O29" i="9"/>
  <c r="H29" i="9"/>
  <c r="O28" i="9"/>
  <c r="H28" i="9"/>
  <c r="O27" i="9"/>
  <c r="H27" i="9"/>
  <c r="O26" i="9"/>
  <c r="H26" i="9"/>
  <c r="O25" i="9"/>
  <c r="H25" i="9"/>
  <c r="O24" i="9"/>
  <c r="H24" i="9"/>
  <c r="O23" i="9"/>
  <c r="H23" i="9"/>
  <c r="O22" i="9"/>
  <c r="H22" i="9"/>
  <c r="O21" i="9"/>
  <c r="H21" i="9"/>
  <c r="O20" i="9"/>
  <c r="H20" i="9"/>
  <c r="O19" i="9"/>
  <c r="H19" i="9"/>
  <c r="O18" i="9"/>
  <c r="H18" i="9"/>
  <c r="O17" i="9"/>
  <c r="H17" i="9"/>
  <c r="O16" i="9"/>
  <c r="H16" i="9"/>
  <c r="O15" i="9"/>
  <c r="H15" i="9"/>
  <c r="O14" i="9"/>
  <c r="H14" i="9"/>
  <c r="O13" i="9"/>
  <c r="H13" i="9"/>
  <c r="O12" i="9"/>
  <c r="H12" i="9"/>
  <c r="O11" i="9"/>
  <c r="H11" i="9"/>
  <c r="P10" i="9"/>
  <c r="P11" i="9" s="1"/>
  <c r="P12" i="9" s="1"/>
  <c r="P13" i="9" s="1"/>
  <c r="P14" i="9" s="1"/>
  <c r="P15" i="9" s="1"/>
  <c r="P16" i="9" s="1"/>
  <c r="P17" i="9" s="1"/>
  <c r="P18" i="9" s="1"/>
  <c r="P19" i="9" s="1"/>
  <c r="P20" i="9" s="1"/>
  <c r="P21" i="9" s="1"/>
  <c r="P22" i="9" s="1"/>
  <c r="P23" i="9" s="1"/>
  <c r="P24" i="9" s="1"/>
  <c r="P25" i="9" s="1"/>
  <c r="P26" i="9" s="1"/>
  <c r="P27" i="9" s="1"/>
  <c r="P28" i="9" s="1"/>
  <c r="P29" i="9" s="1"/>
  <c r="P30" i="9" s="1"/>
  <c r="P31" i="9" s="1"/>
  <c r="P32" i="9" s="1"/>
  <c r="P33" i="9" s="1"/>
  <c r="P34" i="9" s="1"/>
  <c r="P35" i="9" s="1"/>
  <c r="P36" i="9" s="1"/>
  <c r="O10" i="9"/>
  <c r="H10" i="9"/>
  <c r="O9" i="9"/>
  <c r="H9" i="9"/>
  <c r="O8" i="9"/>
  <c r="H8" i="9"/>
  <c r="P7" i="9"/>
  <c r="P8" i="9" s="1"/>
  <c r="O7" i="9"/>
  <c r="H7" i="9"/>
  <c r="O6" i="9"/>
  <c r="H6" i="9"/>
  <c r="H37" i="9" l="1"/>
  <c r="B38" i="9"/>
  <c r="H38" i="9" s="1"/>
  <c r="P37" i="9"/>
  <c r="N37" i="8" l="1"/>
  <c r="M37" i="8"/>
  <c r="L37" i="8"/>
  <c r="I37" i="8"/>
  <c r="G37" i="8"/>
  <c r="G38" i="8" s="1"/>
  <c r="F37" i="8"/>
  <c r="F38" i="8" s="1"/>
  <c r="E37" i="8"/>
  <c r="E38" i="8" s="1"/>
  <c r="D37" i="8"/>
  <c r="D38" i="8" s="1"/>
  <c r="C37" i="8"/>
  <c r="B37" i="8"/>
  <c r="O36" i="8"/>
  <c r="H36" i="8"/>
  <c r="H35" i="8"/>
  <c r="O34" i="8"/>
  <c r="H34" i="8"/>
  <c r="O33" i="8"/>
  <c r="H33" i="8"/>
  <c r="O32" i="8"/>
  <c r="H32" i="8"/>
  <c r="O31" i="8"/>
  <c r="H31" i="8"/>
  <c r="O30" i="8"/>
  <c r="H30" i="8"/>
  <c r="O29" i="8"/>
  <c r="H29" i="8"/>
  <c r="O28" i="8"/>
  <c r="H28" i="8"/>
  <c r="O27" i="8"/>
  <c r="H27" i="8"/>
  <c r="O26" i="8"/>
  <c r="H26" i="8"/>
  <c r="O25" i="8"/>
  <c r="H25" i="8"/>
  <c r="O24" i="8"/>
  <c r="H24" i="8"/>
  <c r="O23" i="8"/>
  <c r="H23" i="8"/>
  <c r="O22" i="8"/>
  <c r="H22" i="8"/>
  <c r="O21" i="8"/>
  <c r="H21" i="8"/>
  <c r="O20" i="8"/>
  <c r="H20" i="8"/>
  <c r="O19" i="8"/>
  <c r="H19" i="8"/>
  <c r="O18" i="8"/>
  <c r="H18" i="8"/>
  <c r="O17" i="8"/>
  <c r="H17" i="8"/>
  <c r="O16" i="8"/>
  <c r="H16" i="8"/>
  <c r="O15" i="8"/>
  <c r="H15" i="8"/>
  <c r="O14" i="8"/>
  <c r="H14" i="8"/>
  <c r="O13" i="8"/>
  <c r="H13" i="8"/>
  <c r="O12" i="8"/>
  <c r="H12" i="8"/>
  <c r="O11" i="8"/>
  <c r="H11" i="8"/>
  <c r="P10" i="8"/>
  <c r="P11" i="8" s="1"/>
  <c r="P12" i="8" s="1"/>
  <c r="P13" i="8" s="1"/>
  <c r="P14" i="8" s="1"/>
  <c r="P15" i="8" s="1"/>
  <c r="P16" i="8" s="1"/>
  <c r="P17" i="8" s="1"/>
  <c r="P18" i="8" s="1"/>
  <c r="P19" i="8" s="1"/>
  <c r="P20" i="8" s="1"/>
  <c r="P21" i="8" s="1"/>
  <c r="P22" i="8" s="1"/>
  <c r="P23" i="8" s="1"/>
  <c r="P24" i="8" s="1"/>
  <c r="P25" i="8" s="1"/>
  <c r="P26" i="8" s="1"/>
  <c r="P27" i="8" s="1"/>
  <c r="P28" i="8" s="1"/>
  <c r="P29" i="8" s="1"/>
  <c r="P30" i="8" s="1"/>
  <c r="P31" i="8" s="1"/>
  <c r="P32" i="8" s="1"/>
  <c r="P33" i="8" s="1"/>
  <c r="P34" i="8" s="1"/>
  <c r="P35" i="8" s="1"/>
  <c r="P36" i="8" s="1"/>
  <c r="O10" i="8"/>
  <c r="H10" i="8"/>
  <c r="O9" i="8"/>
  <c r="H9" i="8"/>
  <c r="O8" i="8"/>
  <c r="H8" i="8"/>
  <c r="P7" i="8"/>
  <c r="P8" i="8" s="1"/>
  <c r="O7" i="8"/>
  <c r="H7" i="8"/>
  <c r="O6" i="8"/>
  <c r="H6" i="8"/>
  <c r="H37" i="8" s="1"/>
  <c r="B38" i="8" l="1"/>
  <c r="H38" i="8" s="1"/>
  <c r="O37" i="8"/>
  <c r="P37" i="8"/>
  <c r="N37" i="7" l="1"/>
  <c r="M37" i="7"/>
  <c r="L37" i="7"/>
  <c r="I37" i="7"/>
  <c r="G37" i="7"/>
  <c r="G38" i="7" s="1"/>
  <c r="F37" i="7"/>
  <c r="F38" i="7" s="1"/>
  <c r="E37" i="7"/>
  <c r="E38" i="7" s="1"/>
  <c r="D37" i="7"/>
  <c r="D38" i="7" s="1"/>
  <c r="C37" i="7"/>
  <c r="B37" i="7"/>
  <c r="B38" i="7" s="1"/>
  <c r="O36" i="7"/>
  <c r="H36" i="7"/>
  <c r="H35" i="7"/>
  <c r="O34" i="7"/>
  <c r="H34" i="7"/>
  <c r="O33" i="7"/>
  <c r="H33" i="7"/>
  <c r="O32" i="7"/>
  <c r="H32" i="7"/>
  <c r="O31" i="7"/>
  <c r="H31" i="7"/>
  <c r="O30" i="7"/>
  <c r="H30" i="7"/>
  <c r="O29" i="7"/>
  <c r="H29" i="7"/>
  <c r="O28" i="7"/>
  <c r="H28" i="7"/>
  <c r="O27" i="7"/>
  <c r="H27" i="7"/>
  <c r="O26" i="7"/>
  <c r="H26" i="7"/>
  <c r="O25" i="7"/>
  <c r="H25" i="7"/>
  <c r="O24" i="7"/>
  <c r="H24" i="7"/>
  <c r="O23" i="7"/>
  <c r="H23" i="7"/>
  <c r="O22" i="7"/>
  <c r="H22" i="7"/>
  <c r="O21" i="7"/>
  <c r="H21" i="7"/>
  <c r="O20" i="7"/>
  <c r="H20" i="7"/>
  <c r="O19" i="7"/>
  <c r="H19" i="7"/>
  <c r="O18" i="7"/>
  <c r="H18" i="7"/>
  <c r="O17" i="7"/>
  <c r="H17" i="7"/>
  <c r="O16" i="7"/>
  <c r="H16" i="7"/>
  <c r="O15" i="7"/>
  <c r="H15" i="7"/>
  <c r="O14" i="7"/>
  <c r="H14" i="7"/>
  <c r="O13" i="7"/>
  <c r="H13" i="7"/>
  <c r="O12" i="7"/>
  <c r="H12" i="7"/>
  <c r="O11" i="7"/>
  <c r="H11" i="7"/>
  <c r="P10" i="7"/>
  <c r="P11" i="7" s="1"/>
  <c r="P12" i="7" s="1"/>
  <c r="P13" i="7" s="1"/>
  <c r="P14" i="7" s="1"/>
  <c r="P15" i="7" s="1"/>
  <c r="P16" i="7" s="1"/>
  <c r="P17" i="7" s="1"/>
  <c r="P18" i="7" s="1"/>
  <c r="P19" i="7" s="1"/>
  <c r="P20" i="7" s="1"/>
  <c r="P21" i="7" s="1"/>
  <c r="P22" i="7" s="1"/>
  <c r="P23" i="7" s="1"/>
  <c r="P24" i="7" s="1"/>
  <c r="P25" i="7" s="1"/>
  <c r="P26" i="7" s="1"/>
  <c r="P27" i="7" s="1"/>
  <c r="P28" i="7" s="1"/>
  <c r="P29" i="7" s="1"/>
  <c r="P30" i="7" s="1"/>
  <c r="P31" i="7" s="1"/>
  <c r="P32" i="7" s="1"/>
  <c r="P33" i="7" s="1"/>
  <c r="P34" i="7" s="1"/>
  <c r="P35" i="7" s="1"/>
  <c r="P36" i="7" s="1"/>
  <c r="O10" i="7"/>
  <c r="H10" i="7"/>
  <c r="O9" i="7"/>
  <c r="H9" i="7"/>
  <c r="O8" i="7"/>
  <c r="H8" i="7"/>
  <c r="P7" i="7"/>
  <c r="P8" i="7" s="1"/>
  <c r="O7" i="7"/>
  <c r="H7" i="7"/>
  <c r="O6" i="7"/>
  <c r="H6" i="7"/>
  <c r="O37" i="7" l="1"/>
  <c r="H37" i="7"/>
  <c r="H38" i="7"/>
  <c r="P37" i="7"/>
  <c r="N37" i="6" l="1"/>
  <c r="M37" i="6"/>
  <c r="L37" i="6"/>
  <c r="I37" i="6"/>
  <c r="G37" i="6"/>
  <c r="G38" i="6" s="1"/>
  <c r="F37" i="6"/>
  <c r="F38" i="6" s="1"/>
  <c r="E37" i="6"/>
  <c r="E38" i="6" s="1"/>
  <c r="D37" i="6"/>
  <c r="D38" i="6" s="1"/>
  <c r="C37" i="6"/>
  <c r="B37" i="6"/>
  <c r="B38" i="6" s="1"/>
  <c r="O36" i="6"/>
  <c r="H36" i="6"/>
  <c r="O35" i="6"/>
  <c r="H35" i="6"/>
  <c r="O34" i="6"/>
  <c r="H34" i="6"/>
  <c r="O33" i="6"/>
  <c r="H33" i="6"/>
  <c r="O32" i="6"/>
  <c r="H32" i="6"/>
  <c r="O31" i="6"/>
  <c r="H31" i="6"/>
  <c r="O30" i="6"/>
  <c r="H30" i="6"/>
  <c r="O29" i="6"/>
  <c r="H29" i="6"/>
  <c r="O28" i="6"/>
  <c r="H28" i="6"/>
  <c r="O27" i="6"/>
  <c r="H27" i="6"/>
  <c r="O26" i="6"/>
  <c r="H26" i="6"/>
  <c r="O25" i="6"/>
  <c r="H25" i="6"/>
  <c r="O24" i="6"/>
  <c r="H24" i="6"/>
  <c r="O23" i="6"/>
  <c r="H23" i="6"/>
  <c r="O22" i="6"/>
  <c r="H22" i="6"/>
  <c r="O21" i="6"/>
  <c r="H21" i="6"/>
  <c r="O20" i="6"/>
  <c r="H20" i="6"/>
  <c r="O19" i="6"/>
  <c r="H19" i="6"/>
  <c r="O18" i="6"/>
  <c r="H18" i="6"/>
  <c r="O17" i="6"/>
  <c r="H17" i="6"/>
  <c r="O16" i="6"/>
  <c r="H16" i="6"/>
  <c r="O15" i="6"/>
  <c r="H15" i="6"/>
  <c r="O14" i="6"/>
  <c r="H14" i="6"/>
  <c r="O13" i="6"/>
  <c r="H13" i="6"/>
  <c r="O12" i="6"/>
  <c r="H12" i="6"/>
  <c r="O11" i="6"/>
  <c r="H11" i="6"/>
  <c r="P10" i="6"/>
  <c r="P11" i="6" s="1"/>
  <c r="P12" i="6" s="1"/>
  <c r="P13" i="6" s="1"/>
  <c r="P14" i="6" s="1"/>
  <c r="P15" i="6" s="1"/>
  <c r="P16" i="6" s="1"/>
  <c r="P17" i="6" s="1"/>
  <c r="P18" i="6" s="1"/>
  <c r="P19" i="6" s="1"/>
  <c r="P20" i="6" s="1"/>
  <c r="P21" i="6" s="1"/>
  <c r="P22" i="6" s="1"/>
  <c r="P23" i="6" s="1"/>
  <c r="P24" i="6" s="1"/>
  <c r="P25" i="6" s="1"/>
  <c r="P26" i="6" s="1"/>
  <c r="P27" i="6" s="1"/>
  <c r="P28" i="6" s="1"/>
  <c r="P29" i="6" s="1"/>
  <c r="P30" i="6" s="1"/>
  <c r="P31" i="6" s="1"/>
  <c r="P32" i="6" s="1"/>
  <c r="P33" i="6" s="1"/>
  <c r="P34" i="6" s="1"/>
  <c r="P35" i="6" s="1"/>
  <c r="P36" i="6" s="1"/>
  <c r="O10" i="6"/>
  <c r="H10" i="6"/>
  <c r="O9" i="6"/>
  <c r="H9" i="6"/>
  <c r="O8" i="6"/>
  <c r="H8" i="6"/>
  <c r="P7" i="6"/>
  <c r="O7" i="6"/>
  <c r="H7" i="6"/>
  <c r="O6" i="6"/>
  <c r="H6" i="6"/>
  <c r="O37" i="6" l="1"/>
  <c r="H37" i="6"/>
  <c r="H38" i="6"/>
  <c r="P8" i="6"/>
  <c r="P37" i="6" s="1"/>
  <c r="N37" i="5" l="1"/>
  <c r="M37" i="5"/>
  <c r="L37" i="5"/>
  <c r="I37" i="5"/>
  <c r="G37" i="5"/>
  <c r="G38" i="5" s="1"/>
  <c r="F37" i="5"/>
  <c r="F38" i="5" s="1"/>
  <c r="E37" i="5"/>
  <c r="E38" i="5" s="1"/>
  <c r="D37" i="5"/>
  <c r="D38" i="5" s="1"/>
  <c r="C37" i="5"/>
  <c r="B37" i="5"/>
  <c r="B38" i="5" s="1"/>
  <c r="O36" i="5"/>
  <c r="H36" i="5"/>
  <c r="O35" i="5"/>
  <c r="H35" i="5"/>
  <c r="O34" i="5"/>
  <c r="H34" i="5"/>
  <c r="O33" i="5"/>
  <c r="H33" i="5"/>
  <c r="O32" i="5"/>
  <c r="H32" i="5"/>
  <c r="O31" i="5"/>
  <c r="H31" i="5"/>
  <c r="O30" i="5"/>
  <c r="H30" i="5"/>
  <c r="O29" i="5"/>
  <c r="H29" i="5"/>
  <c r="O28" i="5"/>
  <c r="H28" i="5"/>
  <c r="O27" i="5"/>
  <c r="H27" i="5"/>
  <c r="O26" i="5"/>
  <c r="H26" i="5"/>
  <c r="O25" i="5"/>
  <c r="H25" i="5"/>
  <c r="O24" i="5"/>
  <c r="H24" i="5"/>
  <c r="O23" i="5"/>
  <c r="H23" i="5"/>
  <c r="O22" i="5"/>
  <c r="H22" i="5"/>
  <c r="O21" i="5"/>
  <c r="H21" i="5"/>
  <c r="O20" i="5"/>
  <c r="H20" i="5"/>
  <c r="O19" i="5"/>
  <c r="H19" i="5"/>
  <c r="O18" i="5"/>
  <c r="H18" i="5"/>
  <c r="O17" i="5"/>
  <c r="H17" i="5"/>
  <c r="O16" i="5"/>
  <c r="H16" i="5"/>
  <c r="O15" i="5"/>
  <c r="H15" i="5"/>
  <c r="O14" i="5"/>
  <c r="H14" i="5"/>
  <c r="O13" i="5"/>
  <c r="H13" i="5"/>
  <c r="O12" i="5"/>
  <c r="H12" i="5"/>
  <c r="O11" i="5"/>
  <c r="H11" i="5"/>
  <c r="P10" i="5"/>
  <c r="P11" i="5" s="1"/>
  <c r="P12" i="5" s="1"/>
  <c r="P13" i="5" s="1"/>
  <c r="P14" i="5" s="1"/>
  <c r="P15" i="5" s="1"/>
  <c r="P16" i="5" s="1"/>
  <c r="P17" i="5" s="1"/>
  <c r="P18" i="5" s="1"/>
  <c r="P19" i="5" s="1"/>
  <c r="P20" i="5" s="1"/>
  <c r="P21" i="5" s="1"/>
  <c r="P22" i="5" s="1"/>
  <c r="P23" i="5" s="1"/>
  <c r="P24" i="5" s="1"/>
  <c r="P25" i="5" s="1"/>
  <c r="P26" i="5" s="1"/>
  <c r="P27" i="5" s="1"/>
  <c r="P28" i="5" s="1"/>
  <c r="P29" i="5" s="1"/>
  <c r="P30" i="5" s="1"/>
  <c r="P31" i="5" s="1"/>
  <c r="P32" i="5" s="1"/>
  <c r="P33" i="5" s="1"/>
  <c r="P34" i="5" s="1"/>
  <c r="P35" i="5" s="1"/>
  <c r="P36" i="5" s="1"/>
  <c r="O10" i="5"/>
  <c r="H10" i="5"/>
  <c r="O9" i="5"/>
  <c r="H9" i="5"/>
  <c r="O8" i="5"/>
  <c r="H8" i="5"/>
  <c r="P7" i="5"/>
  <c r="P8" i="5" s="1"/>
  <c r="O7" i="5"/>
  <c r="H7" i="5"/>
  <c r="O6" i="5"/>
  <c r="H6" i="5"/>
  <c r="H37" i="5" l="1"/>
  <c r="O37" i="5"/>
  <c r="P37" i="5"/>
  <c r="H38" i="5"/>
  <c r="N37" i="4" l="1"/>
  <c r="M37" i="4"/>
  <c r="L37" i="4"/>
  <c r="I37" i="4"/>
  <c r="G37" i="4"/>
  <c r="G38" i="4" s="1"/>
  <c r="F37" i="4"/>
  <c r="F38" i="4" s="1"/>
  <c r="E37" i="4"/>
  <c r="E38" i="4" s="1"/>
  <c r="D37" i="4"/>
  <c r="D38" i="4" s="1"/>
  <c r="C37" i="4"/>
  <c r="B37" i="4"/>
  <c r="B38" i="4" s="1"/>
  <c r="O36" i="4"/>
  <c r="H36" i="4"/>
  <c r="O35" i="4"/>
  <c r="H35" i="4"/>
  <c r="O34" i="4"/>
  <c r="H34" i="4"/>
  <c r="O33" i="4"/>
  <c r="H33" i="4"/>
  <c r="O32" i="4"/>
  <c r="H32" i="4"/>
  <c r="O31" i="4"/>
  <c r="H31" i="4"/>
  <c r="O30" i="4"/>
  <c r="H30" i="4"/>
  <c r="O29" i="4"/>
  <c r="H29" i="4"/>
  <c r="O28" i="4"/>
  <c r="H28" i="4"/>
  <c r="O27" i="4"/>
  <c r="H27" i="4"/>
  <c r="O26" i="4"/>
  <c r="H26" i="4"/>
  <c r="O25" i="4"/>
  <c r="H25" i="4"/>
  <c r="O24" i="4"/>
  <c r="H24" i="4"/>
  <c r="O23" i="4"/>
  <c r="H23" i="4"/>
  <c r="O22" i="4"/>
  <c r="H22" i="4"/>
  <c r="O21" i="4"/>
  <c r="H21" i="4"/>
  <c r="O20" i="4"/>
  <c r="H20" i="4"/>
  <c r="O19" i="4"/>
  <c r="H19" i="4"/>
  <c r="O18" i="4"/>
  <c r="H18" i="4"/>
  <c r="O17" i="4"/>
  <c r="H17" i="4"/>
  <c r="O16" i="4"/>
  <c r="H16" i="4"/>
  <c r="O15" i="4"/>
  <c r="H15" i="4"/>
  <c r="O14" i="4"/>
  <c r="H14" i="4"/>
  <c r="O13" i="4"/>
  <c r="H13" i="4"/>
  <c r="O12" i="4"/>
  <c r="H12" i="4"/>
  <c r="O11" i="4"/>
  <c r="H11" i="4"/>
  <c r="P10" i="4"/>
  <c r="P11" i="4" s="1"/>
  <c r="P12" i="4" s="1"/>
  <c r="P13" i="4" s="1"/>
  <c r="P14" i="4" s="1"/>
  <c r="P15" i="4" s="1"/>
  <c r="P16" i="4" s="1"/>
  <c r="P17" i="4" s="1"/>
  <c r="P18" i="4" s="1"/>
  <c r="P19" i="4" s="1"/>
  <c r="P20" i="4" s="1"/>
  <c r="P21" i="4" s="1"/>
  <c r="P22" i="4" s="1"/>
  <c r="P23" i="4" s="1"/>
  <c r="P24" i="4" s="1"/>
  <c r="P25" i="4" s="1"/>
  <c r="P26" i="4" s="1"/>
  <c r="P27" i="4" s="1"/>
  <c r="P28" i="4" s="1"/>
  <c r="P29" i="4" s="1"/>
  <c r="P30" i="4" s="1"/>
  <c r="P31" i="4" s="1"/>
  <c r="P32" i="4" s="1"/>
  <c r="P33" i="4" s="1"/>
  <c r="P34" i="4" s="1"/>
  <c r="P35" i="4" s="1"/>
  <c r="P36" i="4" s="1"/>
  <c r="O10" i="4"/>
  <c r="H10" i="4"/>
  <c r="O9" i="4"/>
  <c r="H9" i="4"/>
  <c r="O8" i="4"/>
  <c r="H8" i="4"/>
  <c r="P7" i="4"/>
  <c r="P8" i="4" s="1"/>
  <c r="O7" i="4"/>
  <c r="H7" i="4"/>
  <c r="O6" i="4"/>
  <c r="H6" i="4"/>
  <c r="H37" i="4" l="1"/>
  <c r="O37" i="4"/>
  <c r="H38" i="4"/>
  <c r="P37" i="4"/>
  <c r="N37" i="3" l="1"/>
  <c r="M37" i="3"/>
  <c r="L37" i="3"/>
  <c r="I37" i="3"/>
  <c r="G37" i="3"/>
  <c r="G38" i="3" s="1"/>
  <c r="F37" i="3"/>
  <c r="F38" i="3" s="1"/>
  <c r="E37" i="3"/>
  <c r="E38" i="3" s="1"/>
  <c r="D37" i="3"/>
  <c r="D38" i="3" s="1"/>
  <c r="C37" i="3"/>
  <c r="B37" i="3"/>
  <c r="B38" i="3" s="1"/>
  <c r="O36" i="3"/>
  <c r="H36" i="3"/>
  <c r="O35" i="3"/>
  <c r="H35" i="3"/>
  <c r="O34" i="3"/>
  <c r="H34" i="3"/>
  <c r="O33" i="3"/>
  <c r="H33" i="3"/>
  <c r="O32" i="3"/>
  <c r="H32" i="3"/>
  <c r="O31" i="3"/>
  <c r="H31" i="3"/>
  <c r="O30" i="3"/>
  <c r="H30" i="3"/>
  <c r="O29" i="3"/>
  <c r="H29" i="3"/>
  <c r="O28" i="3"/>
  <c r="H28" i="3"/>
  <c r="O27" i="3"/>
  <c r="H27" i="3"/>
  <c r="O26" i="3"/>
  <c r="H26" i="3"/>
  <c r="O25" i="3"/>
  <c r="H25" i="3"/>
  <c r="O24" i="3"/>
  <c r="H24" i="3"/>
  <c r="O23" i="3"/>
  <c r="H23" i="3"/>
  <c r="O22" i="3"/>
  <c r="H22" i="3"/>
  <c r="O21" i="3"/>
  <c r="H21" i="3"/>
  <c r="O20" i="3"/>
  <c r="H20" i="3"/>
  <c r="O19" i="3"/>
  <c r="H19" i="3"/>
  <c r="O18" i="3"/>
  <c r="H18" i="3"/>
  <c r="O17" i="3"/>
  <c r="H17" i="3"/>
  <c r="O16" i="3"/>
  <c r="H16" i="3"/>
  <c r="O15" i="3"/>
  <c r="H15" i="3"/>
  <c r="O14" i="3"/>
  <c r="H14" i="3"/>
  <c r="O13" i="3"/>
  <c r="H13" i="3"/>
  <c r="O12" i="3"/>
  <c r="H12" i="3"/>
  <c r="O11" i="3"/>
  <c r="H11" i="3"/>
  <c r="P10" i="3"/>
  <c r="P11" i="3" s="1"/>
  <c r="P12" i="3" s="1"/>
  <c r="P13" i="3" s="1"/>
  <c r="P14" i="3" s="1"/>
  <c r="P15" i="3" s="1"/>
  <c r="P16" i="3" s="1"/>
  <c r="P17" i="3" s="1"/>
  <c r="P18" i="3" s="1"/>
  <c r="P19" i="3" s="1"/>
  <c r="P20" i="3" s="1"/>
  <c r="P21" i="3" s="1"/>
  <c r="P22" i="3" s="1"/>
  <c r="P23" i="3" s="1"/>
  <c r="P24" i="3" s="1"/>
  <c r="P25" i="3" s="1"/>
  <c r="P26" i="3" s="1"/>
  <c r="P27" i="3" s="1"/>
  <c r="P28" i="3" s="1"/>
  <c r="P29" i="3" s="1"/>
  <c r="P30" i="3" s="1"/>
  <c r="P31" i="3" s="1"/>
  <c r="P32" i="3" s="1"/>
  <c r="P33" i="3" s="1"/>
  <c r="P34" i="3" s="1"/>
  <c r="P35" i="3" s="1"/>
  <c r="P36" i="3" s="1"/>
  <c r="O10" i="3"/>
  <c r="H10" i="3"/>
  <c r="O9" i="3"/>
  <c r="H9" i="3"/>
  <c r="O8" i="3"/>
  <c r="H8" i="3"/>
  <c r="P7" i="3"/>
  <c r="O7" i="3"/>
  <c r="H7" i="3"/>
  <c r="O6" i="3"/>
  <c r="H6" i="3"/>
  <c r="O37" i="3" l="1"/>
  <c r="H37" i="3"/>
  <c r="H38" i="3"/>
  <c r="P8" i="3"/>
  <c r="P37" i="3" s="1"/>
  <c r="N37" i="2" l="1"/>
  <c r="M37" i="2"/>
  <c r="L37" i="2"/>
  <c r="I37" i="2"/>
  <c r="G37" i="2"/>
  <c r="G38" i="2" s="1"/>
  <c r="F37" i="2"/>
  <c r="F38" i="2" s="1"/>
  <c r="E37" i="2"/>
  <c r="E38" i="2" s="1"/>
  <c r="D37" i="2"/>
  <c r="D38" i="2" s="1"/>
  <c r="C37" i="2"/>
  <c r="B38" i="2" s="1"/>
  <c r="B37" i="2"/>
  <c r="O36" i="2"/>
  <c r="H36" i="2"/>
  <c r="O35" i="2"/>
  <c r="H35" i="2"/>
  <c r="O34" i="2"/>
  <c r="H34" i="2"/>
  <c r="O33" i="2"/>
  <c r="H33" i="2"/>
  <c r="O32" i="2"/>
  <c r="H32" i="2"/>
  <c r="O31" i="2"/>
  <c r="H31" i="2"/>
  <c r="O30" i="2"/>
  <c r="H30" i="2"/>
  <c r="O29" i="2"/>
  <c r="H29" i="2"/>
  <c r="O28" i="2"/>
  <c r="H28" i="2"/>
  <c r="O27" i="2"/>
  <c r="H27" i="2"/>
  <c r="O26" i="2"/>
  <c r="H26" i="2"/>
  <c r="O25" i="2"/>
  <c r="H25" i="2"/>
  <c r="O24" i="2"/>
  <c r="H24" i="2"/>
  <c r="O23" i="2"/>
  <c r="H23" i="2"/>
  <c r="O22" i="2"/>
  <c r="H22" i="2"/>
  <c r="O21" i="2"/>
  <c r="H21" i="2"/>
  <c r="O20" i="2"/>
  <c r="H20" i="2"/>
  <c r="O19" i="2"/>
  <c r="H19" i="2"/>
  <c r="O18" i="2"/>
  <c r="H18" i="2"/>
  <c r="O17" i="2"/>
  <c r="H17" i="2"/>
  <c r="O16" i="2"/>
  <c r="H16" i="2"/>
  <c r="O15" i="2"/>
  <c r="H15" i="2"/>
  <c r="O14" i="2"/>
  <c r="H14" i="2"/>
  <c r="O13" i="2"/>
  <c r="H13" i="2"/>
  <c r="O12" i="2"/>
  <c r="H12" i="2"/>
  <c r="O11" i="2"/>
  <c r="H11" i="2"/>
  <c r="P10" i="2"/>
  <c r="P11" i="2" s="1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P34" i="2" s="1"/>
  <c r="P35" i="2" s="1"/>
  <c r="P36" i="2" s="1"/>
  <c r="O10" i="2"/>
  <c r="H10" i="2"/>
  <c r="O9" i="2"/>
  <c r="H9" i="2"/>
  <c r="O8" i="2"/>
  <c r="H8" i="2"/>
  <c r="P7" i="2"/>
  <c r="P8" i="2" s="1"/>
  <c r="O7" i="2"/>
  <c r="H7" i="2"/>
  <c r="O6" i="2"/>
  <c r="H6" i="2"/>
  <c r="H37" i="2" l="1"/>
  <c r="O37" i="2"/>
  <c r="H38" i="2"/>
  <c r="P37" i="2"/>
  <c r="N37" i="1" l="1"/>
  <c r="M37" i="1"/>
  <c r="L37" i="1"/>
  <c r="I37" i="1"/>
  <c r="G37" i="1"/>
  <c r="G38" i="1" s="1"/>
  <c r="F37" i="1"/>
  <c r="F38" i="1" s="1"/>
  <c r="E37" i="1"/>
  <c r="E38" i="1" s="1"/>
  <c r="D37" i="1"/>
  <c r="D38" i="1" s="1"/>
  <c r="C37" i="1"/>
  <c r="B37" i="1"/>
  <c r="B38" i="1" s="1"/>
  <c r="O36" i="1"/>
  <c r="H36" i="1"/>
  <c r="O35" i="1"/>
  <c r="H35" i="1"/>
  <c r="O34" i="1"/>
  <c r="H34" i="1"/>
  <c r="O33" i="1"/>
  <c r="H33" i="1"/>
  <c r="O32" i="1"/>
  <c r="H32" i="1"/>
  <c r="O31" i="1"/>
  <c r="H31" i="1"/>
  <c r="O30" i="1"/>
  <c r="H30" i="1"/>
  <c r="O29" i="1"/>
  <c r="H29" i="1"/>
  <c r="O28" i="1"/>
  <c r="H28" i="1"/>
  <c r="O27" i="1"/>
  <c r="H27" i="1"/>
  <c r="O26" i="1"/>
  <c r="H26" i="1"/>
  <c r="O25" i="1"/>
  <c r="H25" i="1"/>
  <c r="O24" i="1"/>
  <c r="H24" i="1"/>
  <c r="O23" i="1"/>
  <c r="H23" i="1"/>
  <c r="O22" i="1"/>
  <c r="H22" i="1"/>
  <c r="O21" i="1"/>
  <c r="H21" i="1"/>
  <c r="O20" i="1"/>
  <c r="H20" i="1"/>
  <c r="O19" i="1"/>
  <c r="H19" i="1"/>
  <c r="O18" i="1"/>
  <c r="H18" i="1"/>
  <c r="O17" i="1"/>
  <c r="H17" i="1"/>
  <c r="O16" i="1"/>
  <c r="H16" i="1"/>
  <c r="O15" i="1"/>
  <c r="H15" i="1"/>
  <c r="O14" i="1"/>
  <c r="H14" i="1"/>
  <c r="O13" i="1"/>
  <c r="H13" i="1"/>
  <c r="O12" i="1"/>
  <c r="H12" i="1"/>
  <c r="O11" i="1"/>
  <c r="H11" i="1"/>
  <c r="P10" i="1"/>
  <c r="P11" i="1" s="1"/>
  <c r="P12" i="1" s="1"/>
  <c r="P13" i="1" s="1"/>
  <c r="P14" i="1" s="1"/>
  <c r="P15" i="1" s="1"/>
  <c r="P16" i="1" s="1"/>
  <c r="P17" i="1" s="1"/>
  <c r="P18" i="1" s="1"/>
  <c r="P19" i="1" s="1"/>
  <c r="P20" i="1" s="1"/>
  <c r="P21" i="1" s="1"/>
  <c r="P22" i="1" s="1"/>
  <c r="P23" i="1" s="1"/>
  <c r="P24" i="1" s="1"/>
  <c r="P25" i="1" s="1"/>
  <c r="P26" i="1" s="1"/>
  <c r="P27" i="1" s="1"/>
  <c r="P28" i="1" s="1"/>
  <c r="P29" i="1" s="1"/>
  <c r="P30" i="1" s="1"/>
  <c r="P31" i="1" s="1"/>
  <c r="P32" i="1" s="1"/>
  <c r="P33" i="1" s="1"/>
  <c r="P34" i="1" s="1"/>
  <c r="P35" i="1" s="1"/>
  <c r="P36" i="1" s="1"/>
  <c r="O10" i="1"/>
  <c r="H10" i="1"/>
  <c r="O9" i="1"/>
  <c r="H9" i="1"/>
  <c r="O8" i="1"/>
  <c r="H8" i="1"/>
  <c r="P7" i="1"/>
  <c r="O7" i="1"/>
  <c r="H7" i="1"/>
  <c r="O6" i="1"/>
  <c r="H6" i="1"/>
  <c r="O37" i="1" l="1"/>
  <c r="H37" i="1"/>
  <c r="H38" i="1"/>
  <c r="P8" i="1"/>
  <c r="P37" i="1" s="1"/>
</calcChain>
</file>

<file path=xl/sharedStrings.xml><?xml version="1.0" encoding="utf-8"?>
<sst xmlns="http://schemas.openxmlformats.org/spreadsheetml/2006/main" count="336" uniqueCount="37">
  <si>
    <t>CONCESIÓN SABANA DE OCCIDENTE S.A.S</t>
  </si>
  <si>
    <t>ENERO 2025</t>
  </si>
  <si>
    <t xml:space="preserve">FECHA </t>
  </si>
  <si>
    <t>AUTOMÓVILES, CAMPEROS Y CAMIONETAS.</t>
  </si>
  <si>
    <t>BUSES, BUSETAS, CAMIONES PEQUEÑOS Y GRANDES DE 2 EJES</t>
  </si>
  <si>
    <t>CAMIONES DE 3 Y 4 EJES</t>
  </si>
  <si>
    <t>CAMIONES DE 5 EJES</t>
  </si>
  <si>
    <t>CAMIONES DE 6 O MAS EJES</t>
  </si>
  <si>
    <t>TOTALES</t>
  </si>
  <si>
    <t>EVASORES</t>
  </si>
  <si>
    <t>EJE ADICIONAL</t>
  </si>
  <si>
    <t>EJE REMOLQUE</t>
  </si>
  <si>
    <t>EJE GRUA</t>
  </si>
  <si>
    <t>TOTAL EJES</t>
  </si>
  <si>
    <t>I</t>
  </si>
  <si>
    <t>IE</t>
  </si>
  <si>
    <t>II</t>
  </si>
  <si>
    <t>III</t>
  </si>
  <si>
    <t>IV</t>
  </si>
  <si>
    <t>V</t>
  </si>
  <si>
    <t>TOTAL</t>
  </si>
  <si>
    <t xml:space="preserve">TOTAL </t>
  </si>
  <si>
    <t xml:space="preserve">  </t>
  </si>
  <si>
    <t xml:space="preserve"> </t>
  </si>
  <si>
    <t xml:space="preserve"> TRÁFICO POR CATEGORÍAS ESTACIÓN DE PEAJE CAIQUERO</t>
  </si>
  <si>
    <t>FEBRERO 2025</t>
  </si>
  <si>
    <t>MARZO 2025</t>
  </si>
  <si>
    <t>ABRIL 2025</t>
  </si>
  <si>
    <t>TRÁFICO POR CATEGORÍAS ESTACIÓN DE PEAJE CAIQUERO</t>
  </si>
  <si>
    <t>MAYO 2025</t>
  </si>
  <si>
    <t>JUNIO 2025</t>
  </si>
  <si>
    <t>JULIO 2025</t>
  </si>
  <si>
    <t>AGOSTO 2025</t>
  </si>
  <si>
    <t>SEPTIEMBRE  2025</t>
  </si>
  <si>
    <t>OCTUBRE  2025</t>
  </si>
  <si>
    <t>NOVIEMBRE  2025</t>
  </si>
  <si>
    <t>DICIEMBRE 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</si>
</sst>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_);_(* \(#,##0\);_(* &quot;-&quot;??_);_(@_)"/>
    <numFmt numFmtId="165" formatCode="_([$$-240A]\ * #,##0_);_([$$-240A]\ * \(#,##0\);_([$$-240A]\ * &quot;-&quot;??_);_(@_)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name val="Arial Narrow"/>
      <family val="2"/>
    </font>
    <font>
      <sz val="12"/>
      <name val="Arial Narrow"/>
      <family val="2"/>
    </font>
    <font>
      <b/>
      <sz val="10"/>
      <name val="Arial Narrow"/>
      <family val="2"/>
    </font>
    <font>
      <sz val="10"/>
      <name val="Arial Narrow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45">
    <xf numFmtId="0" fontId="0" fillId="0" borderId="0" xfId="0"/>
    <xf numFmtId="0" fontId="3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5" fillId="0" borderId="0" xfId="0" applyFont="1"/>
    <xf numFmtId="0" fontId="4" fillId="0" borderId="3" xfId="0" applyFont="1" applyBorder="1" applyAlignment="1">
      <alignment horizontal="center" vertical="center"/>
    </xf>
    <xf numFmtId="37" fontId="4" fillId="0" borderId="2" xfId="1" applyNumberFormat="1" applyFont="1" applyFill="1" applyBorder="1" applyAlignment="1" applyProtection="1">
      <alignment horizontal="center" vertical="center"/>
    </xf>
    <xf numFmtId="37" fontId="5" fillId="0" borderId="2" xfId="1" applyNumberFormat="1" applyFont="1" applyFill="1" applyBorder="1" applyAlignment="1" applyProtection="1">
      <alignment horizontal="center" vertical="center"/>
    </xf>
    <xf numFmtId="37" fontId="5" fillId="0" borderId="0" xfId="1" applyNumberFormat="1" applyFont="1" applyFill="1" applyBorder="1" applyAlignment="1" applyProtection="1">
      <alignment horizontal="center" vertical="center" wrapText="1"/>
    </xf>
    <xf numFmtId="164" fontId="5" fillId="0" borderId="4" xfId="1" applyNumberFormat="1" applyFont="1" applyFill="1" applyBorder="1" applyAlignment="1" applyProtection="1"/>
    <xf numFmtId="3" fontId="5" fillId="0" borderId="0" xfId="0" applyNumberFormat="1" applyFont="1"/>
    <xf numFmtId="37" fontId="5" fillId="0" borderId="0" xfId="1" applyNumberFormat="1" applyFont="1" applyFill="1" applyBorder="1" applyAlignment="1" applyProtection="1">
      <alignment horizontal="center" vertical="center"/>
    </xf>
    <xf numFmtId="164" fontId="5" fillId="2" borderId="4" xfId="1" applyNumberFormat="1" applyFont="1" applyFill="1" applyBorder="1" applyAlignment="1" applyProtection="1"/>
    <xf numFmtId="0" fontId="5" fillId="2" borderId="0" xfId="0" applyFont="1" applyFill="1"/>
    <xf numFmtId="165" fontId="5" fillId="0" borderId="0" xfId="3" applyNumberFormat="1" applyFont="1" applyFill="1" applyProtection="1"/>
    <xf numFmtId="37" fontId="4" fillId="2" borderId="2" xfId="1" applyNumberFormat="1" applyFont="1" applyFill="1" applyBorder="1" applyAlignment="1" applyProtection="1">
      <alignment horizontal="center" vertical="center"/>
    </xf>
    <xf numFmtId="37" fontId="5" fillId="2" borderId="2" xfId="1" applyNumberFormat="1" applyFont="1" applyFill="1" applyBorder="1" applyAlignment="1" applyProtection="1">
      <alignment horizontal="center" vertical="center"/>
    </xf>
    <xf numFmtId="37" fontId="5" fillId="2" borderId="0" xfId="1" applyNumberFormat="1" applyFont="1" applyFill="1" applyBorder="1" applyAlignment="1" applyProtection="1">
      <alignment horizontal="center" vertical="center"/>
    </xf>
    <xf numFmtId="1" fontId="0" fillId="0" borderId="1" xfId="0" applyNumberFormat="1" applyBorder="1" applyAlignment="1">
      <alignment horizontal="center"/>
    </xf>
    <xf numFmtId="1" fontId="6" fillId="0" borderId="1" xfId="0" applyNumberFormat="1" applyFont="1" applyBorder="1" applyAlignment="1">
      <alignment horizontal="center"/>
    </xf>
    <xf numFmtId="37" fontId="5" fillId="0" borderId="1" xfId="1" applyNumberFormat="1" applyFont="1" applyFill="1" applyBorder="1" applyAlignment="1" applyProtection="1">
      <alignment horizontal="center" vertical="center"/>
    </xf>
    <xf numFmtId="37" fontId="4" fillId="0" borderId="1" xfId="1" applyNumberFormat="1" applyFont="1" applyFill="1" applyBorder="1" applyAlignment="1" applyProtection="1">
      <alignment horizontal="center" vertical="center"/>
    </xf>
    <xf numFmtId="1" fontId="0" fillId="0" borderId="2" xfId="0" applyNumberFormat="1" applyBorder="1" applyAlignment="1">
      <alignment horizontal="center"/>
    </xf>
    <xf numFmtId="1" fontId="5" fillId="0" borderId="2" xfId="1" applyNumberFormat="1" applyFont="1" applyFill="1" applyBorder="1" applyAlignment="1" applyProtection="1">
      <alignment horizontal="center" vertical="center"/>
    </xf>
    <xf numFmtId="1" fontId="4" fillId="0" borderId="2" xfId="1" applyNumberFormat="1" applyFont="1" applyFill="1" applyBorder="1" applyAlignment="1" applyProtection="1">
      <alignment horizontal="center" vertical="center"/>
    </xf>
    <xf numFmtId="3" fontId="4" fillId="0" borderId="2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3" fontId="5" fillId="0" borderId="0" xfId="0" applyNumberFormat="1" applyFont="1" applyAlignment="1">
      <alignment horizontal="righ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10" fontId="4" fillId="0" borderId="0" xfId="2" applyNumberFormat="1" applyFont="1" applyAlignment="1" applyProtection="1">
      <alignment horizontal="right"/>
    </xf>
    <xf numFmtId="10" fontId="5" fillId="0" borderId="0" xfId="2" applyNumberFormat="1" applyFont="1" applyAlignment="1" applyProtection="1">
      <alignment horizontal="right"/>
    </xf>
    <xf numFmtId="17" fontId="5" fillId="0" borderId="0" xfId="0" applyNumberFormat="1" applyFont="1"/>
    <xf numFmtId="3" fontId="4" fillId="0" borderId="0" xfId="0" applyNumberFormat="1" applyFont="1"/>
    <xf numFmtId="0" fontId="4" fillId="0" borderId="2" xfId="0" applyFont="1" applyBorder="1" applyAlignment="1">
      <alignment horizontal="center" vertical="center" wrapText="1"/>
    </xf>
    <xf numFmtId="3" fontId="4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</cellXfs>
  <cellStyles count="4">
    <cellStyle name="Millares" xfId="1" builtinId="3"/>
    <cellStyle name="Millares_TRAFICO CAIQUERO_1" xfId="3" xr:uid="{4A25A0FA-A021-4E17-8732-C0E843FC6C54}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3BCA8-CA98-4E3F-9214-68922540C961}">
  <dimension ref="A1:Z39"/>
  <sheetViews>
    <sheetView topLeftCell="A18" workbookViewId="0">
      <selection activeCell="B41" sqref="B41"/>
    </sheetView>
  </sheetViews>
  <sheetFormatPr baseColWidth="10" defaultColWidth="11.44140625" defaultRowHeight="13.8" x14ac:dyDescent="0.3"/>
  <cols>
    <col min="1" max="1" width="15.33203125" style="6" customWidth="1"/>
    <col min="2" max="2" width="12.6640625" style="6" customWidth="1"/>
    <col min="3" max="3" width="9.6640625" style="6" customWidth="1"/>
    <col min="4" max="9" width="12.6640625" style="6" customWidth="1"/>
    <col min="10" max="10" width="4.6640625" style="6" customWidth="1"/>
    <col min="11" max="11" width="12.5546875" style="30" customWidth="1"/>
    <col min="12" max="15" width="12.5546875" style="6" customWidth="1"/>
    <col min="16" max="16" width="0" style="6" hidden="1" customWidth="1"/>
    <col min="17" max="16384" width="11.44140625" style="6"/>
  </cols>
  <sheetData>
    <row r="1" spans="1:19" s="1" customFormat="1" ht="15.6" x14ac:dyDescent="0.3">
      <c r="A1" s="40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</row>
    <row r="2" spans="1:19" s="1" customFormat="1" ht="15.6" x14ac:dyDescent="0.3">
      <c r="A2" s="40" t="s">
        <v>24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</row>
    <row r="3" spans="1:19" s="1" customFormat="1" ht="15.6" x14ac:dyDescent="0.3">
      <c r="A3" s="41" t="s">
        <v>1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</row>
    <row r="4" spans="1:19" ht="82.5" customHeight="1" x14ac:dyDescent="0.3">
      <c r="A4" s="42" t="s">
        <v>2</v>
      </c>
      <c r="B4" s="38" t="s">
        <v>3</v>
      </c>
      <c r="C4" s="38"/>
      <c r="D4" s="3" t="s">
        <v>4</v>
      </c>
      <c r="E4" s="3" t="s">
        <v>5</v>
      </c>
      <c r="F4" s="3" t="s">
        <v>6</v>
      </c>
      <c r="G4" s="3" t="s">
        <v>7</v>
      </c>
      <c r="H4" s="38" t="s">
        <v>8</v>
      </c>
      <c r="I4" s="38" t="s">
        <v>9</v>
      </c>
      <c r="J4" s="4"/>
      <c r="K4" s="44" t="s">
        <v>2</v>
      </c>
      <c r="L4" s="38" t="s">
        <v>10</v>
      </c>
      <c r="M4" s="38" t="s">
        <v>11</v>
      </c>
      <c r="N4" s="38" t="s">
        <v>12</v>
      </c>
      <c r="O4" s="38" t="s">
        <v>13</v>
      </c>
    </row>
    <row r="5" spans="1:19" ht="21" customHeight="1" x14ac:dyDescent="0.3">
      <c r="A5" s="43"/>
      <c r="B5" s="5" t="s">
        <v>14</v>
      </c>
      <c r="C5" s="5" t="s">
        <v>15</v>
      </c>
      <c r="D5" s="5" t="s">
        <v>16</v>
      </c>
      <c r="E5" s="5" t="s">
        <v>17</v>
      </c>
      <c r="F5" s="5" t="s">
        <v>18</v>
      </c>
      <c r="G5" s="5" t="s">
        <v>19</v>
      </c>
      <c r="H5" s="38"/>
      <c r="I5" s="38"/>
      <c r="J5" s="4"/>
      <c r="K5" s="44"/>
      <c r="L5" s="38"/>
      <c r="M5" s="38"/>
      <c r="N5" s="38"/>
      <c r="O5" s="38"/>
    </row>
    <row r="6" spans="1:19" ht="18" customHeight="1" thickBot="1" x14ac:dyDescent="0.35">
      <c r="A6" s="8">
        <v>1</v>
      </c>
      <c r="B6" s="9">
        <v>10262</v>
      </c>
      <c r="C6" s="9">
        <v>0</v>
      </c>
      <c r="D6" s="9">
        <v>345</v>
      </c>
      <c r="E6" s="9">
        <v>41</v>
      </c>
      <c r="F6" s="9">
        <v>50</v>
      </c>
      <c r="G6" s="9">
        <v>38</v>
      </c>
      <c r="H6" s="9">
        <f>SUM(B6:G6)</f>
        <v>10736</v>
      </c>
      <c r="I6" s="9">
        <v>0</v>
      </c>
      <c r="J6" s="10"/>
      <c r="K6" s="8">
        <v>1</v>
      </c>
      <c r="L6" s="9">
        <v>0</v>
      </c>
      <c r="M6" s="9">
        <v>1</v>
      </c>
      <c r="N6" s="9">
        <v>1</v>
      </c>
      <c r="O6" s="9">
        <f>SUM(L6:N6)</f>
        <v>2</v>
      </c>
      <c r="P6" s="11">
        <v>6135</v>
      </c>
    </row>
    <row r="7" spans="1:19" ht="18" customHeight="1" thickTop="1" thickBot="1" x14ac:dyDescent="0.35">
      <c r="A7" s="8">
        <v>2</v>
      </c>
      <c r="B7" s="9">
        <v>13533</v>
      </c>
      <c r="C7" s="9">
        <v>0</v>
      </c>
      <c r="D7" s="9">
        <v>1130</v>
      </c>
      <c r="E7" s="9">
        <v>196</v>
      </c>
      <c r="F7" s="9">
        <v>185</v>
      </c>
      <c r="G7" s="9">
        <v>306</v>
      </c>
      <c r="H7" s="9">
        <f t="shared" ref="H7:H36" si="0">SUM(B7:G7)</f>
        <v>15350</v>
      </c>
      <c r="I7" s="9">
        <v>0</v>
      </c>
      <c r="J7" s="10"/>
      <c r="K7" s="8">
        <v>2</v>
      </c>
      <c r="L7" s="9">
        <v>0</v>
      </c>
      <c r="M7" s="9">
        <v>8</v>
      </c>
      <c r="N7" s="9">
        <v>2</v>
      </c>
      <c r="O7" s="9">
        <f t="shared" ref="O7:O36" si="1">SUM(L7:N7)</f>
        <v>10</v>
      </c>
      <c r="P7" s="11">
        <f>+P6</f>
        <v>6135</v>
      </c>
    </row>
    <row r="8" spans="1:19" ht="18" customHeight="1" thickTop="1" thickBot="1" x14ac:dyDescent="0.35">
      <c r="A8" s="8">
        <v>3</v>
      </c>
      <c r="B8" s="9">
        <v>13416</v>
      </c>
      <c r="C8" s="9">
        <v>0</v>
      </c>
      <c r="D8" s="9">
        <v>1249</v>
      </c>
      <c r="E8" s="9">
        <v>145</v>
      </c>
      <c r="F8" s="9">
        <v>180</v>
      </c>
      <c r="G8" s="9">
        <v>192</v>
      </c>
      <c r="H8" s="9">
        <f t="shared" si="0"/>
        <v>15182</v>
      </c>
      <c r="I8" s="9">
        <v>0</v>
      </c>
      <c r="J8" s="10"/>
      <c r="K8" s="8">
        <v>3</v>
      </c>
      <c r="L8" s="9">
        <v>2</v>
      </c>
      <c r="M8" s="9">
        <v>16</v>
      </c>
      <c r="N8" s="9">
        <v>3</v>
      </c>
      <c r="O8" s="9">
        <f t="shared" si="1"/>
        <v>21</v>
      </c>
      <c r="P8" s="11">
        <f t="shared" ref="P8:P36" si="2">+P7</f>
        <v>6135</v>
      </c>
      <c r="S8" s="12"/>
    </row>
    <row r="9" spans="1:19" ht="18" customHeight="1" thickTop="1" thickBot="1" x14ac:dyDescent="0.35">
      <c r="A9" s="8">
        <v>4</v>
      </c>
      <c r="B9" s="9">
        <v>16168</v>
      </c>
      <c r="C9" s="9">
        <v>0</v>
      </c>
      <c r="D9" s="9">
        <v>1273</v>
      </c>
      <c r="E9" s="9">
        <v>145</v>
      </c>
      <c r="F9" s="9">
        <v>221</v>
      </c>
      <c r="G9" s="9">
        <v>204</v>
      </c>
      <c r="H9" s="9">
        <f t="shared" si="0"/>
        <v>18011</v>
      </c>
      <c r="I9" s="9">
        <v>0</v>
      </c>
      <c r="J9" s="10"/>
      <c r="K9" s="8">
        <v>4</v>
      </c>
      <c r="L9" s="9">
        <v>0</v>
      </c>
      <c r="M9" s="9">
        <v>11</v>
      </c>
      <c r="N9" s="9">
        <v>2</v>
      </c>
      <c r="O9" s="9">
        <f t="shared" si="1"/>
        <v>13</v>
      </c>
      <c r="P9" s="11">
        <v>0</v>
      </c>
    </row>
    <row r="10" spans="1:19" ht="18" customHeight="1" thickTop="1" thickBot="1" x14ac:dyDescent="0.35">
      <c r="A10" s="8">
        <v>5</v>
      </c>
      <c r="B10" s="9">
        <v>17257</v>
      </c>
      <c r="C10" s="9">
        <v>0</v>
      </c>
      <c r="D10" s="9">
        <v>1249</v>
      </c>
      <c r="E10" s="9">
        <v>130</v>
      </c>
      <c r="F10" s="9">
        <v>165</v>
      </c>
      <c r="G10" s="9">
        <v>263</v>
      </c>
      <c r="H10" s="9">
        <f t="shared" si="0"/>
        <v>19064</v>
      </c>
      <c r="I10" s="9">
        <v>0</v>
      </c>
      <c r="J10" s="10"/>
      <c r="K10" s="8">
        <v>5</v>
      </c>
      <c r="L10" s="9">
        <v>4</v>
      </c>
      <c r="M10" s="9">
        <v>10</v>
      </c>
      <c r="N10" s="9">
        <v>2</v>
      </c>
      <c r="O10" s="9">
        <f t="shared" si="1"/>
        <v>16</v>
      </c>
      <c r="P10" s="11">
        <f t="shared" si="2"/>
        <v>0</v>
      </c>
    </row>
    <row r="11" spans="1:19" ht="18" customHeight="1" thickTop="1" thickBot="1" x14ac:dyDescent="0.35">
      <c r="A11" s="8">
        <v>6</v>
      </c>
      <c r="B11" s="9">
        <v>15884</v>
      </c>
      <c r="C11" s="9">
        <v>0</v>
      </c>
      <c r="D11" s="9">
        <v>1248</v>
      </c>
      <c r="E11" s="9">
        <v>61</v>
      </c>
      <c r="F11" s="9">
        <v>101</v>
      </c>
      <c r="G11" s="9">
        <v>122</v>
      </c>
      <c r="H11" s="9">
        <f t="shared" si="0"/>
        <v>17416</v>
      </c>
      <c r="I11" s="9">
        <v>0</v>
      </c>
      <c r="J11" s="10"/>
      <c r="K11" s="8">
        <v>6</v>
      </c>
      <c r="L11" s="9">
        <v>2</v>
      </c>
      <c r="M11" s="9">
        <v>1</v>
      </c>
      <c r="N11" s="9">
        <v>1</v>
      </c>
      <c r="O11" s="9">
        <f t="shared" si="1"/>
        <v>4</v>
      </c>
      <c r="P11" s="11">
        <f t="shared" si="2"/>
        <v>0</v>
      </c>
    </row>
    <row r="12" spans="1:19" ht="18" customHeight="1" thickTop="1" thickBot="1" x14ac:dyDescent="0.35">
      <c r="A12" s="8">
        <v>7</v>
      </c>
      <c r="B12" s="9">
        <v>9573</v>
      </c>
      <c r="C12" s="9">
        <v>0</v>
      </c>
      <c r="D12" s="9">
        <v>1572</v>
      </c>
      <c r="E12" s="9">
        <v>234</v>
      </c>
      <c r="F12" s="9">
        <v>218</v>
      </c>
      <c r="G12" s="9">
        <v>408</v>
      </c>
      <c r="H12" s="9">
        <f t="shared" si="0"/>
        <v>12005</v>
      </c>
      <c r="I12" s="9">
        <v>0</v>
      </c>
      <c r="J12" s="13"/>
      <c r="K12" s="8">
        <v>7</v>
      </c>
      <c r="L12" s="9">
        <v>5</v>
      </c>
      <c r="M12" s="9">
        <v>6</v>
      </c>
      <c r="N12" s="9">
        <v>4</v>
      </c>
      <c r="O12" s="9">
        <f t="shared" si="1"/>
        <v>15</v>
      </c>
      <c r="P12" s="11">
        <f t="shared" si="2"/>
        <v>0</v>
      </c>
    </row>
    <row r="13" spans="1:19" ht="18" customHeight="1" thickTop="1" thickBot="1" x14ac:dyDescent="0.35">
      <c r="A13" s="8">
        <v>8</v>
      </c>
      <c r="B13" s="9">
        <v>8199</v>
      </c>
      <c r="C13" s="9">
        <v>0</v>
      </c>
      <c r="D13" s="9">
        <v>1704</v>
      </c>
      <c r="E13" s="9">
        <v>264</v>
      </c>
      <c r="F13" s="9">
        <v>274</v>
      </c>
      <c r="G13" s="9">
        <v>454</v>
      </c>
      <c r="H13" s="9">
        <f t="shared" si="0"/>
        <v>10895</v>
      </c>
      <c r="I13" s="9">
        <v>0</v>
      </c>
      <c r="J13" s="13"/>
      <c r="K13" s="8">
        <v>8</v>
      </c>
      <c r="L13" s="9">
        <v>4</v>
      </c>
      <c r="M13" s="9">
        <v>12</v>
      </c>
      <c r="N13" s="9">
        <v>1</v>
      </c>
      <c r="O13" s="9">
        <f t="shared" si="1"/>
        <v>17</v>
      </c>
      <c r="P13" s="11">
        <f t="shared" si="2"/>
        <v>0</v>
      </c>
    </row>
    <row r="14" spans="1:19" s="15" customFormat="1" ht="18" customHeight="1" thickTop="1" thickBot="1" x14ac:dyDescent="0.35">
      <c r="A14" s="8">
        <v>9</v>
      </c>
      <c r="B14" s="9">
        <v>7727</v>
      </c>
      <c r="C14" s="9">
        <v>0</v>
      </c>
      <c r="D14" s="9">
        <v>1941</v>
      </c>
      <c r="E14" s="9">
        <v>302</v>
      </c>
      <c r="F14" s="9">
        <v>308</v>
      </c>
      <c r="G14" s="9">
        <v>465</v>
      </c>
      <c r="H14" s="9">
        <f t="shared" si="0"/>
        <v>10743</v>
      </c>
      <c r="I14" s="9">
        <v>0</v>
      </c>
      <c r="J14" s="13"/>
      <c r="K14" s="8">
        <v>9</v>
      </c>
      <c r="L14" s="9">
        <v>5</v>
      </c>
      <c r="M14" s="9">
        <v>27</v>
      </c>
      <c r="N14" s="9">
        <v>6</v>
      </c>
      <c r="O14" s="9">
        <f t="shared" si="1"/>
        <v>38</v>
      </c>
      <c r="P14" s="14">
        <f t="shared" si="2"/>
        <v>0</v>
      </c>
    </row>
    <row r="15" spans="1:19" ht="18" customHeight="1" thickTop="1" thickBot="1" x14ac:dyDescent="0.35">
      <c r="A15" s="8">
        <v>10</v>
      </c>
      <c r="B15" s="9">
        <v>8318</v>
      </c>
      <c r="C15" s="9">
        <v>0</v>
      </c>
      <c r="D15" s="9">
        <v>1704</v>
      </c>
      <c r="E15" s="9">
        <v>279</v>
      </c>
      <c r="F15" s="9">
        <v>296</v>
      </c>
      <c r="G15" s="9">
        <v>390</v>
      </c>
      <c r="H15" s="9">
        <f t="shared" si="0"/>
        <v>10987</v>
      </c>
      <c r="I15" s="9">
        <v>0</v>
      </c>
      <c r="J15" s="13"/>
      <c r="K15" s="8">
        <v>10</v>
      </c>
      <c r="L15" s="9">
        <v>4</v>
      </c>
      <c r="M15" s="9">
        <v>6</v>
      </c>
      <c r="N15" s="9">
        <v>0</v>
      </c>
      <c r="O15" s="9">
        <f t="shared" si="1"/>
        <v>10</v>
      </c>
      <c r="P15" s="11">
        <f t="shared" si="2"/>
        <v>0</v>
      </c>
    </row>
    <row r="16" spans="1:19" ht="18" customHeight="1" thickTop="1" thickBot="1" x14ac:dyDescent="0.35">
      <c r="A16" s="8">
        <v>11</v>
      </c>
      <c r="B16" s="9">
        <v>10232</v>
      </c>
      <c r="C16" s="9">
        <v>0</v>
      </c>
      <c r="D16" s="9">
        <v>1709</v>
      </c>
      <c r="E16" s="9">
        <v>248</v>
      </c>
      <c r="F16" s="9">
        <v>295</v>
      </c>
      <c r="G16" s="9">
        <v>400</v>
      </c>
      <c r="H16" s="9">
        <f t="shared" si="0"/>
        <v>12884</v>
      </c>
      <c r="I16" s="9">
        <v>0</v>
      </c>
      <c r="J16" s="13"/>
      <c r="K16" s="8">
        <v>11</v>
      </c>
      <c r="L16" s="9">
        <v>4</v>
      </c>
      <c r="M16" s="9">
        <v>19</v>
      </c>
      <c r="N16" s="9">
        <v>4</v>
      </c>
      <c r="O16" s="9">
        <f t="shared" si="1"/>
        <v>27</v>
      </c>
      <c r="P16" s="11">
        <f t="shared" si="2"/>
        <v>0</v>
      </c>
    </row>
    <row r="17" spans="1:26" ht="18" customHeight="1" thickTop="1" thickBot="1" x14ac:dyDescent="0.35">
      <c r="A17" s="8">
        <v>12</v>
      </c>
      <c r="B17" s="9">
        <v>11356</v>
      </c>
      <c r="C17" s="9">
        <v>0</v>
      </c>
      <c r="D17" s="9">
        <v>1339</v>
      </c>
      <c r="E17" s="9">
        <v>163</v>
      </c>
      <c r="F17" s="9">
        <v>181</v>
      </c>
      <c r="G17" s="9">
        <v>343</v>
      </c>
      <c r="H17" s="9">
        <f t="shared" si="0"/>
        <v>13382</v>
      </c>
      <c r="I17" s="9">
        <v>0</v>
      </c>
      <c r="J17" s="13"/>
      <c r="K17" s="8">
        <v>12</v>
      </c>
      <c r="L17" s="9">
        <v>6</v>
      </c>
      <c r="M17" s="9">
        <v>8</v>
      </c>
      <c r="N17" s="9">
        <v>2</v>
      </c>
      <c r="O17" s="9">
        <f t="shared" si="1"/>
        <v>16</v>
      </c>
      <c r="P17" s="11">
        <f t="shared" si="2"/>
        <v>0</v>
      </c>
    </row>
    <row r="18" spans="1:26" ht="18" customHeight="1" thickTop="1" thickBot="1" x14ac:dyDescent="0.35">
      <c r="A18" s="8">
        <v>13</v>
      </c>
      <c r="B18" s="9">
        <v>6171</v>
      </c>
      <c r="C18" s="9">
        <v>0</v>
      </c>
      <c r="D18" s="9">
        <v>1474</v>
      </c>
      <c r="E18" s="9">
        <v>287</v>
      </c>
      <c r="F18" s="9">
        <v>233</v>
      </c>
      <c r="G18" s="9">
        <v>418</v>
      </c>
      <c r="H18" s="9">
        <f t="shared" si="0"/>
        <v>8583</v>
      </c>
      <c r="I18" s="9">
        <v>0</v>
      </c>
      <c r="J18" s="13"/>
      <c r="K18" s="8">
        <v>13</v>
      </c>
      <c r="L18" s="9">
        <v>4</v>
      </c>
      <c r="M18" s="9">
        <v>10</v>
      </c>
      <c r="N18" s="9">
        <v>3</v>
      </c>
      <c r="O18" s="9">
        <f t="shared" si="1"/>
        <v>17</v>
      </c>
      <c r="P18" s="11">
        <f t="shared" si="2"/>
        <v>0</v>
      </c>
    </row>
    <row r="19" spans="1:26" ht="18" customHeight="1" thickTop="1" thickBot="1" x14ac:dyDescent="0.35">
      <c r="A19" s="8">
        <v>14</v>
      </c>
      <c r="B19" s="9">
        <v>5281</v>
      </c>
      <c r="C19" s="9">
        <v>0</v>
      </c>
      <c r="D19" s="9">
        <v>1711</v>
      </c>
      <c r="E19" s="9">
        <v>276</v>
      </c>
      <c r="F19" s="9">
        <v>306</v>
      </c>
      <c r="G19" s="9">
        <v>450</v>
      </c>
      <c r="H19" s="9">
        <f t="shared" si="0"/>
        <v>8024</v>
      </c>
      <c r="I19" s="9">
        <v>0</v>
      </c>
      <c r="J19" s="13"/>
      <c r="K19" s="8">
        <v>14</v>
      </c>
      <c r="L19" s="9">
        <v>2</v>
      </c>
      <c r="M19" s="9">
        <v>12</v>
      </c>
      <c r="N19" s="9">
        <v>4</v>
      </c>
      <c r="O19" s="9">
        <f t="shared" si="1"/>
        <v>18</v>
      </c>
      <c r="P19" s="11">
        <f t="shared" si="2"/>
        <v>0</v>
      </c>
    </row>
    <row r="20" spans="1:26" ht="18" customHeight="1" thickTop="1" thickBot="1" x14ac:dyDescent="0.35">
      <c r="A20" s="8">
        <v>15</v>
      </c>
      <c r="B20" s="9">
        <v>5061</v>
      </c>
      <c r="C20" s="9">
        <v>0</v>
      </c>
      <c r="D20" s="9">
        <v>1821</v>
      </c>
      <c r="E20" s="9">
        <v>326</v>
      </c>
      <c r="F20" s="9">
        <v>345</v>
      </c>
      <c r="G20" s="9">
        <v>491</v>
      </c>
      <c r="H20" s="9">
        <f t="shared" si="0"/>
        <v>8044</v>
      </c>
      <c r="I20" s="9">
        <v>0</v>
      </c>
      <c r="J20" s="13"/>
      <c r="K20" s="8">
        <v>15</v>
      </c>
      <c r="L20" s="9">
        <v>3</v>
      </c>
      <c r="M20" s="9">
        <v>17</v>
      </c>
      <c r="N20" s="9">
        <v>1</v>
      </c>
      <c r="O20" s="9">
        <f t="shared" si="1"/>
        <v>21</v>
      </c>
      <c r="P20" s="11">
        <f t="shared" si="2"/>
        <v>0</v>
      </c>
    </row>
    <row r="21" spans="1:26" ht="18" customHeight="1" thickTop="1" thickBot="1" x14ac:dyDescent="0.35">
      <c r="A21" s="8">
        <v>16</v>
      </c>
      <c r="B21" s="9">
        <v>5250</v>
      </c>
      <c r="C21" s="9">
        <v>0</v>
      </c>
      <c r="D21" s="9">
        <v>1734</v>
      </c>
      <c r="E21" s="9">
        <v>344</v>
      </c>
      <c r="F21" s="9">
        <v>346</v>
      </c>
      <c r="G21" s="9">
        <v>532</v>
      </c>
      <c r="H21" s="9">
        <f t="shared" si="0"/>
        <v>8206</v>
      </c>
      <c r="I21" s="9">
        <v>0</v>
      </c>
      <c r="J21" s="13"/>
      <c r="K21" s="8">
        <v>16</v>
      </c>
      <c r="L21" s="9">
        <v>3</v>
      </c>
      <c r="M21" s="9">
        <v>17</v>
      </c>
      <c r="N21" s="9">
        <v>1</v>
      </c>
      <c r="O21" s="9">
        <f t="shared" si="1"/>
        <v>21</v>
      </c>
      <c r="P21" s="11">
        <f>+P20</f>
        <v>0</v>
      </c>
    </row>
    <row r="22" spans="1:26" ht="18" customHeight="1" thickTop="1" thickBot="1" x14ac:dyDescent="0.35">
      <c r="A22" s="8">
        <v>17</v>
      </c>
      <c r="B22" s="9">
        <v>6192</v>
      </c>
      <c r="C22" s="9">
        <v>0</v>
      </c>
      <c r="D22" s="9">
        <v>1535</v>
      </c>
      <c r="E22" s="9">
        <v>300</v>
      </c>
      <c r="F22" s="9">
        <v>296</v>
      </c>
      <c r="G22" s="9">
        <v>431</v>
      </c>
      <c r="H22" s="9">
        <f t="shared" si="0"/>
        <v>8754</v>
      </c>
      <c r="I22" s="9">
        <v>0</v>
      </c>
      <c r="J22" s="13"/>
      <c r="K22" s="8">
        <v>17</v>
      </c>
      <c r="L22" s="9">
        <v>8</v>
      </c>
      <c r="M22" s="9">
        <v>5</v>
      </c>
      <c r="N22" s="9">
        <v>2</v>
      </c>
      <c r="O22" s="9">
        <f t="shared" si="1"/>
        <v>15</v>
      </c>
      <c r="P22" s="11">
        <f t="shared" si="2"/>
        <v>0</v>
      </c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18" customHeight="1" thickTop="1" thickBot="1" x14ac:dyDescent="0.35">
      <c r="A23" s="8">
        <v>18</v>
      </c>
      <c r="B23" s="9">
        <v>7897</v>
      </c>
      <c r="C23" s="9">
        <v>0</v>
      </c>
      <c r="D23" s="9">
        <v>1546</v>
      </c>
      <c r="E23" s="9">
        <v>247</v>
      </c>
      <c r="F23" s="9">
        <v>330</v>
      </c>
      <c r="G23" s="9">
        <v>396</v>
      </c>
      <c r="H23" s="9">
        <f t="shared" si="0"/>
        <v>10416</v>
      </c>
      <c r="I23" s="9">
        <v>0</v>
      </c>
      <c r="J23" s="13"/>
      <c r="K23" s="8">
        <v>18</v>
      </c>
      <c r="L23" s="9">
        <v>2</v>
      </c>
      <c r="M23" s="9">
        <v>8</v>
      </c>
      <c r="N23" s="9">
        <v>2</v>
      </c>
      <c r="O23" s="9">
        <f t="shared" si="1"/>
        <v>12</v>
      </c>
      <c r="P23" s="11">
        <f t="shared" si="2"/>
        <v>0</v>
      </c>
    </row>
    <row r="24" spans="1:26" ht="18" customHeight="1" thickTop="1" thickBot="1" x14ac:dyDescent="0.35">
      <c r="A24" s="8">
        <v>19</v>
      </c>
      <c r="B24" s="9">
        <v>9215</v>
      </c>
      <c r="C24" s="9">
        <v>0</v>
      </c>
      <c r="D24" s="9">
        <v>1193</v>
      </c>
      <c r="E24" s="9">
        <v>181</v>
      </c>
      <c r="F24" s="9">
        <v>196</v>
      </c>
      <c r="G24" s="9">
        <v>328</v>
      </c>
      <c r="H24" s="9">
        <f t="shared" si="0"/>
        <v>11113</v>
      </c>
      <c r="I24" s="9">
        <v>0</v>
      </c>
      <c r="J24" s="13"/>
      <c r="K24" s="8">
        <v>19</v>
      </c>
      <c r="L24" s="9">
        <v>1</v>
      </c>
      <c r="M24" s="9">
        <v>2</v>
      </c>
      <c r="N24" s="9">
        <v>2</v>
      </c>
      <c r="O24" s="9">
        <f t="shared" si="1"/>
        <v>5</v>
      </c>
      <c r="P24" s="11">
        <f t="shared" si="2"/>
        <v>0</v>
      </c>
    </row>
    <row r="25" spans="1:26" ht="18" customHeight="1" thickTop="1" thickBot="1" x14ac:dyDescent="0.35">
      <c r="A25" s="8">
        <v>20</v>
      </c>
      <c r="B25" s="9">
        <v>4869</v>
      </c>
      <c r="C25" s="9">
        <v>0</v>
      </c>
      <c r="D25" s="9">
        <v>1365</v>
      </c>
      <c r="E25" s="9">
        <v>329</v>
      </c>
      <c r="F25" s="9">
        <v>252</v>
      </c>
      <c r="G25" s="9">
        <v>425</v>
      </c>
      <c r="H25" s="9">
        <f t="shared" si="0"/>
        <v>7240</v>
      </c>
      <c r="I25" s="9">
        <v>0</v>
      </c>
      <c r="J25" s="13"/>
      <c r="K25" s="8">
        <v>20</v>
      </c>
      <c r="L25" s="9">
        <v>3</v>
      </c>
      <c r="M25" s="9">
        <v>12</v>
      </c>
      <c r="N25" s="9">
        <v>0</v>
      </c>
      <c r="O25" s="9">
        <f t="shared" si="1"/>
        <v>15</v>
      </c>
      <c r="P25" s="11">
        <f t="shared" si="2"/>
        <v>0</v>
      </c>
    </row>
    <row r="26" spans="1:26" ht="18" customHeight="1" thickTop="1" thickBot="1" x14ac:dyDescent="0.35">
      <c r="A26" s="8">
        <v>21</v>
      </c>
      <c r="B26" s="9">
        <v>4249</v>
      </c>
      <c r="C26" s="9">
        <v>0</v>
      </c>
      <c r="D26" s="9">
        <v>1695</v>
      </c>
      <c r="E26" s="9">
        <v>270</v>
      </c>
      <c r="F26" s="9">
        <v>316</v>
      </c>
      <c r="G26" s="9">
        <v>474</v>
      </c>
      <c r="H26" s="9">
        <f t="shared" si="0"/>
        <v>7004</v>
      </c>
      <c r="I26" s="9">
        <v>0</v>
      </c>
      <c r="J26" s="13"/>
      <c r="K26" s="8">
        <v>21</v>
      </c>
      <c r="L26" s="9">
        <v>0</v>
      </c>
      <c r="M26" s="9">
        <v>16</v>
      </c>
      <c r="N26" s="9">
        <v>4</v>
      </c>
      <c r="O26" s="9">
        <f t="shared" si="1"/>
        <v>20</v>
      </c>
      <c r="P26" s="11">
        <f t="shared" si="2"/>
        <v>0</v>
      </c>
    </row>
    <row r="27" spans="1:26" ht="18" customHeight="1" thickTop="1" thickBot="1" x14ac:dyDescent="0.35">
      <c r="A27" s="17">
        <v>22</v>
      </c>
      <c r="B27" s="18">
        <v>4144</v>
      </c>
      <c r="C27" s="18">
        <v>0</v>
      </c>
      <c r="D27" s="18">
        <v>1772</v>
      </c>
      <c r="E27" s="18">
        <v>326</v>
      </c>
      <c r="F27" s="18">
        <v>357</v>
      </c>
      <c r="G27" s="18">
        <v>504</v>
      </c>
      <c r="H27" s="18">
        <f t="shared" si="0"/>
        <v>7103</v>
      </c>
      <c r="I27" s="18">
        <v>0</v>
      </c>
      <c r="J27" s="19"/>
      <c r="K27" s="17">
        <v>22</v>
      </c>
      <c r="L27" s="18">
        <v>3</v>
      </c>
      <c r="M27" s="18">
        <v>22</v>
      </c>
      <c r="N27" s="18">
        <v>3</v>
      </c>
      <c r="O27" s="18">
        <f t="shared" si="1"/>
        <v>28</v>
      </c>
      <c r="P27" s="11">
        <f t="shared" si="2"/>
        <v>0</v>
      </c>
    </row>
    <row r="28" spans="1:26" ht="18" customHeight="1" thickTop="1" thickBot="1" x14ac:dyDescent="0.35">
      <c r="A28" s="8">
        <v>23</v>
      </c>
      <c r="B28" s="9">
        <v>4875</v>
      </c>
      <c r="C28" s="9">
        <v>0</v>
      </c>
      <c r="D28" s="9">
        <v>1949</v>
      </c>
      <c r="E28" s="9">
        <v>312</v>
      </c>
      <c r="F28" s="9">
        <v>378</v>
      </c>
      <c r="G28" s="9">
        <v>499</v>
      </c>
      <c r="H28" s="18">
        <f t="shared" si="0"/>
        <v>8013</v>
      </c>
      <c r="I28" s="9">
        <v>0</v>
      </c>
      <c r="J28" s="13"/>
      <c r="K28" s="8">
        <v>23</v>
      </c>
      <c r="L28" s="9">
        <v>3</v>
      </c>
      <c r="M28" s="9">
        <v>8</v>
      </c>
      <c r="N28" s="9">
        <v>10</v>
      </c>
      <c r="O28" s="9">
        <f t="shared" si="1"/>
        <v>21</v>
      </c>
      <c r="P28" s="11">
        <f t="shared" si="2"/>
        <v>0</v>
      </c>
    </row>
    <row r="29" spans="1:26" ht="18" customHeight="1" thickTop="1" thickBot="1" x14ac:dyDescent="0.35">
      <c r="A29" s="8">
        <v>24</v>
      </c>
      <c r="B29" s="9">
        <v>7791</v>
      </c>
      <c r="C29" s="9">
        <v>0</v>
      </c>
      <c r="D29" s="9">
        <v>1847</v>
      </c>
      <c r="E29" s="9">
        <v>310</v>
      </c>
      <c r="F29" s="9">
        <v>347</v>
      </c>
      <c r="G29" s="9">
        <v>436</v>
      </c>
      <c r="H29" s="9">
        <f t="shared" si="0"/>
        <v>10731</v>
      </c>
      <c r="I29" s="9">
        <v>0</v>
      </c>
      <c r="J29" s="13"/>
      <c r="K29" s="8">
        <v>24</v>
      </c>
      <c r="L29" s="9">
        <v>2</v>
      </c>
      <c r="M29" s="9">
        <v>12</v>
      </c>
      <c r="N29" s="9">
        <v>9</v>
      </c>
      <c r="O29" s="9">
        <f t="shared" si="1"/>
        <v>23</v>
      </c>
      <c r="P29" s="11">
        <f t="shared" si="2"/>
        <v>0</v>
      </c>
    </row>
    <row r="30" spans="1:26" ht="18" customHeight="1" thickTop="1" thickBot="1" x14ac:dyDescent="0.35">
      <c r="A30" s="8">
        <v>25</v>
      </c>
      <c r="B30" s="9">
        <v>9955</v>
      </c>
      <c r="C30" s="9">
        <v>0</v>
      </c>
      <c r="D30" s="9">
        <v>1720</v>
      </c>
      <c r="E30" s="9">
        <v>253</v>
      </c>
      <c r="F30" s="9">
        <v>315</v>
      </c>
      <c r="G30" s="9">
        <v>406</v>
      </c>
      <c r="H30" s="9">
        <f t="shared" si="0"/>
        <v>12649</v>
      </c>
      <c r="I30" s="9">
        <v>0</v>
      </c>
      <c r="J30" s="13"/>
      <c r="K30" s="8">
        <v>25</v>
      </c>
      <c r="L30" s="9">
        <v>2</v>
      </c>
      <c r="M30" s="9">
        <v>6</v>
      </c>
      <c r="N30" s="9">
        <v>10</v>
      </c>
      <c r="O30" s="9">
        <f t="shared" si="1"/>
        <v>18</v>
      </c>
      <c r="P30" s="11">
        <f t="shared" si="2"/>
        <v>0</v>
      </c>
    </row>
    <row r="31" spans="1:26" ht="18" customHeight="1" thickTop="1" thickBot="1" x14ac:dyDescent="0.35">
      <c r="A31" s="8">
        <v>26</v>
      </c>
      <c r="B31" s="20">
        <v>11640</v>
      </c>
      <c r="C31" s="20">
        <v>0</v>
      </c>
      <c r="D31" s="20">
        <v>1271</v>
      </c>
      <c r="E31" s="20">
        <v>178</v>
      </c>
      <c r="F31" s="21">
        <v>187</v>
      </c>
      <c r="G31" s="20">
        <v>321</v>
      </c>
      <c r="H31" s="22">
        <f t="shared" si="0"/>
        <v>13597</v>
      </c>
      <c r="I31" s="22">
        <v>0</v>
      </c>
      <c r="J31" s="13"/>
      <c r="K31" s="23">
        <v>26</v>
      </c>
      <c r="L31" s="20">
        <v>1</v>
      </c>
      <c r="M31" s="20">
        <v>9</v>
      </c>
      <c r="N31" s="20">
        <v>4</v>
      </c>
      <c r="O31" s="9">
        <f t="shared" si="1"/>
        <v>14</v>
      </c>
      <c r="P31" s="11">
        <f t="shared" si="2"/>
        <v>0</v>
      </c>
    </row>
    <row r="32" spans="1:26" ht="18" customHeight="1" thickTop="1" thickBot="1" x14ac:dyDescent="0.35">
      <c r="A32" s="8">
        <v>27</v>
      </c>
      <c r="B32" s="24">
        <v>5114</v>
      </c>
      <c r="C32" s="24">
        <v>0</v>
      </c>
      <c r="D32" s="24">
        <v>1366</v>
      </c>
      <c r="E32" s="24">
        <v>307</v>
      </c>
      <c r="F32" s="24">
        <v>285</v>
      </c>
      <c r="G32" s="24">
        <v>456</v>
      </c>
      <c r="H32" s="9">
        <f t="shared" si="0"/>
        <v>7528</v>
      </c>
      <c r="I32" s="9">
        <v>0</v>
      </c>
      <c r="J32" s="9"/>
      <c r="K32" s="8">
        <v>27</v>
      </c>
      <c r="L32" s="24">
        <v>7</v>
      </c>
      <c r="M32" s="24">
        <v>11</v>
      </c>
      <c r="N32" s="24">
        <v>7</v>
      </c>
      <c r="O32" s="9">
        <f t="shared" si="1"/>
        <v>25</v>
      </c>
      <c r="P32" s="11">
        <f t="shared" si="2"/>
        <v>0</v>
      </c>
    </row>
    <row r="33" spans="1:17" ht="18" customHeight="1" thickTop="1" thickBot="1" x14ac:dyDescent="0.35">
      <c r="A33" s="8">
        <v>28</v>
      </c>
      <c r="B33" s="24">
        <v>4302</v>
      </c>
      <c r="C33" s="24">
        <v>0</v>
      </c>
      <c r="D33" s="24">
        <v>1735</v>
      </c>
      <c r="E33" s="24">
        <v>285</v>
      </c>
      <c r="F33" s="24">
        <v>320</v>
      </c>
      <c r="G33" s="24">
        <v>464</v>
      </c>
      <c r="H33" s="9">
        <f t="shared" si="0"/>
        <v>7106</v>
      </c>
      <c r="I33" s="9">
        <v>0</v>
      </c>
      <c r="J33" s="9"/>
      <c r="K33" s="8">
        <v>28</v>
      </c>
      <c r="L33" s="24">
        <v>6</v>
      </c>
      <c r="M33" s="24">
        <v>8</v>
      </c>
      <c r="N33" s="24">
        <v>6</v>
      </c>
      <c r="O33" s="9">
        <f t="shared" si="1"/>
        <v>20</v>
      </c>
      <c r="P33" s="11">
        <f t="shared" si="2"/>
        <v>0</v>
      </c>
    </row>
    <row r="34" spans="1:17" ht="18" customHeight="1" thickTop="1" thickBot="1" x14ac:dyDescent="0.35">
      <c r="A34" s="8">
        <v>29</v>
      </c>
      <c r="B34" s="24">
        <v>3765</v>
      </c>
      <c r="C34" s="24">
        <v>0</v>
      </c>
      <c r="D34" s="24">
        <v>1695</v>
      </c>
      <c r="E34" s="24">
        <v>318</v>
      </c>
      <c r="F34" s="24">
        <v>367</v>
      </c>
      <c r="G34" s="24">
        <v>507</v>
      </c>
      <c r="H34" s="9">
        <f t="shared" si="0"/>
        <v>6652</v>
      </c>
      <c r="I34" s="9">
        <v>0</v>
      </c>
      <c r="J34" s="9"/>
      <c r="K34" s="8">
        <v>29</v>
      </c>
      <c r="L34" s="24">
        <v>2</v>
      </c>
      <c r="M34" s="24">
        <v>19</v>
      </c>
      <c r="N34" s="24">
        <v>4</v>
      </c>
      <c r="O34" s="9">
        <f t="shared" si="1"/>
        <v>25</v>
      </c>
      <c r="P34" s="11">
        <f t="shared" si="2"/>
        <v>0</v>
      </c>
    </row>
    <row r="35" spans="1:17" ht="18" customHeight="1" thickTop="1" thickBot="1" x14ac:dyDescent="0.35">
      <c r="A35" s="8">
        <v>30</v>
      </c>
      <c r="B35" s="24">
        <v>4226</v>
      </c>
      <c r="C35" s="24">
        <v>0</v>
      </c>
      <c r="D35" s="24">
        <v>1705</v>
      </c>
      <c r="E35" s="24">
        <v>321</v>
      </c>
      <c r="F35" s="24">
        <v>346</v>
      </c>
      <c r="G35" s="24">
        <v>540</v>
      </c>
      <c r="H35" s="25">
        <f t="shared" si="0"/>
        <v>7138</v>
      </c>
      <c r="I35" s="25">
        <v>0</v>
      </c>
      <c r="J35" s="25"/>
      <c r="K35" s="26">
        <v>30</v>
      </c>
      <c r="L35" s="24">
        <v>8</v>
      </c>
      <c r="M35" s="24">
        <v>15</v>
      </c>
      <c r="N35" s="24">
        <v>2</v>
      </c>
      <c r="O35" s="25">
        <f t="shared" si="1"/>
        <v>25</v>
      </c>
      <c r="P35" s="11">
        <f t="shared" si="2"/>
        <v>0</v>
      </c>
    </row>
    <row r="36" spans="1:17" ht="18.75" customHeight="1" thickTop="1" thickBot="1" x14ac:dyDescent="0.35">
      <c r="A36" s="8">
        <v>31</v>
      </c>
      <c r="B36" s="24">
        <v>5519</v>
      </c>
      <c r="C36" s="24">
        <v>0</v>
      </c>
      <c r="D36" s="24">
        <v>1554</v>
      </c>
      <c r="E36" s="24">
        <v>275</v>
      </c>
      <c r="F36" s="24">
        <v>345</v>
      </c>
      <c r="G36" s="24">
        <v>439</v>
      </c>
      <c r="H36" s="25">
        <f t="shared" si="0"/>
        <v>8132</v>
      </c>
      <c r="I36" s="9">
        <v>0</v>
      </c>
      <c r="J36" s="9"/>
      <c r="K36" s="8">
        <v>31</v>
      </c>
      <c r="L36" s="24">
        <v>13</v>
      </c>
      <c r="M36" s="24">
        <v>8</v>
      </c>
      <c r="N36" s="24">
        <v>3</v>
      </c>
      <c r="O36" s="9">
        <f t="shared" si="1"/>
        <v>24</v>
      </c>
      <c r="P36" s="11">
        <f t="shared" si="2"/>
        <v>0</v>
      </c>
      <c r="Q36" s="6">
        <v>3</v>
      </c>
    </row>
    <row r="37" spans="1:17" ht="18" customHeight="1" thickTop="1" x14ac:dyDescent="0.3">
      <c r="A37" s="5" t="s">
        <v>20</v>
      </c>
      <c r="B37" s="27">
        <f>SUM(B6:B36)</f>
        <v>257441</v>
      </c>
      <c r="C37" s="27">
        <f t="shared" ref="C37:G37" si="3">SUM(C6:C36)</f>
        <v>0</v>
      </c>
      <c r="D37" s="27">
        <f t="shared" si="3"/>
        <v>47151</v>
      </c>
      <c r="E37" s="27">
        <f t="shared" si="3"/>
        <v>7653</v>
      </c>
      <c r="F37" s="27">
        <f t="shared" si="3"/>
        <v>8341</v>
      </c>
      <c r="G37" s="27">
        <f t="shared" si="3"/>
        <v>12102</v>
      </c>
      <c r="H37" s="27">
        <f>SUM(H6:H36)</f>
        <v>332688</v>
      </c>
      <c r="I37" s="27">
        <f>SUM(I6:I33)</f>
        <v>0</v>
      </c>
      <c r="J37" s="27"/>
      <c r="K37" s="27" t="s">
        <v>21</v>
      </c>
      <c r="L37" s="27">
        <f>SUM(L6:L36)</f>
        <v>109</v>
      </c>
      <c r="M37" s="27">
        <f>SUM(M6:M36)</f>
        <v>342</v>
      </c>
      <c r="N37" s="27">
        <f>SUM(N6:N36)</f>
        <v>105</v>
      </c>
      <c r="O37" s="27">
        <f>SUM(O6:O36)</f>
        <v>556</v>
      </c>
      <c r="P37" s="27">
        <f t="shared" ref="P37" si="4">SUM(P6:P36)</f>
        <v>18405</v>
      </c>
    </row>
    <row r="38" spans="1:17" ht="18" customHeight="1" x14ac:dyDescent="0.3">
      <c r="A38" s="5" t="s">
        <v>20</v>
      </c>
      <c r="B38" s="39">
        <f>+B37+C37</f>
        <v>257441</v>
      </c>
      <c r="C38" s="39"/>
      <c r="D38" s="27">
        <f>+D37</f>
        <v>47151</v>
      </c>
      <c r="E38" s="27">
        <f>+E37</f>
        <v>7653</v>
      </c>
      <c r="F38" s="27">
        <f>+F37</f>
        <v>8341</v>
      </c>
      <c r="G38" s="27">
        <f>+G37</f>
        <v>12102</v>
      </c>
      <c r="H38" s="27">
        <f>SUM(B38:G38)</f>
        <v>332688</v>
      </c>
      <c r="I38" s="27">
        <v>0</v>
      </c>
      <c r="J38" s="28"/>
      <c r="K38" s="29"/>
      <c r="L38" s="29" t="s">
        <v>22</v>
      </c>
      <c r="M38" s="29" t="s">
        <v>23</v>
      </c>
      <c r="N38" s="29" t="s">
        <v>22</v>
      </c>
      <c r="O38" s="29"/>
    </row>
    <row r="39" spans="1:17" x14ac:dyDescent="0.3">
      <c r="A39" s="36"/>
      <c r="B39" s="12"/>
      <c r="C39" s="12"/>
      <c r="D39" s="12"/>
      <c r="E39" s="12"/>
      <c r="F39" s="12"/>
      <c r="H39" s="12"/>
      <c r="I39" s="12"/>
      <c r="J39" s="12"/>
      <c r="K39" s="37"/>
      <c r="L39" s="12"/>
      <c r="M39" s="12"/>
      <c r="N39" s="12"/>
      <c r="O39" s="12"/>
    </row>
  </sheetData>
  <mergeCells count="13">
    <mergeCell ref="N4:N5"/>
    <mergeCell ref="O4:O5"/>
    <mergeCell ref="B38:C38"/>
    <mergeCell ref="A1:O1"/>
    <mergeCell ref="A2:O2"/>
    <mergeCell ref="A3:O3"/>
    <mergeCell ref="A4:A5"/>
    <mergeCell ref="B4:C4"/>
    <mergeCell ref="H4:H5"/>
    <mergeCell ref="I4:I5"/>
    <mergeCell ref="K4:K5"/>
    <mergeCell ref="L4:L5"/>
    <mergeCell ref="M4:M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C07E7-CA1C-4708-8497-F2389D1E528D}">
  <dimension ref="A1:Z42"/>
  <sheetViews>
    <sheetView topLeftCell="A21" workbookViewId="0">
      <selection activeCell="C42" sqref="C42"/>
    </sheetView>
  </sheetViews>
  <sheetFormatPr baseColWidth="10" defaultColWidth="11.44140625" defaultRowHeight="13.8" x14ac:dyDescent="0.3"/>
  <cols>
    <col min="1" max="1" width="15.33203125" style="6" customWidth="1"/>
    <col min="2" max="2" width="12.6640625" style="6" customWidth="1"/>
    <col min="3" max="3" width="9.6640625" style="6" customWidth="1"/>
    <col min="4" max="9" width="12.6640625" style="6" customWidth="1"/>
    <col min="10" max="10" width="4.6640625" style="6" customWidth="1"/>
    <col min="11" max="11" width="12.5546875" style="30" customWidth="1"/>
    <col min="12" max="15" width="12.5546875" style="6" customWidth="1"/>
    <col min="16" max="16" width="0" style="6" hidden="1" customWidth="1"/>
    <col min="17" max="16384" width="11.44140625" style="6"/>
  </cols>
  <sheetData>
    <row r="1" spans="1:19" s="1" customFormat="1" ht="15.6" x14ac:dyDescent="0.3">
      <c r="A1" s="40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</row>
    <row r="2" spans="1:19" s="1" customFormat="1" ht="15.6" x14ac:dyDescent="0.3">
      <c r="A2" s="40" t="s">
        <v>24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</row>
    <row r="3" spans="1:19" s="1" customFormat="1" ht="15.6" x14ac:dyDescent="0.3">
      <c r="A3" s="41" t="s">
        <v>25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</row>
    <row r="4" spans="1:19" ht="82.5" customHeight="1" x14ac:dyDescent="0.3">
      <c r="A4" s="42" t="s">
        <v>2</v>
      </c>
      <c r="B4" s="38" t="s">
        <v>3</v>
      </c>
      <c r="C4" s="38"/>
      <c r="D4" s="3" t="s">
        <v>4</v>
      </c>
      <c r="E4" s="3" t="s">
        <v>5</v>
      </c>
      <c r="F4" s="3" t="s">
        <v>6</v>
      </c>
      <c r="G4" s="3" t="s">
        <v>7</v>
      </c>
      <c r="H4" s="38" t="s">
        <v>8</v>
      </c>
      <c r="I4" s="38" t="s">
        <v>9</v>
      </c>
      <c r="J4" s="4"/>
      <c r="K4" s="44" t="s">
        <v>2</v>
      </c>
      <c r="L4" s="38" t="s">
        <v>10</v>
      </c>
      <c r="M4" s="38" t="s">
        <v>11</v>
      </c>
      <c r="N4" s="38" t="s">
        <v>12</v>
      </c>
      <c r="O4" s="38" t="s">
        <v>13</v>
      </c>
    </row>
    <row r="5" spans="1:19" ht="21" customHeight="1" x14ac:dyDescent="0.3">
      <c r="A5" s="43"/>
      <c r="B5" s="5" t="s">
        <v>14</v>
      </c>
      <c r="C5" s="5" t="s">
        <v>15</v>
      </c>
      <c r="D5" s="5" t="s">
        <v>16</v>
      </c>
      <c r="E5" s="5" t="s">
        <v>17</v>
      </c>
      <c r="F5" s="5" t="s">
        <v>18</v>
      </c>
      <c r="G5" s="5" t="s">
        <v>19</v>
      </c>
      <c r="H5" s="38"/>
      <c r="I5" s="38"/>
      <c r="J5" s="4"/>
      <c r="K5" s="44"/>
      <c r="L5" s="38"/>
      <c r="M5" s="38"/>
      <c r="N5" s="38"/>
      <c r="O5" s="38"/>
    </row>
    <row r="6" spans="1:19" ht="18" customHeight="1" thickBot="1" x14ac:dyDescent="0.35">
      <c r="A6" s="8">
        <v>1</v>
      </c>
      <c r="B6" s="9">
        <v>6538</v>
      </c>
      <c r="C6" s="9">
        <v>0</v>
      </c>
      <c r="D6" s="9">
        <v>1419</v>
      </c>
      <c r="E6" s="9">
        <v>206</v>
      </c>
      <c r="F6" s="9">
        <v>268</v>
      </c>
      <c r="G6" s="9">
        <v>360</v>
      </c>
      <c r="H6" s="9">
        <f>SUM(B6:G6)</f>
        <v>8791</v>
      </c>
      <c r="I6" s="9">
        <v>0</v>
      </c>
      <c r="J6" s="10"/>
      <c r="K6" s="8">
        <v>1</v>
      </c>
      <c r="L6" s="9">
        <v>4</v>
      </c>
      <c r="M6" s="9">
        <v>15</v>
      </c>
      <c r="N6" s="9">
        <v>4</v>
      </c>
      <c r="O6" s="9">
        <f>SUM(L6:N6)</f>
        <v>23</v>
      </c>
      <c r="P6" s="11">
        <v>6135</v>
      </c>
    </row>
    <row r="7" spans="1:19" ht="18" customHeight="1" thickTop="1" thickBot="1" x14ac:dyDescent="0.35">
      <c r="A7" s="8">
        <v>2</v>
      </c>
      <c r="B7" s="9">
        <v>7671</v>
      </c>
      <c r="C7" s="9">
        <v>0</v>
      </c>
      <c r="D7" s="9">
        <v>1073</v>
      </c>
      <c r="E7" s="9">
        <v>160</v>
      </c>
      <c r="F7" s="9">
        <v>203</v>
      </c>
      <c r="G7" s="9">
        <v>291</v>
      </c>
      <c r="H7" s="9">
        <f t="shared" ref="H7:H36" si="0">SUM(B7:G7)</f>
        <v>9398</v>
      </c>
      <c r="I7" s="9">
        <v>0</v>
      </c>
      <c r="J7" s="10"/>
      <c r="K7" s="8">
        <v>2</v>
      </c>
      <c r="L7" s="9">
        <v>10</v>
      </c>
      <c r="M7" s="9">
        <v>9</v>
      </c>
      <c r="N7" s="9">
        <v>5</v>
      </c>
      <c r="O7" s="9">
        <f t="shared" ref="O7:O36" si="1">SUM(L7:N7)</f>
        <v>24</v>
      </c>
      <c r="P7" s="11">
        <f>+P6</f>
        <v>6135</v>
      </c>
    </row>
    <row r="8" spans="1:19" ht="18" customHeight="1" thickTop="1" thickBot="1" x14ac:dyDescent="0.35">
      <c r="A8" s="8">
        <v>3</v>
      </c>
      <c r="B8" s="9">
        <v>3558</v>
      </c>
      <c r="C8" s="9">
        <v>0</v>
      </c>
      <c r="D8" s="9">
        <v>1294</v>
      </c>
      <c r="E8" s="9">
        <v>297</v>
      </c>
      <c r="F8" s="9">
        <v>254</v>
      </c>
      <c r="G8" s="9">
        <v>395</v>
      </c>
      <c r="H8" s="9">
        <f t="shared" si="0"/>
        <v>5798</v>
      </c>
      <c r="I8" s="9">
        <v>0</v>
      </c>
      <c r="J8" s="10"/>
      <c r="K8" s="8">
        <v>3</v>
      </c>
      <c r="L8" s="9">
        <v>1</v>
      </c>
      <c r="M8" s="9">
        <v>12</v>
      </c>
      <c r="N8" s="9">
        <v>4</v>
      </c>
      <c r="O8" s="9">
        <f t="shared" si="1"/>
        <v>17</v>
      </c>
      <c r="P8" s="11">
        <f t="shared" ref="P8:P36" si="2">+P7</f>
        <v>6135</v>
      </c>
      <c r="S8" s="12"/>
    </row>
    <row r="9" spans="1:19" ht="18" customHeight="1" thickTop="1" thickBot="1" x14ac:dyDescent="0.35">
      <c r="A9" s="8">
        <v>4</v>
      </c>
      <c r="B9" s="9">
        <v>3326</v>
      </c>
      <c r="C9" s="9">
        <v>0</v>
      </c>
      <c r="D9" s="9">
        <v>1592</v>
      </c>
      <c r="E9" s="9">
        <v>258</v>
      </c>
      <c r="F9" s="9">
        <v>307</v>
      </c>
      <c r="G9" s="9">
        <v>412</v>
      </c>
      <c r="H9" s="9">
        <f t="shared" si="0"/>
        <v>5895</v>
      </c>
      <c r="I9" s="9">
        <v>0</v>
      </c>
      <c r="J9" s="10"/>
      <c r="K9" s="8">
        <v>4</v>
      </c>
      <c r="L9" s="9">
        <v>3</v>
      </c>
      <c r="M9" s="9">
        <v>22</v>
      </c>
      <c r="N9" s="9">
        <v>5</v>
      </c>
      <c r="O9" s="9">
        <f t="shared" si="1"/>
        <v>30</v>
      </c>
      <c r="P9" s="11">
        <v>0</v>
      </c>
    </row>
    <row r="10" spans="1:19" ht="18" customHeight="1" thickTop="1" thickBot="1" x14ac:dyDescent="0.35">
      <c r="A10" s="8">
        <v>5</v>
      </c>
      <c r="B10" s="9">
        <v>3540</v>
      </c>
      <c r="C10" s="9">
        <v>0</v>
      </c>
      <c r="D10" s="9">
        <v>1685</v>
      </c>
      <c r="E10" s="9">
        <v>306</v>
      </c>
      <c r="F10" s="9">
        <v>326</v>
      </c>
      <c r="G10" s="9">
        <v>493</v>
      </c>
      <c r="H10" s="9">
        <f t="shared" si="0"/>
        <v>6350</v>
      </c>
      <c r="I10" s="9">
        <v>0</v>
      </c>
      <c r="J10" s="10"/>
      <c r="K10" s="8">
        <v>5</v>
      </c>
      <c r="L10" s="9">
        <v>3</v>
      </c>
      <c r="M10" s="9">
        <v>22</v>
      </c>
      <c r="N10" s="9">
        <v>8</v>
      </c>
      <c r="O10" s="9">
        <f t="shared" si="1"/>
        <v>33</v>
      </c>
      <c r="P10" s="11">
        <f t="shared" si="2"/>
        <v>0</v>
      </c>
    </row>
    <row r="11" spans="1:19" ht="18" customHeight="1" thickTop="1" thickBot="1" x14ac:dyDescent="0.35">
      <c r="A11" s="8">
        <v>6</v>
      </c>
      <c r="B11" s="9">
        <v>3123</v>
      </c>
      <c r="C11" s="9">
        <v>0</v>
      </c>
      <c r="D11" s="9">
        <v>1761</v>
      </c>
      <c r="E11" s="9">
        <v>316</v>
      </c>
      <c r="F11" s="9">
        <v>364</v>
      </c>
      <c r="G11" s="9">
        <v>490</v>
      </c>
      <c r="H11" s="9">
        <f t="shared" si="0"/>
        <v>6054</v>
      </c>
      <c r="I11" s="9">
        <v>0</v>
      </c>
      <c r="J11" s="10"/>
      <c r="K11" s="8">
        <v>6</v>
      </c>
      <c r="L11" s="9">
        <v>7</v>
      </c>
      <c r="M11" s="9">
        <v>11</v>
      </c>
      <c r="N11" s="9">
        <v>6</v>
      </c>
      <c r="O11" s="9">
        <f t="shared" si="1"/>
        <v>24</v>
      </c>
      <c r="P11" s="11">
        <f t="shared" si="2"/>
        <v>0</v>
      </c>
    </row>
    <row r="12" spans="1:19" ht="18" customHeight="1" thickTop="1" thickBot="1" x14ac:dyDescent="0.35">
      <c r="A12" s="8">
        <v>7</v>
      </c>
      <c r="B12" s="9">
        <v>4997</v>
      </c>
      <c r="C12" s="9">
        <v>0</v>
      </c>
      <c r="D12" s="9">
        <v>1572</v>
      </c>
      <c r="E12" s="9">
        <v>266</v>
      </c>
      <c r="F12" s="9">
        <v>296</v>
      </c>
      <c r="G12" s="9">
        <v>443</v>
      </c>
      <c r="H12" s="9">
        <f t="shared" si="0"/>
        <v>7574</v>
      </c>
      <c r="I12" s="9">
        <v>0</v>
      </c>
      <c r="J12" s="13"/>
      <c r="K12" s="8">
        <v>7</v>
      </c>
      <c r="L12" s="9">
        <v>2</v>
      </c>
      <c r="M12" s="9">
        <v>10</v>
      </c>
      <c r="N12" s="9">
        <v>8</v>
      </c>
      <c r="O12" s="9">
        <f t="shared" si="1"/>
        <v>20</v>
      </c>
      <c r="P12" s="11">
        <f t="shared" si="2"/>
        <v>0</v>
      </c>
    </row>
    <row r="13" spans="1:19" ht="18" customHeight="1" thickTop="1" thickBot="1" x14ac:dyDescent="0.35">
      <c r="A13" s="8">
        <v>8</v>
      </c>
      <c r="B13" s="9">
        <v>5849</v>
      </c>
      <c r="C13" s="9">
        <v>0</v>
      </c>
      <c r="D13" s="9">
        <v>1425</v>
      </c>
      <c r="E13" s="9">
        <v>237</v>
      </c>
      <c r="F13" s="9">
        <v>294</v>
      </c>
      <c r="G13" s="9">
        <v>359</v>
      </c>
      <c r="H13" s="9">
        <f t="shared" si="0"/>
        <v>8164</v>
      </c>
      <c r="I13" s="9">
        <v>0</v>
      </c>
      <c r="J13" s="13"/>
      <c r="K13" s="8">
        <v>8</v>
      </c>
      <c r="L13" s="9">
        <v>7</v>
      </c>
      <c r="M13" s="9">
        <v>15</v>
      </c>
      <c r="N13" s="9">
        <v>10</v>
      </c>
      <c r="O13" s="9">
        <f t="shared" si="1"/>
        <v>32</v>
      </c>
      <c r="P13" s="11">
        <f t="shared" si="2"/>
        <v>0</v>
      </c>
    </row>
    <row r="14" spans="1:19" s="15" customFormat="1" ht="18" customHeight="1" thickTop="1" thickBot="1" x14ac:dyDescent="0.35">
      <c r="A14" s="8">
        <v>9</v>
      </c>
      <c r="B14" s="9">
        <v>7178</v>
      </c>
      <c r="C14" s="9">
        <v>0</v>
      </c>
      <c r="D14" s="9">
        <v>1095</v>
      </c>
      <c r="E14" s="9">
        <v>162</v>
      </c>
      <c r="F14" s="9">
        <v>190</v>
      </c>
      <c r="G14" s="9">
        <v>321</v>
      </c>
      <c r="H14" s="9">
        <f t="shared" si="0"/>
        <v>8946</v>
      </c>
      <c r="I14" s="9">
        <v>0</v>
      </c>
      <c r="J14" s="13"/>
      <c r="K14" s="8">
        <v>9</v>
      </c>
      <c r="L14" s="9">
        <v>0</v>
      </c>
      <c r="M14" s="9">
        <v>10</v>
      </c>
      <c r="N14" s="9">
        <v>5</v>
      </c>
      <c r="O14" s="9">
        <f t="shared" si="1"/>
        <v>15</v>
      </c>
      <c r="P14" s="14">
        <f t="shared" si="2"/>
        <v>0</v>
      </c>
    </row>
    <row r="15" spans="1:19" ht="18" customHeight="1" thickTop="1" thickBot="1" x14ac:dyDescent="0.35">
      <c r="A15" s="8">
        <v>10</v>
      </c>
      <c r="B15" s="9">
        <v>3486</v>
      </c>
      <c r="C15" s="9">
        <v>0</v>
      </c>
      <c r="D15" s="9">
        <v>1358</v>
      </c>
      <c r="E15" s="9">
        <v>271</v>
      </c>
      <c r="F15" s="9">
        <v>238</v>
      </c>
      <c r="G15" s="9">
        <v>407</v>
      </c>
      <c r="H15" s="9">
        <f t="shared" si="0"/>
        <v>5760</v>
      </c>
      <c r="I15" s="9">
        <v>0</v>
      </c>
      <c r="J15" s="13"/>
      <c r="K15" s="8">
        <v>10</v>
      </c>
      <c r="L15" s="9">
        <v>3</v>
      </c>
      <c r="M15" s="9">
        <v>18</v>
      </c>
      <c r="N15" s="9">
        <v>5</v>
      </c>
      <c r="O15" s="9">
        <f t="shared" si="1"/>
        <v>26</v>
      </c>
      <c r="P15" s="11">
        <f t="shared" si="2"/>
        <v>0</v>
      </c>
    </row>
    <row r="16" spans="1:19" ht="18" customHeight="1" thickTop="1" thickBot="1" x14ac:dyDescent="0.35">
      <c r="A16" s="8">
        <v>11</v>
      </c>
      <c r="B16" s="9">
        <v>3284</v>
      </c>
      <c r="C16" s="9">
        <v>0</v>
      </c>
      <c r="D16" s="9">
        <v>1671</v>
      </c>
      <c r="E16" s="9">
        <v>276</v>
      </c>
      <c r="F16" s="9">
        <v>298</v>
      </c>
      <c r="G16" s="9">
        <v>413</v>
      </c>
      <c r="H16" s="9">
        <f t="shared" si="0"/>
        <v>5942</v>
      </c>
      <c r="I16" s="9">
        <v>0</v>
      </c>
      <c r="J16" s="13"/>
      <c r="K16" s="8">
        <v>11</v>
      </c>
      <c r="L16" s="9">
        <v>2</v>
      </c>
      <c r="M16" s="9">
        <v>11</v>
      </c>
      <c r="N16" s="9">
        <v>7</v>
      </c>
      <c r="O16" s="9">
        <f t="shared" si="1"/>
        <v>20</v>
      </c>
      <c r="P16" s="11">
        <f t="shared" si="2"/>
        <v>0</v>
      </c>
    </row>
    <row r="17" spans="1:26" ht="12" customHeight="1" thickTop="1" thickBot="1" x14ac:dyDescent="0.35">
      <c r="A17" s="8">
        <v>12</v>
      </c>
      <c r="B17" s="9">
        <v>3218</v>
      </c>
      <c r="C17" s="9">
        <v>0</v>
      </c>
      <c r="D17" s="9">
        <v>1652</v>
      </c>
      <c r="E17" s="9">
        <v>293</v>
      </c>
      <c r="F17" s="9">
        <v>342</v>
      </c>
      <c r="G17" s="9">
        <v>433</v>
      </c>
      <c r="H17" s="9">
        <f t="shared" si="0"/>
        <v>5938</v>
      </c>
      <c r="I17" s="9">
        <v>0</v>
      </c>
      <c r="J17" s="13"/>
      <c r="K17" s="8">
        <v>12</v>
      </c>
      <c r="L17" s="9">
        <v>3</v>
      </c>
      <c r="M17" s="9">
        <v>21</v>
      </c>
      <c r="N17" s="9">
        <v>5</v>
      </c>
      <c r="O17" s="9">
        <f t="shared" si="1"/>
        <v>29</v>
      </c>
      <c r="P17" s="11">
        <f t="shared" si="2"/>
        <v>0</v>
      </c>
    </row>
    <row r="18" spans="1:26" ht="18" customHeight="1" thickTop="1" thickBot="1" x14ac:dyDescent="0.35">
      <c r="A18" s="8">
        <v>13</v>
      </c>
      <c r="B18" s="9">
        <v>3762</v>
      </c>
      <c r="C18" s="9">
        <v>0</v>
      </c>
      <c r="D18" s="9">
        <v>1694</v>
      </c>
      <c r="E18" s="9">
        <v>333</v>
      </c>
      <c r="F18" s="9">
        <v>371</v>
      </c>
      <c r="G18" s="9">
        <v>498</v>
      </c>
      <c r="H18" s="9">
        <f t="shared" si="0"/>
        <v>6658</v>
      </c>
      <c r="I18" s="9">
        <v>0</v>
      </c>
      <c r="J18" s="13"/>
      <c r="K18" s="8">
        <v>13</v>
      </c>
      <c r="L18" s="9">
        <v>9</v>
      </c>
      <c r="M18" s="9">
        <v>28</v>
      </c>
      <c r="N18" s="9">
        <v>9</v>
      </c>
      <c r="O18" s="9">
        <f t="shared" si="1"/>
        <v>46</v>
      </c>
      <c r="P18" s="11">
        <f t="shared" si="2"/>
        <v>0</v>
      </c>
    </row>
    <row r="19" spans="1:26" ht="18" customHeight="1" thickTop="1" thickBot="1" x14ac:dyDescent="0.35">
      <c r="A19" s="8">
        <v>14</v>
      </c>
      <c r="B19" s="9">
        <v>4854</v>
      </c>
      <c r="C19" s="9">
        <v>0</v>
      </c>
      <c r="D19" s="9">
        <v>1562</v>
      </c>
      <c r="E19" s="9">
        <v>243</v>
      </c>
      <c r="F19" s="9">
        <v>297</v>
      </c>
      <c r="G19" s="9">
        <v>417</v>
      </c>
      <c r="H19" s="9">
        <f t="shared" si="0"/>
        <v>7373</v>
      </c>
      <c r="I19" s="9">
        <v>0</v>
      </c>
      <c r="J19" s="13"/>
      <c r="K19" s="8">
        <v>14</v>
      </c>
      <c r="L19" s="9">
        <v>3</v>
      </c>
      <c r="M19" s="9">
        <v>15</v>
      </c>
      <c r="N19" s="9">
        <v>5</v>
      </c>
      <c r="O19" s="9">
        <f t="shared" si="1"/>
        <v>23</v>
      </c>
      <c r="P19" s="11">
        <f t="shared" si="2"/>
        <v>0</v>
      </c>
    </row>
    <row r="20" spans="1:26" ht="18" customHeight="1" thickTop="1" thickBot="1" x14ac:dyDescent="0.35">
      <c r="A20" s="8">
        <v>15</v>
      </c>
      <c r="B20" s="9">
        <v>5675</v>
      </c>
      <c r="C20" s="9">
        <v>0</v>
      </c>
      <c r="D20" s="9">
        <v>1415</v>
      </c>
      <c r="E20" s="9">
        <v>233</v>
      </c>
      <c r="F20" s="9">
        <v>350</v>
      </c>
      <c r="G20" s="9">
        <v>347</v>
      </c>
      <c r="H20" s="9">
        <f t="shared" si="0"/>
        <v>8020</v>
      </c>
      <c r="I20" s="9">
        <v>0</v>
      </c>
      <c r="J20" s="13"/>
      <c r="K20" s="8">
        <v>15</v>
      </c>
      <c r="L20" s="9">
        <v>3</v>
      </c>
      <c r="M20" s="9">
        <v>17</v>
      </c>
      <c r="N20" s="9">
        <v>6</v>
      </c>
      <c r="O20" s="9">
        <f t="shared" si="1"/>
        <v>26</v>
      </c>
      <c r="P20" s="11">
        <f t="shared" si="2"/>
        <v>0</v>
      </c>
    </row>
    <row r="21" spans="1:26" ht="18" customHeight="1" thickTop="1" thickBot="1" x14ac:dyDescent="0.35">
      <c r="A21" s="8">
        <v>16</v>
      </c>
      <c r="B21" s="9">
        <v>7030</v>
      </c>
      <c r="C21" s="9">
        <v>0</v>
      </c>
      <c r="D21" s="9">
        <v>1073</v>
      </c>
      <c r="E21" s="9">
        <v>186</v>
      </c>
      <c r="F21" s="9">
        <v>186</v>
      </c>
      <c r="G21" s="9">
        <v>303</v>
      </c>
      <c r="H21" s="9">
        <f t="shared" si="0"/>
        <v>8778</v>
      </c>
      <c r="I21" s="9">
        <v>0</v>
      </c>
      <c r="J21" s="13"/>
      <c r="K21" s="8">
        <v>16</v>
      </c>
      <c r="L21" s="9">
        <v>5</v>
      </c>
      <c r="M21" s="9">
        <v>2</v>
      </c>
      <c r="N21" s="9">
        <v>5</v>
      </c>
      <c r="O21" s="9">
        <f t="shared" si="1"/>
        <v>12</v>
      </c>
      <c r="P21" s="11">
        <f>+P20</f>
        <v>0</v>
      </c>
    </row>
    <row r="22" spans="1:26" ht="18" customHeight="1" thickTop="1" thickBot="1" x14ac:dyDescent="0.35">
      <c r="A22" s="8">
        <v>17</v>
      </c>
      <c r="B22" s="9">
        <v>3573</v>
      </c>
      <c r="C22" s="9">
        <v>0</v>
      </c>
      <c r="D22" s="9">
        <v>1213</v>
      </c>
      <c r="E22" s="9">
        <v>294</v>
      </c>
      <c r="F22" s="9">
        <v>245</v>
      </c>
      <c r="G22" s="9">
        <v>415</v>
      </c>
      <c r="H22" s="9">
        <f t="shared" si="0"/>
        <v>5740</v>
      </c>
      <c r="I22" s="9">
        <v>0</v>
      </c>
      <c r="J22" s="13"/>
      <c r="K22" s="8">
        <v>17</v>
      </c>
      <c r="L22" s="9">
        <v>4</v>
      </c>
      <c r="M22" s="9">
        <v>9</v>
      </c>
      <c r="N22" s="9">
        <v>5</v>
      </c>
      <c r="O22" s="9">
        <f t="shared" si="1"/>
        <v>18</v>
      </c>
      <c r="P22" s="11">
        <f t="shared" si="2"/>
        <v>0</v>
      </c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18" customHeight="1" thickTop="1" thickBot="1" x14ac:dyDescent="0.35">
      <c r="A23" s="8">
        <v>18</v>
      </c>
      <c r="B23" s="9">
        <v>3162</v>
      </c>
      <c r="C23" s="9">
        <v>0</v>
      </c>
      <c r="D23" s="9">
        <v>1561</v>
      </c>
      <c r="E23" s="9">
        <v>274</v>
      </c>
      <c r="F23" s="9">
        <v>313</v>
      </c>
      <c r="G23" s="9">
        <v>419</v>
      </c>
      <c r="H23" s="9">
        <f t="shared" si="0"/>
        <v>5729</v>
      </c>
      <c r="I23" s="9">
        <v>0</v>
      </c>
      <c r="J23" s="13"/>
      <c r="K23" s="8">
        <v>18</v>
      </c>
      <c r="L23" s="9">
        <v>4</v>
      </c>
      <c r="M23" s="9">
        <v>14</v>
      </c>
      <c r="N23" s="9">
        <v>5</v>
      </c>
      <c r="O23" s="9">
        <f t="shared" si="1"/>
        <v>23</v>
      </c>
      <c r="P23" s="11">
        <f t="shared" si="2"/>
        <v>0</v>
      </c>
    </row>
    <row r="24" spans="1:26" ht="18" customHeight="1" thickTop="1" thickBot="1" x14ac:dyDescent="0.35">
      <c r="A24" s="8">
        <v>19</v>
      </c>
      <c r="B24" s="9">
        <v>3079</v>
      </c>
      <c r="C24" s="9">
        <v>0</v>
      </c>
      <c r="D24" s="9">
        <v>1542</v>
      </c>
      <c r="E24" s="9">
        <v>210</v>
      </c>
      <c r="F24" s="9">
        <v>264</v>
      </c>
      <c r="G24" s="9">
        <v>384</v>
      </c>
      <c r="H24" s="9">
        <f t="shared" si="0"/>
        <v>5479</v>
      </c>
      <c r="I24" s="9">
        <v>0</v>
      </c>
      <c r="J24" s="13"/>
      <c r="K24" s="8">
        <v>19</v>
      </c>
      <c r="L24" s="9">
        <v>4</v>
      </c>
      <c r="M24" s="9">
        <v>11</v>
      </c>
      <c r="N24" s="9">
        <v>3</v>
      </c>
      <c r="O24" s="9">
        <f t="shared" si="1"/>
        <v>18</v>
      </c>
      <c r="P24" s="11">
        <f t="shared" si="2"/>
        <v>0</v>
      </c>
    </row>
    <row r="25" spans="1:26" ht="18" customHeight="1" thickTop="1" thickBot="1" x14ac:dyDescent="0.35">
      <c r="A25" s="8">
        <v>20</v>
      </c>
      <c r="B25" s="9">
        <v>3660</v>
      </c>
      <c r="C25" s="9">
        <v>0</v>
      </c>
      <c r="D25" s="9">
        <v>1613</v>
      </c>
      <c r="E25" s="9">
        <v>287</v>
      </c>
      <c r="F25" s="9">
        <v>295</v>
      </c>
      <c r="G25" s="9">
        <v>433</v>
      </c>
      <c r="H25" s="9">
        <f t="shared" si="0"/>
        <v>6288</v>
      </c>
      <c r="I25" s="9">
        <v>0</v>
      </c>
      <c r="J25" s="13"/>
      <c r="K25" s="8">
        <v>20</v>
      </c>
      <c r="L25" s="9">
        <v>5</v>
      </c>
      <c r="M25" s="9">
        <v>14</v>
      </c>
      <c r="N25" s="9">
        <v>7</v>
      </c>
      <c r="O25" s="9">
        <f t="shared" si="1"/>
        <v>26</v>
      </c>
      <c r="P25" s="11">
        <f t="shared" si="2"/>
        <v>0</v>
      </c>
    </row>
    <row r="26" spans="1:26" ht="18" customHeight="1" thickTop="1" thickBot="1" x14ac:dyDescent="0.35">
      <c r="A26" s="8">
        <v>21</v>
      </c>
      <c r="B26" s="9">
        <v>5050</v>
      </c>
      <c r="C26" s="9">
        <v>0</v>
      </c>
      <c r="D26" s="9">
        <v>1571</v>
      </c>
      <c r="E26" s="9">
        <v>229</v>
      </c>
      <c r="F26" s="9">
        <v>329</v>
      </c>
      <c r="G26" s="9">
        <v>424</v>
      </c>
      <c r="H26" s="9">
        <f t="shared" si="0"/>
        <v>7603</v>
      </c>
      <c r="I26" s="9">
        <v>0</v>
      </c>
      <c r="J26" s="13"/>
      <c r="K26" s="8">
        <v>21</v>
      </c>
      <c r="L26" s="9">
        <v>4</v>
      </c>
      <c r="M26" s="9">
        <v>7</v>
      </c>
      <c r="N26" s="9">
        <v>7</v>
      </c>
      <c r="O26" s="9">
        <f t="shared" si="1"/>
        <v>18</v>
      </c>
      <c r="P26" s="11">
        <f t="shared" si="2"/>
        <v>0</v>
      </c>
    </row>
    <row r="27" spans="1:26" ht="18" customHeight="1" thickTop="1" thickBot="1" x14ac:dyDescent="0.35">
      <c r="A27" s="17">
        <v>22</v>
      </c>
      <c r="B27" s="18">
        <v>5818</v>
      </c>
      <c r="C27" s="18">
        <v>0</v>
      </c>
      <c r="D27" s="18">
        <v>1355</v>
      </c>
      <c r="E27" s="18">
        <v>252</v>
      </c>
      <c r="F27" s="18">
        <v>349</v>
      </c>
      <c r="G27" s="18">
        <v>368</v>
      </c>
      <c r="H27" s="18">
        <f t="shared" si="0"/>
        <v>8142</v>
      </c>
      <c r="I27" s="18">
        <v>0</v>
      </c>
      <c r="J27" s="19"/>
      <c r="K27" s="17">
        <v>22</v>
      </c>
      <c r="L27" s="18">
        <v>5</v>
      </c>
      <c r="M27" s="18">
        <v>8</v>
      </c>
      <c r="N27" s="18">
        <v>2</v>
      </c>
      <c r="O27" s="18">
        <f t="shared" si="1"/>
        <v>15</v>
      </c>
      <c r="P27" s="11">
        <f t="shared" si="2"/>
        <v>0</v>
      </c>
    </row>
    <row r="28" spans="1:26" ht="18" customHeight="1" thickTop="1" thickBot="1" x14ac:dyDescent="0.35">
      <c r="A28" s="8">
        <v>23</v>
      </c>
      <c r="B28" s="9">
        <v>7235</v>
      </c>
      <c r="C28" s="9">
        <v>0</v>
      </c>
      <c r="D28" s="9">
        <v>1061</v>
      </c>
      <c r="E28" s="9">
        <v>197</v>
      </c>
      <c r="F28" s="9">
        <v>204</v>
      </c>
      <c r="G28" s="9">
        <v>341</v>
      </c>
      <c r="H28" s="18">
        <f t="shared" si="0"/>
        <v>9038</v>
      </c>
      <c r="I28" s="9">
        <v>0</v>
      </c>
      <c r="J28" s="13"/>
      <c r="K28" s="8">
        <v>23</v>
      </c>
      <c r="L28" s="9">
        <v>6</v>
      </c>
      <c r="M28" s="9">
        <v>3</v>
      </c>
      <c r="N28" s="9">
        <v>5</v>
      </c>
      <c r="O28" s="9">
        <f t="shared" si="1"/>
        <v>14</v>
      </c>
      <c r="P28" s="11">
        <f t="shared" si="2"/>
        <v>0</v>
      </c>
    </row>
    <row r="29" spans="1:26" ht="18" customHeight="1" thickTop="1" thickBot="1" x14ac:dyDescent="0.35">
      <c r="A29" s="8">
        <v>24</v>
      </c>
      <c r="B29" s="9">
        <v>3670</v>
      </c>
      <c r="C29" s="9">
        <v>0</v>
      </c>
      <c r="D29" s="9">
        <v>1322</v>
      </c>
      <c r="E29" s="9">
        <v>244</v>
      </c>
      <c r="F29" s="9">
        <v>238</v>
      </c>
      <c r="G29" s="9">
        <v>414</v>
      </c>
      <c r="H29" s="9">
        <f t="shared" si="0"/>
        <v>5888</v>
      </c>
      <c r="I29" s="9">
        <v>0</v>
      </c>
      <c r="J29" s="13"/>
      <c r="K29" s="8">
        <v>24</v>
      </c>
      <c r="L29" s="9">
        <v>3</v>
      </c>
      <c r="M29" s="9">
        <v>10</v>
      </c>
      <c r="N29" s="9">
        <v>3</v>
      </c>
      <c r="O29" s="9">
        <f t="shared" si="1"/>
        <v>16</v>
      </c>
      <c r="P29" s="11">
        <f t="shared" si="2"/>
        <v>0</v>
      </c>
    </row>
    <row r="30" spans="1:26" ht="18" customHeight="1" thickTop="1" thickBot="1" x14ac:dyDescent="0.35">
      <c r="A30" s="8">
        <v>25</v>
      </c>
      <c r="B30" s="9">
        <v>3445</v>
      </c>
      <c r="C30" s="9">
        <v>0</v>
      </c>
      <c r="D30" s="9">
        <v>1552</v>
      </c>
      <c r="E30" s="9">
        <v>298</v>
      </c>
      <c r="F30" s="9">
        <v>294</v>
      </c>
      <c r="G30" s="9">
        <v>433</v>
      </c>
      <c r="H30" s="9">
        <f t="shared" si="0"/>
        <v>6022</v>
      </c>
      <c r="I30" s="9">
        <v>0</v>
      </c>
      <c r="J30" s="13"/>
      <c r="K30" s="8">
        <v>25</v>
      </c>
      <c r="L30" s="9">
        <v>3</v>
      </c>
      <c r="M30" s="9">
        <v>8</v>
      </c>
      <c r="N30" s="9">
        <v>8</v>
      </c>
      <c r="O30" s="9">
        <f t="shared" si="1"/>
        <v>19</v>
      </c>
      <c r="P30" s="11">
        <f t="shared" si="2"/>
        <v>0</v>
      </c>
    </row>
    <row r="31" spans="1:26" ht="18" customHeight="1" thickTop="1" thickBot="1" x14ac:dyDescent="0.35">
      <c r="A31" s="8">
        <v>26</v>
      </c>
      <c r="B31" s="20">
        <v>3457</v>
      </c>
      <c r="C31" s="20">
        <v>0</v>
      </c>
      <c r="D31" s="20">
        <v>1631</v>
      </c>
      <c r="E31" s="20">
        <v>332</v>
      </c>
      <c r="F31" s="21">
        <v>378</v>
      </c>
      <c r="G31" s="20">
        <v>507</v>
      </c>
      <c r="H31" s="22">
        <f t="shared" si="0"/>
        <v>6305</v>
      </c>
      <c r="I31" s="22">
        <v>0</v>
      </c>
      <c r="J31" s="13"/>
      <c r="K31" s="23">
        <v>26</v>
      </c>
      <c r="L31" s="20">
        <v>11</v>
      </c>
      <c r="M31" s="20">
        <v>14</v>
      </c>
      <c r="N31" s="20">
        <v>4</v>
      </c>
      <c r="O31" s="9">
        <f t="shared" si="1"/>
        <v>29</v>
      </c>
      <c r="P31" s="11">
        <f t="shared" si="2"/>
        <v>0</v>
      </c>
    </row>
    <row r="32" spans="1:26" ht="18" customHeight="1" thickTop="1" thickBot="1" x14ac:dyDescent="0.35">
      <c r="A32" s="8">
        <v>27</v>
      </c>
      <c r="B32" s="24">
        <v>3797</v>
      </c>
      <c r="C32" s="24">
        <v>0</v>
      </c>
      <c r="D32" s="24">
        <v>1681</v>
      </c>
      <c r="E32" s="24">
        <v>276</v>
      </c>
      <c r="F32" s="24">
        <v>345</v>
      </c>
      <c r="G32" s="24">
        <v>489</v>
      </c>
      <c r="H32" s="9">
        <f t="shared" si="0"/>
        <v>6588</v>
      </c>
      <c r="I32" s="9">
        <v>0</v>
      </c>
      <c r="J32" s="9"/>
      <c r="K32" s="8">
        <v>27</v>
      </c>
      <c r="L32" s="24">
        <v>3</v>
      </c>
      <c r="M32" s="24">
        <v>14</v>
      </c>
      <c r="N32" s="24">
        <v>11</v>
      </c>
      <c r="O32" s="9">
        <f t="shared" si="1"/>
        <v>28</v>
      </c>
      <c r="P32" s="11">
        <f t="shared" si="2"/>
        <v>0</v>
      </c>
    </row>
    <row r="33" spans="1:17" ht="18" customHeight="1" thickTop="1" thickBot="1" x14ac:dyDescent="0.35">
      <c r="A33" s="8">
        <v>28</v>
      </c>
      <c r="B33" s="24">
        <v>5288</v>
      </c>
      <c r="C33" s="24">
        <v>0</v>
      </c>
      <c r="D33" s="24">
        <v>1519</v>
      </c>
      <c r="E33" s="24">
        <v>262</v>
      </c>
      <c r="F33" s="24">
        <v>319</v>
      </c>
      <c r="G33" s="24">
        <v>424</v>
      </c>
      <c r="H33" s="9">
        <f t="shared" si="0"/>
        <v>7812</v>
      </c>
      <c r="I33" s="9">
        <v>0</v>
      </c>
      <c r="J33" s="9"/>
      <c r="K33" s="8">
        <v>28</v>
      </c>
      <c r="L33" s="24">
        <v>5</v>
      </c>
      <c r="M33" s="24">
        <v>6</v>
      </c>
      <c r="N33" s="24">
        <v>6</v>
      </c>
      <c r="O33" s="9">
        <f t="shared" si="1"/>
        <v>17</v>
      </c>
      <c r="P33" s="11">
        <f t="shared" si="2"/>
        <v>0</v>
      </c>
    </row>
    <row r="34" spans="1:17" ht="18" customHeight="1" thickTop="1" thickBot="1" x14ac:dyDescent="0.35">
      <c r="A34" s="8">
        <v>29</v>
      </c>
      <c r="B34" s="24"/>
      <c r="C34" s="24"/>
      <c r="D34" s="24"/>
      <c r="E34" s="24"/>
      <c r="F34" s="24"/>
      <c r="G34" s="24"/>
      <c r="H34" s="9">
        <f t="shared" si="0"/>
        <v>0</v>
      </c>
      <c r="I34" s="9">
        <v>0</v>
      </c>
      <c r="J34" s="9"/>
      <c r="K34" s="8">
        <v>29</v>
      </c>
      <c r="L34" s="24"/>
      <c r="M34" s="24"/>
      <c r="N34" s="24"/>
      <c r="O34" s="9">
        <f t="shared" si="1"/>
        <v>0</v>
      </c>
      <c r="P34" s="11">
        <f t="shared" si="2"/>
        <v>0</v>
      </c>
    </row>
    <row r="35" spans="1:17" ht="18" customHeight="1" thickTop="1" thickBot="1" x14ac:dyDescent="0.35">
      <c r="A35" s="8">
        <v>30</v>
      </c>
      <c r="B35" s="24"/>
      <c r="C35" s="24"/>
      <c r="D35" s="24"/>
      <c r="E35" s="24"/>
      <c r="F35" s="24"/>
      <c r="G35" s="24"/>
      <c r="H35" s="25">
        <f t="shared" si="0"/>
        <v>0</v>
      </c>
      <c r="I35" s="25">
        <v>0</v>
      </c>
      <c r="J35" s="25"/>
      <c r="K35" s="26">
        <v>30</v>
      </c>
      <c r="L35" s="24"/>
      <c r="M35" s="24"/>
      <c r="N35" s="24"/>
      <c r="O35" s="25">
        <f t="shared" si="1"/>
        <v>0</v>
      </c>
      <c r="P35" s="11">
        <f t="shared" si="2"/>
        <v>0</v>
      </c>
    </row>
    <row r="36" spans="1:17" ht="18.75" customHeight="1" thickTop="1" thickBot="1" x14ac:dyDescent="0.35">
      <c r="A36" s="8">
        <v>31</v>
      </c>
      <c r="B36" s="24"/>
      <c r="C36" s="24"/>
      <c r="D36" s="24"/>
      <c r="E36" s="24"/>
      <c r="F36" s="24"/>
      <c r="G36" s="24"/>
      <c r="H36" s="25">
        <f t="shared" si="0"/>
        <v>0</v>
      </c>
      <c r="I36" s="9">
        <v>0</v>
      </c>
      <c r="J36" s="9"/>
      <c r="K36" s="8">
        <v>31</v>
      </c>
      <c r="L36" s="24"/>
      <c r="M36" s="24"/>
      <c r="N36" s="24"/>
      <c r="O36" s="9">
        <f t="shared" si="1"/>
        <v>0</v>
      </c>
      <c r="P36" s="11">
        <f t="shared" si="2"/>
        <v>0</v>
      </c>
      <c r="Q36" s="6">
        <v>3</v>
      </c>
    </row>
    <row r="37" spans="1:17" ht="18" customHeight="1" thickTop="1" x14ac:dyDescent="0.3">
      <c r="A37" s="5" t="s">
        <v>20</v>
      </c>
      <c r="B37" s="27">
        <f>SUM(B6:B36)</f>
        <v>128323</v>
      </c>
      <c r="C37" s="27">
        <f t="shared" ref="C37:G37" si="3">SUM(C6:C36)</f>
        <v>0</v>
      </c>
      <c r="D37" s="27">
        <f t="shared" si="3"/>
        <v>40962</v>
      </c>
      <c r="E37" s="27">
        <f t="shared" si="3"/>
        <v>7198</v>
      </c>
      <c r="F37" s="27">
        <f t="shared" si="3"/>
        <v>8157</v>
      </c>
      <c r="G37" s="27">
        <f t="shared" si="3"/>
        <v>11433</v>
      </c>
      <c r="H37" s="27">
        <f>SUM(H6:H36)</f>
        <v>196073</v>
      </c>
      <c r="I37" s="27">
        <f>SUM(I6:I33)</f>
        <v>0</v>
      </c>
      <c r="J37" s="27"/>
      <c r="K37" s="27" t="s">
        <v>21</v>
      </c>
      <c r="L37" s="27">
        <f>SUM(L6:L36)</f>
        <v>122</v>
      </c>
      <c r="M37" s="27">
        <f>SUM(M6:M36)</f>
        <v>356</v>
      </c>
      <c r="N37" s="27">
        <f>SUM(N6:N36)</f>
        <v>163</v>
      </c>
      <c r="O37" s="27">
        <f>SUM(O6:O36)</f>
        <v>641</v>
      </c>
      <c r="P37" s="27">
        <f t="shared" ref="P37" si="4">SUM(P6:P36)</f>
        <v>18405</v>
      </c>
    </row>
    <row r="38" spans="1:17" ht="18" customHeight="1" x14ac:dyDescent="0.3">
      <c r="A38" s="5" t="s">
        <v>20</v>
      </c>
      <c r="B38" s="39">
        <f>+B37+C37</f>
        <v>128323</v>
      </c>
      <c r="C38" s="39"/>
      <c r="D38" s="27">
        <f>+D37</f>
        <v>40962</v>
      </c>
      <c r="E38" s="27">
        <f>+E37</f>
        <v>7198</v>
      </c>
      <c r="F38" s="27">
        <f>+F37</f>
        <v>8157</v>
      </c>
      <c r="G38" s="27">
        <f>+G37</f>
        <v>11433</v>
      </c>
      <c r="H38" s="27">
        <f>SUM(B38:G38)</f>
        <v>196073</v>
      </c>
      <c r="I38" s="27">
        <v>0</v>
      </c>
      <c r="J38" s="28"/>
      <c r="K38" s="29"/>
      <c r="L38" s="29" t="s">
        <v>22</v>
      </c>
      <c r="M38" s="29" t="s">
        <v>23</v>
      </c>
      <c r="N38" s="29" t="s">
        <v>22</v>
      </c>
      <c r="O38" s="29"/>
    </row>
    <row r="39" spans="1:17" x14ac:dyDescent="0.3">
      <c r="A39" s="32"/>
      <c r="B39" s="33"/>
      <c r="C39" s="33"/>
      <c r="D39" s="33"/>
      <c r="E39" s="33"/>
      <c r="F39" s="33"/>
      <c r="G39" s="33"/>
      <c r="H39" s="33"/>
      <c r="I39" s="33"/>
      <c r="J39" s="31"/>
      <c r="K39" s="34"/>
      <c r="L39" s="35"/>
    </row>
    <row r="41" spans="1:17" x14ac:dyDescent="0.3">
      <c r="A41" s="36"/>
    </row>
    <row r="42" spans="1:17" x14ac:dyDescent="0.3">
      <c r="A42" s="36"/>
      <c r="B42" s="12"/>
      <c r="C42" s="12"/>
      <c r="D42" s="12"/>
      <c r="E42" s="12"/>
      <c r="F42" s="12"/>
      <c r="H42" s="12"/>
      <c r="I42" s="12"/>
      <c r="J42" s="12"/>
      <c r="K42" s="37"/>
      <c r="L42" s="12"/>
      <c r="M42" s="12"/>
      <c r="N42" s="12"/>
      <c r="O42" s="12"/>
    </row>
  </sheetData>
  <mergeCells count="13">
    <mergeCell ref="N4:N5"/>
    <mergeCell ref="O4:O5"/>
    <mergeCell ref="B38:C38"/>
    <mergeCell ref="A1:O1"/>
    <mergeCell ref="A2:O2"/>
    <mergeCell ref="A3:O3"/>
    <mergeCell ref="A4:A5"/>
    <mergeCell ref="B4:C4"/>
    <mergeCell ref="H4:H5"/>
    <mergeCell ref="I4:I5"/>
    <mergeCell ref="K4:K5"/>
    <mergeCell ref="L4:L5"/>
    <mergeCell ref="M4:M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B3649-A14A-4C59-977D-BFA6D937FCBA}">
  <dimension ref="A1:Z42"/>
  <sheetViews>
    <sheetView topLeftCell="A18" workbookViewId="0">
      <selection activeCell="Q11" sqref="Q11"/>
    </sheetView>
  </sheetViews>
  <sheetFormatPr baseColWidth="10" defaultColWidth="11.44140625" defaultRowHeight="13.8" x14ac:dyDescent="0.3"/>
  <cols>
    <col min="1" max="1" width="15.33203125" style="6" customWidth="1"/>
    <col min="2" max="2" width="12.6640625" style="6" customWidth="1"/>
    <col min="3" max="3" width="9.6640625" style="6" customWidth="1"/>
    <col min="4" max="9" width="12.6640625" style="6" customWidth="1"/>
    <col min="10" max="10" width="4.6640625" style="6" customWidth="1"/>
    <col min="11" max="11" width="12.5546875" style="30" customWidth="1"/>
    <col min="12" max="15" width="12.5546875" style="6" customWidth="1"/>
    <col min="16" max="16" width="0" style="6" hidden="1" customWidth="1"/>
    <col min="17" max="16384" width="11.44140625" style="6"/>
  </cols>
  <sheetData>
    <row r="1" spans="1:19" s="1" customFormat="1" ht="15.6" x14ac:dyDescent="0.3">
      <c r="A1" s="40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</row>
    <row r="2" spans="1:19" s="1" customFormat="1" ht="15.6" x14ac:dyDescent="0.3">
      <c r="A2" s="40" t="s">
        <v>24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</row>
    <row r="3" spans="1:19" s="1" customFormat="1" ht="15.6" x14ac:dyDescent="0.3">
      <c r="A3" s="41" t="s">
        <v>26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</row>
    <row r="4" spans="1:19" ht="82.5" customHeight="1" x14ac:dyDescent="0.3">
      <c r="A4" s="2" t="s">
        <v>2</v>
      </c>
      <c r="B4" s="3" t="s">
        <v>3</v>
      </c>
      <c r="C4" s="3"/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4"/>
      <c r="K4" s="5" t="s">
        <v>2</v>
      </c>
      <c r="L4" s="3" t="s">
        <v>10</v>
      </c>
      <c r="M4" s="3" t="s">
        <v>11</v>
      </c>
      <c r="N4" s="3" t="s">
        <v>12</v>
      </c>
      <c r="O4" s="3" t="s">
        <v>13</v>
      </c>
    </row>
    <row r="5" spans="1:19" ht="21" customHeight="1" x14ac:dyDescent="0.3">
      <c r="A5" s="7"/>
      <c r="B5" s="5" t="s">
        <v>14</v>
      </c>
      <c r="C5" s="5" t="s">
        <v>15</v>
      </c>
      <c r="D5" s="5" t="s">
        <v>16</v>
      </c>
      <c r="E5" s="5" t="s">
        <v>17</v>
      </c>
      <c r="F5" s="5" t="s">
        <v>18</v>
      </c>
      <c r="G5" s="5" t="s">
        <v>19</v>
      </c>
      <c r="H5" s="3"/>
      <c r="I5" s="3"/>
      <c r="J5" s="4"/>
      <c r="K5" s="5"/>
      <c r="L5" s="3"/>
      <c r="M5" s="3"/>
      <c r="N5" s="3"/>
      <c r="O5" s="3"/>
    </row>
    <row r="6" spans="1:19" ht="18" customHeight="1" thickBot="1" x14ac:dyDescent="0.35">
      <c r="A6" s="8">
        <v>1</v>
      </c>
      <c r="B6" s="9">
        <v>5825</v>
      </c>
      <c r="C6" s="9">
        <v>0</v>
      </c>
      <c r="D6" s="9">
        <v>1390</v>
      </c>
      <c r="E6" s="9">
        <v>242</v>
      </c>
      <c r="F6" s="9">
        <v>309</v>
      </c>
      <c r="G6" s="9">
        <v>339</v>
      </c>
      <c r="H6" s="9">
        <f>SUM(B6:G6)</f>
        <v>8105</v>
      </c>
      <c r="I6" s="9">
        <v>0</v>
      </c>
      <c r="J6" s="10"/>
      <c r="K6" s="8">
        <v>1</v>
      </c>
      <c r="L6" s="9">
        <v>2</v>
      </c>
      <c r="M6" s="9">
        <v>12</v>
      </c>
      <c r="N6" s="9">
        <v>4</v>
      </c>
      <c r="O6" s="9">
        <f>SUM(L6:N6)</f>
        <v>18</v>
      </c>
      <c r="P6" s="11">
        <v>6135</v>
      </c>
    </row>
    <row r="7" spans="1:19" ht="18" customHeight="1" thickTop="1" thickBot="1" x14ac:dyDescent="0.35">
      <c r="A7" s="8">
        <v>2</v>
      </c>
      <c r="B7" s="9">
        <v>7376</v>
      </c>
      <c r="C7" s="9">
        <v>0</v>
      </c>
      <c r="D7" s="9">
        <v>1022</v>
      </c>
      <c r="E7" s="9">
        <v>160</v>
      </c>
      <c r="F7" s="9">
        <v>185</v>
      </c>
      <c r="G7" s="9">
        <v>299</v>
      </c>
      <c r="H7" s="9">
        <f t="shared" ref="H7:H36" si="0">SUM(B7:G7)</f>
        <v>9042</v>
      </c>
      <c r="I7" s="9">
        <v>0</v>
      </c>
      <c r="J7" s="10"/>
      <c r="K7" s="8">
        <v>2</v>
      </c>
      <c r="L7" s="9">
        <v>3</v>
      </c>
      <c r="M7" s="9">
        <v>8</v>
      </c>
      <c r="N7" s="9">
        <v>6</v>
      </c>
      <c r="O7" s="9">
        <f t="shared" ref="O7:O36" si="1">SUM(L7:N7)</f>
        <v>17</v>
      </c>
      <c r="P7" s="11">
        <f>+P6</f>
        <v>6135</v>
      </c>
    </row>
    <row r="8" spans="1:19" ht="18" customHeight="1" thickTop="1" thickBot="1" x14ac:dyDescent="0.35">
      <c r="A8" s="8">
        <v>3</v>
      </c>
      <c r="B8" s="9">
        <v>3699</v>
      </c>
      <c r="C8" s="9">
        <v>0</v>
      </c>
      <c r="D8" s="9">
        <v>1204</v>
      </c>
      <c r="E8" s="9">
        <v>264</v>
      </c>
      <c r="F8" s="9">
        <v>236</v>
      </c>
      <c r="G8" s="9">
        <v>373</v>
      </c>
      <c r="H8" s="9">
        <f t="shared" si="0"/>
        <v>5776</v>
      </c>
      <c r="I8" s="9">
        <v>0</v>
      </c>
      <c r="J8" s="10"/>
      <c r="K8" s="8">
        <v>3</v>
      </c>
      <c r="L8" s="9">
        <v>1</v>
      </c>
      <c r="M8" s="9">
        <v>8</v>
      </c>
      <c r="N8" s="9">
        <v>3</v>
      </c>
      <c r="O8" s="9">
        <f t="shared" si="1"/>
        <v>12</v>
      </c>
      <c r="P8" s="11">
        <f t="shared" ref="P8:P36" si="2">+P7</f>
        <v>6135</v>
      </c>
      <c r="S8" s="12"/>
    </row>
    <row r="9" spans="1:19" ht="18" customHeight="1" thickTop="1" thickBot="1" x14ac:dyDescent="0.35">
      <c r="A9" s="8">
        <v>4</v>
      </c>
      <c r="B9" s="9">
        <v>3470</v>
      </c>
      <c r="C9" s="9">
        <v>0</v>
      </c>
      <c r="D9" s="9">
        <v>1539</v>
      </c>
      <c r="E9" s="9">
        <v>268</v>
      </c>
      <c r="F9" s="9">
        <v>308</v>
      </c>
      <c r="G9" s="9">
        <v>398</v>
      </c>
      <c r="H9" s="9">
        <f t="shared" si="0"/>
        <v>5983</v>
      </c>
      <c r="I9" s="9">
        <v>0</v>
      </c>
      <c r="J9" s="10"/>
      <c r="K9" s="8">
        <v>4</v>
      </c>
      <c r="L9" s="9">
        <v>12</v>
      </c>
      <c r="M9" s="9">
        <v>13</v>
      </c>
      <c r="N9" s="9">
        <v>5</v>
      </c>
      <c r="O9" s="9">
        <f t="shared" si="1"/>
        <v>30</v>
      </c>
      <c r="P9" s="11">
        <v>0</v>
      </c>
    </row>
    <row r="10" spans="1:19" ht="18" customHeight="1" thickTop="1" thickBot="1" x14ac:dyDescent="0.35">
      <c r="A10" s="8">
        <v>5</v>
      </c>
      <c r="B10" s="9">
        <v>3346</v>
      </c>
      <c r="C10" s="9">
        <v>0</v>
      </c>
      <c r="D10" s="9">
        <v>1664</v>
      </c>
      <c r="E10" s="9">
        <v>296</v>
      </c>
      <c r="F10" s="9">
        <v>312</v>
      </c>
      <c r="G10" s="9">
        <v>415</v>
      </c>
      <c r="H10" s="9">
        <f t="shared" si="0"/>
        <v>6033</v>
      </c>
      <c r="I10" s="9">
        <v>0</v>
      </c>
      <c r="J10" s="10"/>
      <c r="K10" s="8">
        <v>5</v>
      </c>
      <c r="L10" s="9">
        <v>1</v>
      </c>
      <c r="M10" s="9">
        <v>16</v>
      </c>
      <c r="N10" s="9">
        <v>8</v>
      </c>
      <c r="O10" s="9">
        <f t="shared" si="1"/>
        <v>25</v>
      </c>
      <c r="P10" s="11">
        <f t="shared" si="2"/>
        <v>0</v>
      </c>
    </row>
    <row r="11" spans="1:19" ht="18" customHeight="1" thickTop="1" thickBot="1" x14ac:dyDescent="0.35">
      <c r="A11" s="8">
        <v>6</v>
      </c>
      <c r="B11" s="9">
        <v>3752</v>
      </c>
      <c r="C11" s="9">
        <v>0</v>
      </c>
      <c r="D11" s="9">
        <v>1691</v>
      </c>
      <c r="E11" s="9">
        <v>264</v>
      </c>
      <c r="F11" s="9">
        <v>313</v>
      </c>
      <c r="G11" s="9">
        <v>500</v>
      </c>
      <c r="H11" s="9">
        <f t="shared" si="0"/>
        <v>6520</v>
      </c>
      <c r="I11" s="9">
        <v>0</v>
      </c>
      <c r="J11" s="10"/>
      <c r="K11" s="8">
        <v>6</v>
      </c>
      <c r="L11" s="9">
        <v>2</v>
      </c>
      <c r="M11" s="9">
        <v>23</v>
      </c>
      <c r="N11" s="9">
        <v>5</v>
      </c>
      <c r="O11" s="9">
        <f t="shared" si="1"/>
        <v>30</v>
      </c>
      <c r="P11" s="11">
        <f t="shared" si="2"/>
        <v>0</v>
      </c>
    </row>
    <row r="12" spans="1:19" ht="18" customHeight="1" thickTop="1" thickBot="1" x14ac:dyDescent="0.35">
      <c r="A12" s="8">
        <v>7</v>
      </c>
      <c r="B12" s="9">
        <v>4867</v>
      </c>
      <c r="C12" s="9">
        <v>0</v>
      </c>
      <c r="D12" s="9">
        <v>1632</v>
      </c>
      <c r="E12" s="9">
        <v>235</v>
      </c>
      <c r="F12" s="9">
        <v>305</v>
      </c>
      <c r="G12" s="9">
        <v>446</v>
      </c>
      <c r="H12" s="9">
        <f t="shared" si="0"/>
        <v>7485</v>
      </c>
      <c r="I12" s="9">
        <v>0</v>
      </c>
      <c r="J12" s="13"/>
      <c r="K12" s="8">
        <v>7</v>
      </c>
      <c r="L12" s="9">
        <v>2</v>
      </c>
      <c r="M12" s="9">
        <v>13</v>
      </c>
      <c r="N12" s="9">
        <v>8</v>
      </c>
      <c r="O12" s="9">
        <f t="shared" si="1"/>
        <v>23</v>
      </c>
      <c r="P12" s="11">
        <f t="shared" si="2"/>
        <v>0</v>
      </c>
    </row>
    <row r="13" spans="1:19" ht="18" customHeight="1" thickTop="1" thickBot="1" x14ac:dyDescent="0.35">
      <c r="A13" s="8">
        <v>8</v>
      </c>
      <c r="B13" s="9">
        <v>5700</v>
      </c>
      <c r="C13" s="9">
        <v>0</v>
      </c>
      <c r="D13" s="9">
        <v>1357</v>
      </c>
      <c r="E13" s="9">
        <v>260</v>
      </c>
      <c r="F13" s="9">
        <v>300</v>
      </c>
      <c r="G13" s="9">
        <v>367</v>
      </c>
      <c r="H13" s="9">
        <f t="shared" si="0"/>
        <v>7984</v>
      </c>
      <c r="I13" s="9">
        <v>0</v>
      </c>
      <c r="J13" s="13"/>
      <c r="K13" s="8">
        <v>8</v>
      </c>
      <c r="L13" s="9">
        <v>2</v>
      </c>
      <c r="M13" s="9">
        <v>14</v>
      </c>
      <c r="N13" s="9">
        <v>6</v>
      </c>
      <c r="O13" s="9">
        <f t="shared" si="1"/>
        <v>22</v>
      </c>
      <c r="P13" s="11">
        <f t="shared" si="2"/>
        <v>0</v>
      </c>
    </row>
    <row r="14" spans="1:19" s="15" customFormat="1" ht="18" customHeight="1" thickTop="1" thickBot="1" x14ac:dyDescent="0.35">
      <c r="A14" s="8">
        <v>9</v>
      </c>
      <c r="B14" s="9">
        <v>6918</v>
      </c>
      <c r="C14" s="9">
        <v>0</v>
      </c>
      <c r="D14" s="9">
        <v>1049</v>
      </c>
      <c r="E14" s="9">
        <v>164</v>
      </c>
      <c r="F14" s="9">
        <v>186</v>
      </c>
      <c r="G14" s="9">
        <v>306</v>
      </c>
      <c r="H14" s="9">
        <f t="shared" si="0"/>
        <v>8623</v>
      </c>
      <c r="I14" s="9">
        <v>0</v>
      </c>
      <c r="J14" s="13"/>
      <c r="K14" s="8">
        <v>9</v>
      </c>
      <c r="L14" s="9">
        <v>2</v>
      </c>
      <c r="M14" s="9">
        <v>8</v>
      </c>
      <c r="N14" s="9">
        <v>0</v>
      </c>
      <c r="O14" s="9">
        <f t="shared" si="1"/>
        <v>10</v>
      </c>
      <c r="P14" s="14">
        <f t="shared" si="2"/>
        <v>0</v>
      </c>
    </row>
    <row r="15" spans="1:19" ht="18" customHeight="1" thickTop="1" thickBot="1" x14ac:dyDescent="0.35">
      <c r="A15" s="8">
        <v>10</v>
      </c>
      <c r="B15" s="9">
        <v>3569</v>
      </c>
      <c r="C15" s="9">
        <v>0</v>
      </c>
      <c r="D15" s="9">
        <v>1250</v>
      </c>
      <c r="E15" s="9">
        <v>265</v>
      </c>
      <c r="F15" s="9">
        <v>257</v>
      </c>
      <c r="G15" s="9">
        <v>353</v>
      </c>
      <c r="H15" s="9">
        <f t="shared" si="0"/>
        <v>5694</v>
      </c>
      <c r="I15" s="9">
        <v>0</v>
      </c>
      <c r="J15" s="13"/>
      <c r="K15" s="8">
        <v>10</v>
      </c>
      <c r="L15" s="9">
        <v>2</v>
      </c>
      <c r="M15" s="9">
        <v>6</v>
      </c>
      <c r="N15" s="9">
        <v>3</v>
      </c>
      <c r="O15" s="9">
        <f t="shared" si="1"/>
        <v>11</v>
      </c>
      <c r="P15" s="11">
        <f t="shared" si="2"/>
        <v>0</v>
      </c>
    </row>
    <row r="16" spans="1:19" ht="18" customHeight="1" thickTop="1" thickBot="1" x14ac:dyDescent="0.35">
      <c r="A16" s="8">
        <v>11</v>
      </c>
      <c r="B16" s="9">
        <v>3149</v>
      </c>
      <c r="C16" s="9">
        <v>0</v>
      </c>
      <c r="D16" s="9">
        <v>1591</v>
      </c>
      <c r="E16" s="9">
        <v>222</v>
      </c>
      <c r="F16" s="9">
        <v>292</v>
      </c>
      <c r="G16" s="9">
        <v>379</v>
      </c>
      <c r="H16" s="9">
        <f t="shared" si="0"/>
        <v>5633</v>
      </c>
      <c r="I16" s="9">
        <v>0</v>
      </c>
      <c r="J16" s="13"/>
      <c r="K16" s="8">
        <v>11</v>
      </c>
      <c r="L16" s="9">
        <v>0</v>
      </c>
      <c r="M16" s="9">
        <v>16</v>
      </c>
      <c r="N16" s="9">
        <v>5</v>
      </c>
      <c r="O16" s="9">
        <f t="shared" si="1"/>
        <v>21</v>
      </c>
      <c r="P16" s="11">
        <f t="shared" si="2"/>
        <v>0</v>
      </c>
    </row>
    <row r="17" spans="1:26" ht="12" customHeight="1" thickTop="1" thickBot="1" x14ac:dyDescent="0.35">
      <c r="A17" s="8">
        <v>12</v>
      </c>
      <c r="B17" s="9">
        <v>3234</v>
      </c>
      <c r="C17" s="9">
        <v>0</v>
      </c>
      <c r="D17" s="9">
        <v>1531</v>
      </c>
      <c r="E17" s="9">
        <v>302</v>
      </c>
      <c r="F17" s="9">
        <v>310</v>
      </c>
      <c r="G17" s="9">
        <v>448</v>
      </c>
      <c r="H17" s="9">
        <f t="shared" si="0"/>
        <v>5825</v>
      </c>
      <c r="I17" s="9">
        <v>0</v>
      </c>
      <c r="J17" s="13"/>
      <c r="K17" s="8">
        <v>12</v>
      </c>
      <c r="L17" s="9">
        <v>18</v>
      </c>
      <c r="M17" s="9">
        <v>3</v>
      </c>
      <c r="N17" s="9">
        <v>4</v>
      </c>
      <c r="O17" s="9">
        <f t="shared" si="1"/>
        <v>25</v>
      </c>
      <c r="P17" s="11">
        <f t="shared" si="2"/>
        <v>0</v>
      </c>
    </row>
    <row r="18" spans="1:26" ht="18" customHeight="1" thickTop="1" thickBot="1" x14ac:dyDescent="0.35">
      <c r="A18" s="8">
        <v>13</v>
      </c>
      <c r="B18" s="9">
        <v>3630</v>
      </c>
      <c r="C18" s="9">
        <v>0</v>
      </c>
      <c r="D18" s="9">
        <v>1674</v>
      </c>
      <c r="E18" s="9">
        <v>277</v>
      </c>
      <c r="F18" s="9">
        <v>340</v>
      </c>
      <c r="G18" s="9">
        <v>482</v>
      </c>
      <c r="H18" s="9">
        <f t="shared" si="0"/>
        <v>6403</v>
      </c>
      <c r="I18" s="9">
        <v>0</v>
      </c>
      <c r="J18" s="13"/>
      <c r="K18" s="8">
        <v>13</v>
      </c>
      <c r="L18" s="9">
        <v>3</v>
      </c>
      <c r="M18" s="9">
        <v>18</v>
      </c>
      <c r="N18" s="9">
        <v>7</v>
      </c>
      <c r="O18" s="9">
        <f t="shared" si="1"/>
        <v>28</v>
      </c>
      <c r="P18" s="11">
        <f t="shared" si="2"/>
        <v>0</v>
      </c>
    </row>
    <row r="19" spans="1:26" ht="18" customHeight="1" thickTop="1" thickBot="1" x14ac:dyDescent="0.35">
      <c r="A19" s="8">
        <v>14</v>
      </c>
      <c r="B19" s="9">
        <v>3847</v>
      </c>
      <c r="C19" s="9">
        <v>0</v>
      </c>
      <c r="D19" s="9">
        <v>1160</v>
      </c>
      <c r="E19" s="9">
        <v>190</v>
      </c>
      <c r="F19" s="9">
        <v>215</v>
      </c>
      <c r="G19" s="9">
        <v>324</v>
      </c>
      <c r="H19" s="9">
        <f t="shared" si="0"/>
        <v>5736</v>
      </c>
      <c r="I19" s="9">
        <v>0</v>
      </c>
      <c r="J19" s="13"/>
      <c r="K19" s="8">
        <v>14</v>
      </c>
      <c r="L19" s="9">
        <v>5</v>
      </c>
      <c r="M19" s="9">
        <v>8</v>
      </c>
      <c r="N19" s="9">
        <v>3</v>
      </c>
      <c r="O19" s="9">
        <f t="shared" si="1"/>
        <v>16</v>
      </c>
      <c r="P19" s="11">
        <f t="shared" si="2"/>
        <v>0</v>
      </c>
    </row>
    <row r="20" spans="1:26" ht="18" customHeight="1" thickTop="1" thickBot="1" x14ac:dyDescent="0.35">
      <c r="A20" s="8">
        <v>15</v>
      </c>
      <c r="B20" s="9">
        <v>5332</v>
      </c>
      <c r="C20" s="9">
        <v>0</v>
      </c>
      <c r="D20" s="9">
        <v>1372</v>
      </c>
      <c r="E20" s="9">
        <v>265</v>
      </c>
      <c r="F20" s="9">
        <v>326</v>
      </c>
      <c r="G20" s="9">
        <v>441</v>
      </c>
      <c r="H20" s="9">
        <f t="shared" si="0"/>
        <v>7736</v>
      </c>
      <c r="I20" s="9">
        <v>0</v>
      </c>
      <c r="J20" s="13"/>
      <c r="K20" s="8">
        <v>15</v>
      </c>
      <c r="L20" s="9">
        <v>7</v>
      </c>
      <c r="M20" s="9">
        <v>6</v>
      </c>
      <c r="N20" s="9">
        <v>4</v>
      </c>
      <c r="O20" s="9">
        <f t="shared" si="1"/>
        <v>17</v>
      </c>
      <c r="P20" s="11">
        <f t="shared" si="2"/>
        <v>0</v>
      </c>
    </row>
    <row r="21" spans="1:26" ht="18" customHeight="1" thickTop="1" thickBot="1" x14ac:dyDescent="0.35">
      <c r="A21" s="8">
        <v>16</v>
      </c>
      <c r="B21" s="9">
        <v>6204</v>
      </c>
      <c r="C21" s="9">
        <v>0</v>
      </c>
      <c r="D21" s="9">
        <v>1064</v>
      </c>
      <c r="E21" s="9">
        <v>162</v>
      </c>
      <c r="F21" s="9">
        <v>191</v>
      </c>
      <c r="G21" s="9">
        <v>310</v>
      </c>
      <c r="H21" s="9">
        <f t="shared" si="0"/>
        <v>7931</v>
      </c>
      <c r="I21" s="9">
        <v>0</v>
      </c>
      <c r="J21" s="13"/>
      <c r="K21" s="8">
        <v>16</v>
      </c>
      <c r="L21" s="9">
        <v>6</v>
      </c>
      <c r="M21" s="9">
        <v>4</v>
      </c>
      <c r="N21" s="9">
        <v>11</v>
      </c>
      <c r="O21" s="9">
        <f t="shared" si="1"/>
        <v>21</v>
      </c>
      <c r="P21" s="11">
        <f>+P20</f>
        <v>0</v>
      </c>
    </row>
    <row r="22" spans="1:26" ht="18" customHeight="1" thickTop="1" thickBot="1" x14ac:dyDescent="0.35">
      <c r="A22" s="8">
        <v>17</v>
      </c>
      <c r="B22" s="9">
        <v>3359</v>
      </c>
      <c r="C22" s="9">
        <v>0</v>
      </c>
      <c r="D22" s="9">
        <v>1238</v>
      </c>
      <c r="E22" s="9">
        <v>271</v>
      </c>
      <c r="F22" s="9">
        <v>243</v>
      </c>
      <c r="G22" s="9">
        <v>396</v>
      </c>
      <c r="H22" s="9">
        <f t="shared" si="0"/>
        <v>5507</v>
      </c>
      <c r="I22" s="9">
        <v>0</v>
      </c>
      <c r="J22" s="13"/>
      <c r="K22" s="8">
        <v>17</v>
      </c>
      <c r="L22" s="9">
        <v>5</v>
      </c>
      <c r="M22" s="9">
        <v>14</v>
      </c>
      <c r="N22" s="9">
        <v>2</v>
      </c>
      <c r="O22" s="9">
        <f t="shared" si="1"/>
        <v>21</v>
      </c>
      <c r="P22" s="11">
        <f t="shared" si="2"/>
        <v>0</v>
      </c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18" customHeight="1" thickTop="1" thickBot="1" x14ac:dyDescent="0.35">
      <c r="A23" s="8">
        <v>18</v>
      </c>
      <c r="B23" s="9">
        <v>3012</v>
      </c>
      <c r="C23" s="9">
        <v>0</v>
      </c>
      <c r="D23" s="9">
        <v>1569</v>
      </c>
      <c r="E23" s="9">
        <v>268</v>
      </c>
      <c r="F23" s="9">
        <v>308</v>
      </c>
      <c r="G23" s="9">
        <v>432</v>
      </c>
      <c r="H23" s="9">
        <f t="shared" si="0"/>
        <v>5589</v>
      </c>
      <c r="I23" s="9">
        <v>0</v>
      </c>
      <c r="J23" s="13"/>
      <c r="K23" s="8">
        <v>18</v>
      </c>
      <c r="L23" s="9">
        <v>3</v>
      </c>
      <c r="M23" s="9">
        <v>24</v>
      </c>
      <c r="N23" s="9">
        <v>3</v>
      </c>
      <c r="O23" s="9">
        <f t="shared" si="1"/>
        <v>30</v>
      </c>
      <c r="P23" s="11">
        <f t="shared" si="2"/>
        <v>0</v>
      </c>
    </row>
    <row r="24" spans="1:26" ht="18" customHeight="1" thickTop="1" thickBot="1" x14ac:dyDescent="0.35">
      <c r="A24" s="8">
        <v>19</v>
      </c>
      <c r="B24" s="9">
        <v>3329</v>
      </c>
      <c r="C24" s="9">
        <v>0</v>
      </c>
      <c r="D24" s="9">
        <v>1569</v>
      </c>
      <c r="E24" s="9">
        <v>300</v>
      </c>
      <c r="F24" s="9">
        <v>341</v>
      </c>
      <c r="G24" s="9">
        <v>455</v>
      </c>
      <c r="H24" s="9">
        <f t="shared" si="0"/>
        <v>5994</v>
      </c>
      <c r="I24" s="9">
        <v>0</v>
      </c>
      <c r="J24" s="13"/>
      <c r="K24" s="8">
        <v>19</v>
      </c>
      <c r="L24" s="9">
        <v>5</v>
      </c>
      <c r="M24" s="9">
        <v>11</v>
      </c>
      <c r="N24" s="9">
        <v>3</v>
      </c>
      <c r="O24" s="9">
        <f t="shared" si="1"/>
        <v>19</v>
      </c>
      <c r="P24" s="11">
        <f t="shared" si="2"/>
        <v>0</v>
      </c>
    </row>
    <row r="25" spans="1:26" ht="18" customHeight="1" thickTop="1" thickBot="1" x14ac:dyDescent="0.35">
      <c r="A25" s="8">
        <v>20</v>
      </c>
      <c r="B25" s="9">
        <v>3831</v>
      </c>
      <c r="C25" s="9">
        <v>0</v>
      </c>
      <c r="D25" s="9">
        <v>1828</v>
      </c>
      <c r="E25" s="9">
        <v>320</v>
      </c>
      <c r="F25" s="9">
        <v>352</v>
      </c>
      <c r="G25" s="9">
        <v>480</v>
      </c>
      <c r="H25" s="9">
        <f t="shared" si="0"/>
        <v>6811</v>
      </c>
      <c r="I25" s="9">
        <v>0</v>
      </c>
      <c r="J25" s="13"/>
      <c r="K25" s="8">
        <v>20</v>
      </c>
      <c r="L25" s="9">
        <v>8</v>
      </c>
      <c r="M25" s="9">
        <v>20</v>
      </c>
      <c r="N25" s="9">
        <v>5</v>
      </c>
      <c r="O25" s="9">
        <f t="shared" si="1"/>
        <v>33</v>
      </c>
      <c r="P25" s="11">
        <f t="shared" si="2"/>
        <v>0</v>
      </c>
    </row>
    <row r="26" spans="1:26" ht="18" customHeight="1" thickTop="1" thickBot="1" x14ac:dyDescent="0.35">
      <c r="A26" s="8">
        <v>21</v>
      </c>
      <c r="B26" s="9">
        <v>6949</v>
      </c>
      <c r="C26" s="9">
        <v>0</v>
      </c>
      <c r="D26" s="9">
        <v>1578</v>
      </c>
      <c r="E26" s="9">
        <v>313</v>
      </c>
      <c r="F26" s="9">
        <v>320</v>
      </c>
      <c r="G26" s="9">
        <v>401</v>
      </c>
      <c r="H26" s="9">
        <f t="shared" si="0"/>
        <v>9561</v>
      </c>
      <c r="I26" s="9">
        <v>0</v>
      </c>
      <c r="J26" s="13"/>
      <c r="K26" s="8">
        <v>21</v>
      </c>
      <c r="L26" s="9">
        <v>1</v>
      </c>
      <c r="M26" s="9">
        <v>15</v>
      </c>
      <c r="N26" s="9">
        <v>6</v>
      </c>
      <c r="O26" s="9">
        <f t="shared" si="1"/>
        <v>22</v>
      </c>
      <c r="P26" s="11">
        <f t="shared" si="2"/>
        <v>0</v>
      </c>
    </row>
    <row r="27" spans="1:26" ht="18" customHeight="1" thickTop="1" thickBot="1" x14ac:dyDescent="0.35">
      <c r="A27" s="17">
        <v>22</v>
      </c>
      <c r="B27" s="18">
        <v>10108</v>
      </c>
      <c r="C27" s="18">
        <v>0</v>
      </c>
      <c r="D27" s="18">
        <v>1230</v>
      </c>
      <c r="E27" s="18">
        <v>171</v>
      </c>
      <c r="F27" s="18">
        <v>250</v>
      </c>
      <c r="G27" s="18">
        <v>291</v>
      </c>
      <c r="H27" s="18">
        <f t="shared" si="0"/>
        <v>12050</v>
      </c>
      <c r="I27" s="18">
        <v>0</v>
      </c>
      <c r="J27" s="19"/>
      <c r="K27" s="17">
        <v>22</v>
      </c>
      <c r="L27" s="18">
        <v>0</v>
      </c>
      <c r="M27" s="18">
        <v>12</v>
      </c>
      <c r="N27" s="18">
        <v>3</v>
      </c>
      <c r="O27" s="18">
        <f t="shared" si="1"/>
        <v>15</v>
      </c>
      <c r="P27" s="11">
        <f t="shared" si="2"/>
        <v>0</v>
      </c>
    </row>
    <row r="28" spans="1:26" ht="18" customHeight="1" thickTop="1" thickBot="1" x14ac:dyDescent="0.35">
      <c r="A28" s="8">
        <v>23</v>
      </c>
      <c r="B28" s="9">
        <v>7716</v>
      </c>
      <c r="C28" s="9">
        <v>0</v>
      </c>
      <c r="D28" s="9">
        <v>1254</v>
      </c>
      <c r="E28" s="9">
        <v>206</v>
      </c>
      <c r="F28" s="9">
        <v>228</v>
      </c>
      <c r="G28" s="9">
        <v>322</v>
      </c>
      <c r="H28" s="18">
        <f t="shared" si="0"/>
        <v>9726</v>
      </c>
      <c r="I28" s="9">
        <v>0</v>
      </c>
      <c r="J28" s="13"/>
      <c r="K28" s="8">
        <v>23</v>
      </c>
      <c r="L28" s="9">
        <v>1</v>
      </c>
      <c r="M28" s="9">
        <v>12</v>
      </c>
      <c r="N28" s="9">
        <v>4</v>
      </c>
      <c r="O28" s="9">
        <f t="shared" si="1"/>
        <v>17</v>
      </c>
      <c r="P28" s="11">
        <f t="shared" si="2"/>
        <v>0</v>
      </c>
    </row>
    <row r="29" spans="1:26" ht="18" customHeight="1" thickTop="1" thickBot="1" x14ac:dyDescent="0.35">
      <c r="A29" s="8">
        <v>24</v>
      </c>
      <c r="B29" s="9">
        <v>12522</v>
      </c>
      <c r="C29" s="9">
        <v>0</v>
      </c>
      <c r="D29" s="9">
        <v>814</v>
      </c>
      <c r="E29" s="9">
        <v>86</v>
      </c>
      <c r="F29" s="9">
        <v>91</v>
      </c>
      <c r="G29" s="9">
        <v>120</v>
      </c>
      <c r="H29" s="9">
        <f t="shared" si="0"/>
        <v>13633</v>
      </c>
      <c r="I29" s="9">
        <v>0</v>
      </c>
      <c r="J29" s="13"/>
      <c r="K29" s="8">
        <v>24</v>
      </c>
      <c r="L29" s="9">
        <v>1</v>
      </c>
      <c r="M29" s="9">
        <v>2</v>
      </c>
      <c r="N29" s="9">
        <v>4</v>
      </c>
      <c r="O29" s="9">
        <f t="shared" si="1"/>
        <v>7</v>
      </c>
      <c r="P29" s="11">
        <f t="shared" si="2"/>
        <v>0</v>
      </c>
    </row>
    <row r="30" spans="1:26" ht="18" customHeight="1" thickTop="1" thickBot="1" x14ac:dyDescent="0.35">
      <c r="A30" s="8">
        <v>25</v>
      </c>
      <c r="B30" s="9">
        <v>3824</v>
      </c>
      <c r="C30" s="9">
        <v>0</v>
      </c>
      <c r="D30" s="9">
        <v>1379</v>
      </c>
      <c r="E30" s="9">
        <v>316</v>
      </c>
      <c r="F30" s="9">
        <v>268</v>
      </c>
      <c r="G30" s="9">
        <v>425</v>
      </c>
      <c r="H30" s="9">
        <f t="shared" si="0"/>
        <v>6212</v>
      </c>
      <c r="I30" s="9">
        <v>0</v>
      </c>
      <c r="J30" s="13"/>
      <c r="K30" s="8">
        <v>25</v>
      </c>
      <c r="L30" s="9">
        <v>0</v>
      </c>
      <c r="M30" s="9">
        <v>13</v>
      </c>
      <c r="N30" s="9">
        <v>1</v>
      </c>
      <c r="O30" s="9">
        <f t="shared" si="1"/>
        <v>14</v>
      </c>
      <c r="P30" s="11">
        <f t="shared" si="2"/>
        <v>0</v>
      </c>
    </row>
    <row r="31" spans="1:26" ht="18" customHeight="1" thickTop="1" thickBot="1" x14ac:dyDescent="0.35">
      <c r="A31" s="8">
        <v>26</v>
      </c>
      <c r="B31" s="20">
        <v>3448</v>
      </c>
      <c r="C31" s="20">
        <v>0</v>
      </c>
      <c r="D31" s="20">
        <v>1666</v>
      </c>
      <c r="E31" s="20">
        <v>265</v>
      </c>
      <c r="F31" s="21">
        <v>333</v>
      </c>
      <c r="G31" s="20">
        <v>428</v>
      </c>
      <c r="H31" s="22">
        <f t="shared" si="0"/>
        <v>6140</v>
      </c>
      <c r="I31" s="22">
        <v>0</v>
      </c>
      <c r="J31" s="13"/>
      <c r="K31" s="23">
        <v>26</v>
      </c>
      <c r="L31" s="20">
        <v>6</v>
      </c>
      <c r="M31" s="20">
        <v>26</v>
      </c>
      <c r="N31" s="20">
        <v>5</v>
      </c>
      <c r="O31" s="9">
        <f t="shared" si="1"/>
        <v>37</v>
      </c>
      <c r="P31" s="11">
        <f t="shared" si="2"/>
        <v>0</v>
      </c>
    </row>
    <row r="32" spans="1:26" ht="18" customHeight="1" thickTop="1" thickBot="1" x14ac:dyDescent="0.35">
      <c r="A32" s="8">
        <v>27</v>
      </c>
      <c r="B32" s="24">
        <v>3491</v>
      </c>
      <c r="C32" s="24">
        <v>0</v>
      </c>
      <c r="D32" s="24">
        <v>1732</v>
      </c>
      <c r="E32" s="24">
        <v>256</v>
      </c>
      <c r="F32" s="24">
        <v>325</v>
      </c>
      <c r="G32" s="24">
        <v>424</v>
      </c>
      <c r="H32" s="9">
        <f t="shared" si="0"/>
        <v>6228</v>
      </c>
      <c r="I32" s="9">
        <v>0</v>
      </c>
      <c r="J32" s="9"/>
      <c r="K32" s="8">
        <v>27</v>
      </c>
      <c r="L32" s="24">
        <v>7</v>
      </c>
      <c r="M32" s="24">
        <v>25</v>
      </c>
      <c r="N32" s="24">
        <v>8</v>
      </c>
      <c r="O32" s="9">
        <f t="shared" si="1"/>
        <v>40</v>
      </c>
      <c r="P32" s="11">
        <f t="shared" si="2"/>
        <v>0</v>
      </c>
    </row>
    <row r="33" spans="1:17" ht="18" customHeight="1" thickTop="1" thickBot="1" x14ac:dyDescent="0.35">
      <c r="A33" s="8">
        <v>28</v>
      </c>
      <c r="B33" s="24">
        <v>4440</v>
      </c>
      <c r="C33" s="24">
        <v>0</v>
      </c>
      <c r="D33" s="24">
        <v>1536</v>
      </c>
      <c r="E33" s="24">
        <v>263</v>
      </c>
      <c r="F33" s="24">
        <v>288</v>
      </c>
      <c r="G33" s="24">
        <v>393</v>
      </c>
      <c r="H33" s="9">
        <f t="shared" si="0"/>
        <v>6920</v>
      </c>
      <c r="I33" s="9">
        <v>0</v>
      </c>
      <c r="J33" s="9"/>
      <c r="K33" s="8">
        <v>28</v>
      </c>
      <c r="L33" s="24">
        <v>2</v>
      </c>
      <c r="M33" s="24">
        <v>23</v>
      </c>
      <c r="N33" s="24">
        <v>2</v>
      </c>
      <c r="O33" s="9">
        <f t="shared" si="1"/>
        <v>27</v>
      </c>
      <c r="P33" s="11">
        <f t="shared" si="2"/>
        <v>0</v>
      </c>
    </row>
    <row r="34" spans="1:17" ht="18" customHeight="1" thickTop="1" thickBot="1" x14ac:dyDescent="0.35">
      <c r="A34" s="8">
        <v>29</v>
      </c>
      <c r="B34" s="24">
        <v>5293</v>
      </c>
      <c r="C34" s="24">
        <v>0</v>
      </c>
      <c r="D34" s="24">
        <v>1564</v>
      </c>
      <c r="E34" s="24">
        <v>319</v>
      </c>
      <c r="F34" s="24">
        <v>367</v>
      </c>
      <c r="G34" s="24">
        <v>428</v>
      </c>
      <c r="H34" s="9">
        <f t="shared" si="0"/>
        <v>7971</v>
      </c>
      <c r="I34" s="9">
        <v>0</v>
      </c>
      <c r="J34" s="9"/>
      <c r="K34" s="8">
        <v>29</v>
      </c>
      <c r="L34" s="24">
        <v>2</v>
      </c>
      <c r="M34" s="24">
        <v>24</v>
      </c>
      <c r="N34" s="24">
        <v>7</v>
      </c>
      <c r="O34" s="9">
        <f t="shared" si="1"/>
        <v>33</v>
      </c>
      <c r="P34" s="11">
        <f t="shared" si="2"/>
        <v>0</v>
      </c>
    </row>
    <row r="35" spans="1:17" ht="18" customHeight="1" thickTop="1" thickBot="1" x14ac:dyDescent="0.35">
      <c r="A35" s="8">
        <v>30</v>
      </c>
      <c r="B35" s="24">
        <v>5858</v>
      </c>
      <c r="C35" s="24">
        <v>0</v>
      </c>
      <c r="D35" s="24">
        <v>1112</v>
      </c>
      <c r="E35" s="24">
        <v>154</v>
      </c>
      <c r="F35" s="24">
        <v>188</v>
      </c>
      <c r="G35" s="24">
        <v>346</v>
      </c>
      <c r="H35" s="25">
        <f t="shared" si="0"/>
        <v>7658</v>
      </c>
      <c r="I35" s="25">
        <v>0</v>
      </c>
      <c r="J35" s="25"/>
      <c r="K35" s="26">
        <v>30</v>
      </c>
      <c r="L35" s="24">
        <v>6</v>
      </c>
      <c r="M35" s="24">
        <v>14</v>
      </c>
      <c r="N35" s="24">
        <v>1</v>
      </c>
      <c r="O35" s="25">
        <f t="shared" si="1"/>
        <v>21</v>
      </c>
      <c r="P35" s="11">
        <f t="shared" si="2"/>
        <v>0</v>
      </c>
    </row>
    <row r="36" spans="1:17" ht="18.75" customHeight="1" thickTop="1" thickBot="1" x14ac:dyDescent="0.35">
      <c r="A36" s="8">
        <v>31</v>
      </c>
      <c r="B36" s="24">
        <v>3187</v>
      </c>
      <c r="C36" s="24">
        <v>0</v>
      </c>
      <c r="D36" s="24">
        <v>1337</v>
      </c>
      <c r="E36" s="24">
        <v>335</v>
      </c>
      <c r="F36" s="24">
        <v>251</v>
      </c>
      <c r="G36" s="24">
        <v>365</v>
      </c>
      <c r="H36" s="25">
        <f t="shared" si="0"/>
        <v>5475</v>
      </c>
      <c r="I36" s="9">
        <v>0</v>
      </c>
      <c r="J36" s="9"/>
      <c r="K36" s="8">
        <v>31</v>
      </c>
      <c r="L36" s="24">
        <v>2</v>
      </c>
      <c r="M36" s="24">
        <v>13</v>
      </c>
      <c r="N36" s="24">
        <v>5</v>
      </c>
      <c r="O36" s="9">
        <f t="shared" si="1"/>
        <v>20</v>
      </c>
      <c r="P36" s="11">
        <f t="shared" si="2"/>
        <v>0</v>
      </c>
      <c r="Q36" s="6">
        <v>3</v>
      </c>
    </row>
    <row r="37" spans="1:17" ht="18" customHeight="1" thickTop="1" x14ac:dyDescent="0.3">
      <c r="A37" s="5" t="s">
        <v>20</v>
      </c>
      <c r="B37" s="27">
        <f>SUM(B6:B36)</f>
        <v>154285</v>
      </c>
      <c r="C37" s="27">
        <f t="shared" ref="C37:G37" si="3">SUM(C6:C36)</f>
        <v>0</v>
      </c>
      <c r="D37" s="27">
        <f t="shared" si="3"/>
        <v>43596</v>
      </c>
      <c r="E37" s="27">
        <f t="shared" si="3"/>
        <v>7679</v>
      </c>
      <c r="F37" s="27">
        <f t="shared" si="3"/>
        <v>8538</v>
      </c>
      <c r="G37" s="27">
        <f t="shared" si="3"/>
        <v>11886</v>
      </c>
      <c r="H37" s="27">
        <f>SUM(H6:H36)</f>
        <v>225984</v>
      </c>
      <c r="I37" s="27">
        <f>SUM(I6:I33)</f>
        <v>0</v>
      </c>
      <c r="J37" s="27"/>
      <c r="K37" s="27" t="s">
        <v>21</v>
      </c>
      <c r="L37" s="27">
        <f>SUM(L6:L36)</f>
        <v>117</v>
      </c>
      <c r="M37" s="27">
        <f>SUM(M6:M36)</f>
        <v>424</v>
      </c>
      <c r="N37" s="27">
        <f>SUM(N6:N36)</f>
        <v>141</v>
      </c>
      <c r="O37" s="27">
        <f>SUM(O6:O36)</f>
        <v>682</v>
      </c>
      <c r="P37" s="27">
        <f t="shared" ref="P37" si="4">SUM(P6:P36)</f>
        <v>18405</v>
      </c>
    </row>
    <row r="38" spans="1:17" ht="18" customHeight="1" x14ac:dyDescent="0.3">
      <c r="A38" s="5" t="s">
        <v>20</v>
      </c>
      <c r="B38" s="27">
        <f>+B37+C37</f>
        <v>154285</v>
      </c>
      <c r="C38" s="27"/>
      <c r="D38" s="27">
        <f>+D37</f>
        <v>43596</v>
      </c>
      <c r="E38" s="27">
        <f>+E37</f>
        <v>7679</v>
      </c>
      <c r="F38" s="27">
        <f>+F37</f>
        <v>8538</v>
      </c>
      <c r="G38" s="27">
        <f>+G37</f>
        <v>11886</v>
      </c>
      <c r="H38" s="27">
        <f>SUM(B38:G38)</f>
        <v>225984</v>
      </c>
      <c r="I38" s="27">
        <v>0</v>
      </c>
      <c r="J38" s="28"/>
      <c r="K38" s="29"/>
      <c r="L38" s="29" t="s">
        <v>22</v>
      </c>
      <c r="M38" s="29" t="s">
        <v>23</v>
      </c>
      <c r="N38" s="29" t="s">
        <v>22</v>
      </c>
      <c r="O38" s="29"/>
    </row>
    <row r="39" spans="1:17" x14ac:dyDescent="0.3">
      <c r="A39" s="32"/>
      <c r="B39" s="33"/>
      <c r="C39" s="33"/>
      <c r="D39" s="33"/>
      <c r="E39" s="33"/>
      <c r="F39" s="33"/>
      <c r="G39" s="33"/>
      <c r="H39" s="33"/>
      <c r="I39" s="33"/>
      <c r="J39" s="31"/>
      <c r="K39" s="34"/>
      <c r="L39" s="35"/>
    </row>
    <row r="41" spans="1:17" x14ac:dyDescent="0.3">
      <c r="A41" s="36"/>
    </row>
    <row r="42" spans="1:17" x14ac:dyDescent="0.3">
      <c r="A42" s="36"/>
      <c r="B42" s="12"/>
      <c r="C42" s="12"/>
      <c r="D42" s="12"/>
      <c r="E42" s="12"/>
      <c r="F42" s="12"/>
      <c r="H42" s="12"/>
      <c r="I42" s="12"/>
      <c r="J42" s="12"/>
      <c r="K42" s="37"/>
      <c r="L42" s="12"/>
      <c r="M42" s="12"/>
      <c r="N42" s="12"/>
      <c r="O42" s="12"/>
    </row>
  </sheetData>
  <mergeCells count="3">
    <mergeCell ref="A1:O1"/>
    <mergeCell ref="A2:O2"/>
    <mergeCell ref="A3:O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AC7D6-2A80-480C-B63F-A31D9982B3A1}">
  <dimension ref="A1:Z42"/>
  <sheetViews>
    <sheetView topLeftCell="A18" workbookViewId="0">
      <selection activeCell="D13" sqref="D13"/>
    </sheetView>
  </sheetViews>
  <sheetFormatPr baseColWidth="10" defaultColWidth="11.44140625" defaultRowHeight="13.8" x14ac:dyDescent="0.3"/>
  <cols>
    <col min="1" max="1" width="15.33203125" style="6" customWidth="1"/>
    <col min="2" max="2" width="12.6640625" style="6" customWidth="1"/>
    <col min="3" max="3" width="9.6640625" style="6" customWidth="1"/>
    <col min="4" max="9" width="12.6640625" style="6" customWidth="1"/>
    <col min="10" max="10" width="4.6640625" style="6" customWidth="1"/>
    <col min="11" max="11" width="12.5546875" style="30" customWidth="1"/>
    <col min="12" max="15" width="12.5546875" style="6" customWidth="1"/>
    <col min="16" max="16" width="0" style="6" hidden="1" customWidth="1"/>
    <col min="17" max="16384" width="11.44140625" style="6"/>
  </cols>
  <sheetData>
    <row r="1" spans="1:19" s="1" customFormat="1" ht="15.6" x14ac:dyDescent="0.3">
      <c r="A1" s="40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</row>
    <row r="2" spans="1:19" s="1" customFormat="1" ht="15.6" x14ac:dyDescent="0.3">
      <c r="A2" s="40" t="s">
        <v>28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</row>
    <row r="3" spans="1:19" s="1" customFormat="1" ht="15.6" x14ac:dyDescent="0.3">
      <c r="A3" s="41" t="s">
        <v>27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</row>
    <row r="4" spans="1:19" ht="82.5" customHeight="1" x14ac:dyDescent="0.3">
      <c r="A4" s="42" t="s">
        <v>2</v>
      </c>
      <c r="B4" s="38" t="s">
        <v>3</v>
      </c>
      <c r="C4" s="38"/>
      <c r="D4" s="3" t="s">
        <v>4</v>
      </c>
      <c r="E4" s="3" t="s">
        <v>5</v>
      </c>
      <c r="F4" s="3" t="s">
        <v>6</v>
      </c>
      <c r="G4" s="3" t="s">
        <v>7</v>
      </c>
      <c r="H4" s="38" t="s">
        <v>8</v>
      </c>
      <c r="I4" s="38" t="s">
        <v>9</v>
      </c>
      <c r="J4" s="4"/>
      <c r="K4" s="44" t="s">
        <v>2</v>
      </c>
      <c r="L4" s="38" t="s">
        <v>10</v>
      </c>
      <c r="M4" s="38" t="s">
        <v>11</v>
      </c>
      <c r="N4" s="38" t="s">
        <v>12</v>
      </c>
      <c r="O4" s="38" t="s">
        <v>13</v>
      </c>
    </row>
    <row r="5" spans="1:19" ht="21" customHeight="1" x14ac:dyDescent="0.3">
      <c r="A5" s="43"/>
      <c r="B5" s="5" t="s">
        <v>14</v>
      </c>
      <c r="C5" s="5" t="s">
        <v>15</v>
      </c>
      <c r="D5" s="5" t="s">
        <v>16</v>
      </c>
      <c r="E5" s="5" t="s">
        <v>17</v>
      </c>
      <c r="F5" s="5" t="s">
        <v>18</v>
      </c>
      <c r="G5" s="5" t="s">
        <v>19</v>
      </c>
      <c r="H5" s="38"/>
      <c r="I5" s="38"/>
      <c r="J5" s="4"/>
      <c r="K5" s="44"/>
      <c r="L5" s="38"/>
      <c r="M5" s="38"/>
      <c r="N5" s="38"/>
      <c r="O5" s="38"/>
    </row>
    <row r="6" spans="1:19" ht="18" customHeight="1" thickBot="1" x14ac:dyDescent="0.35">
      <c r="A6" s="8">
        <v>1</v>
      </c>
      <c r="B6" s="9">
        <v>3214</v>
      </c>
      <c r="C6" s="9">
        <v>0</v>
      </c>
      <c r="D6" s="9">
        <v>1515</v>
      </c>
      <c r="E6" s="9">
        <v>308</v>
      </c>
      <c r="F6" s="9">
        <v>306</v>
      </c>
      <c r="G6" s="9">
        <v>393</v>
      </c>
      <c r="H6" s="9">
        <f>SUM(B6:G6)</f>
        <v>5736</v>
      </c>
      <c r="I6" s="9">
        <v>0</v>
      </c>
      <c r="J6" s="10"/>
      <c r="K6" s="8">
        <v>1</v>
      </c>
      <c r="L6" s="9">
        <v>5</v>
      </c>
      <c r="M6" s="9">
        <v>14</v>
      </c>
      <c r="N6" s="9">
        <v>7</v>
      </c>
      <c r="O6" s="9">
        <f>SUM(L6:N6)</f>
        <v>26</v>
      </c>
      <c r="P6" s="11">
        <v>6135</v>
      </c>
    </row>
    <row r="7" spans="1:19" ht="18" customHeight="1" thickTop="1" thickBot="1" x14ac:dyDescent="0.35">
      <c r="A7" s="8">
        <v>2</v>
      </c>
      <c r="B7" s="9">
        <v>3307</v>
      </c>
      <c r="C7" s="9">
        <v>0</v>
      </c>
      <c r="D7" s="9">
        <v>1651</v>
      </c>
      <c r="E7" s="9">
        <v>325</v>
      </c>
      <c r="F7" s="9">
        <v>350</v>
      </c>
      <c r="G7" s="9">
        <v>455</v>
      </c>
      <c r="H7" s="9">
        <f t="shared" ref="H7:H36" si="0">SUM(B7:G7)</f>
        <v>6088</v>
      </c>
      <c r="I7" s="9">
        <v>0</v>
      </c>
      <c r="J7" s="10"/>
      <c r="K7" s="8">
        <v>2</v>
      </c>
      <c r="L7" s="9">
        <v>11</v>
      </c>
      <c r="M7" s="9">
        <v>13</v>
      </c>
      <c r="N7" s="9">
        <v>6</v>
      </c>
      <c r="O7" s="9">
        <f t="shared" ref="O7:O35" si="1">SUM(L7:N7)</f>
        <v>30</v>
      </c>
      <c r="P7" s="11">
        <f>+P6</f>
        <v>6135</v>
      </c>
    </row>
    <row r="8" spans="1:19" ht="18" customHeight="1" thickTop="1" thickBot="1" x14ac:dyDescent="0.35">
      <c r="A8" s="8">
        <v>3</v>
      </c>
      <c r="B8" s="9">
        <v>3396</v>
      </c>
      <c r="C8" s="9">
        <v>0</v>
      </c>
      <c r="D8" s="9">
        <v>1696</v>
      </c>
      <c r="E8" s="9">
        <v>333</v>
      </c>
      <c r="F8" s="9">
        <v>335</v>
      </c>
      <c r="G8" s="9">
        <v>443</v>
      </c>
      <c r="H8" s="9">
        <f t="shared" si="0"/>
        <v>6203</v>
      </c>
      <c r="I8" s="9">
        <v>0</v>
      </c>
      <c r="J8" s="10"/>
      <c r="K8" s="8">
        <v>3</v>
      </c>
      <c r="L8" s="9">
        <v>3</v>
      </c>
      <c r="M8" s="9">
        <v>26</v>
      </c>
      <c r="N8" s="9">
        <v>6</v>
      </c>
      <c r="O8" s="9">
        <f t="shared" si="1"/>
        <v>35</v>
      </c>
      <c r="P8" s="11">
        <f t="shared" ref="P8:P36" si="2">+P7</f>
        <v>6135</v>
      </c>
      <c r="S8" s="12"/>
    </row>
    <row r="9" spans="1:19" ht="18" customHeight="1" thickTop="1" thickBot="1" x14ac:dyDescent="0.35">
      <c r="A9" s="8">
        <v>4</v>
      </c>
      <c r="B9" s="9">
        <v>4402</v>
      </c>
      <c r="C9" s="9">
        <v>0</v>
      </c>
      <c r="D9" s="9">
        <v>1661</v>
      </c>
      <c r="E9" s="9">
        <v>294</v>
      </c>
      <c r="F9" s="9">
        <v>296</v>
      </c>
      <c r="G9" s="9">
        <v>429</v>
      </c>
      <c r="H9" s="9">
        <f t="shared" si="0"/>
        <v>7082</v>
      </c>
      <c r="I9" s="9">
        <v>0</v>
      </c>
      <c r="J9" s="10"/>
      <c r="K9" s="8">
        <v>4</v>
      </c>
      <c r="L9" s="9">
        <v>16</v>
      </c>
      <c r="M9" s="9">
        <v>32</v>
      </c>
      <c r="N9" s="9">
        <v>7</v>
      </c>
      <c r="O9" s="9">
        <f t="shared" si="1"/>
        <v>55</v>
      </c>
      <c r="P9" s="11">
        <v>0</v>
      </c>
    </row>
    <row r="10" spans="1:19" ht="18" customHeight="1" thickTop="1" thickBot="1" x14ac:dyDescent="0.35">
      <c r="A10" s="8">
        <v>5</v>
      </c>
      <c r="B10" s="9">
        <v>5110</v>
      </c>
      <c r="C10" s="9">
        <v>0</v>
      </c>
      <c r="D10" s="9">
        <v>1387</v>
      </c>
      <c r="E10" s="9">
        <v>234</v>
      </c>
      <c r="F10" s="9">
        <v>319</v>
      </c>
      <c r="G10" s="9">
        <v>326</v>
      </c>
      <c r="H10" s="9">
        <f t="shared" si="0"/>
        <v>7376</v>
      </c>
      <c r="I10" s="9">
        <v>0</v>
      </c>
      <c r="J10" s="10"/>
      <c r="K10" s="8">
        <v>5</v>
      </c>
      <c r="L10" s="9">
        <v>3</v>
      </c>
      <c r="M10" s="9">
        <v>16</v>
      </c>
      <c r="N10" s="9">
        <v>8</v>
      </c>
      <c r="O10" s="9">
        <f t="shared" si="1"/>
        <v>27</v>
      </c>
      <c r="P10" s="11">
        <f t="shared" si="2"/>
        <v>0</v>
      </c>
    </row>
    <row r="11" spans="1:19" ht="18" customHeight="1" thickTop="1" thickBot="1" x14ac:dyDescent="0.35">
      <c r="A11" s="8">
        <v>6</v>
      </c>
      <c r="B11" s="9">
        <v>6124</v>
      </c>
      <c r="C11" s="9">
        <v>0</v>
      </c>
      <c r="D11" s="9">
        <v>1067</v>
      </c>
      <c r="E11" s="9">
        <v>177</v>
      </c>
      <c r="F11" s="9">
        <v>167</v>
      </c>
      <c r="G11" s="9">
        <v>334</v>
      </c>
      <c r="H11" s="9">
        <f t="shared" si="0"/>
        <v>7869</v>
      </c>
      <c r="I11" s="9">
        <v>0</v>
      </c>
      <c r="J11" s="10"/>
      <c r="K11" s="8">
        <v>6</v>
      </c>
      <c r="L11" s="9">
        <v>8</v>
      </c>
      <c r="M11" s="9">
        <v>12</v>
      </c>
      <c r="N11" s="9">
        <v>4</v>
      </c>
      <c r="O11" s="9">
        <f t="shared" si="1"/>
        <v>24</v>
      </c>
      <c r="P11" s="11">
        <f t="shared" si="2"/>
        <v>0</v>
      </c>
    </row>
    <row r="12" spans="1:19" ht="18" customHeight="1" thickTop="1" thickBot="1" x14ac:dyDescent="0.35">
      <c r="A12" s="8">
        <v>7</v>
      </c>
      <c r="B12" s="9">
        <v>3433</v>
      </c>
      <c r="C12" s="9">
        <v>0</v>
      </c>
      <c r="D12" s="9">
        <v>1351</v>
      </c>
      <c r="E12" s="9">
        <v>261</v>
      </c>
      <c r="F12" s="9">
        <v>263</v>
      </c>
      <c r="G12" s="9">
        <v>393</v>
      </c>
      <c r="H12" s="9">
        <f t="shared" si="0"/>
        <v>5701</v>
      </c>
      <c r="I12" s="9">
        <v>0</v>
      </c>
      <c r="J12" s="13"/>
      <c r="K12" s="8">
        <v>7</v>
      </c>
      <c r="L12" s="9">
        <v>1</v>
      </c>
      <c r="M12" s="9">
        <v>16</v>
      </c>
      <c r="N12" s="9">
        <v>5</v>
      </c>
      <c r="O12" s="9">
        <f t="shared" si="1"/>
        <v>22</v>
      </c>
      <c r="P12" s="11">
        <f t="shared" si="2"/>
        <v>0</v>
      </c>
    </row>
    <row r="13" spans="1:19" ht="18" customHeight="1" thickTop="1" thickBot="1" x14ac:dyDescent="0.35">
      <c r="A13" s="8">
        <v>8</v>
      </c>
      <c r="B13" s="9">
        <v>3272</v>
      </c>
      <c r="C13" s="9">
        <v>0</v>
      </c>
      <c r="D13" s="9">
        <v>1511</v>
      </c>
      <c r="E13" s="9">
        <v>275</v>
      </c>
      <c r="F13" s="9">
        <v>320</v>
      </c>
      <c r="G13" s="9">
        <v>431</v>
      </c>
      <c r="H13" s="9">
        <f t="shared" si="0"/>
        <v>5809</v>
      </c>
      <c r="I13" s="9">
        <v>0</v>
      </c>
      <c r="J13" s="13"/>
      <c r="K13" s="8">
        <v>8</v>
      </c>
      <c r="L13" s="9">
        <v>7</v>
      </c>
      <c r="M13" s="9">
        <v>15</v>
      </c>
      <c r="N13" s="9">
        <v>3</v>
      </c>
      <c r="O13" s="9">
        <f t="shared" si="1"/>
        <v>25</v>
      </c>
      <c r="P13" s="11">
        <f t="shared" si="2"/>
        <v>0</v>
      </c>
    </row>
    <row r="14" spans="1:19" s="15" customFormat="1" ht="18" customHeight="1" thickTop="1" thickBot="1" x14ac:dyDescent="0.35">
      <c r="A14" s="8">
        <v>9</v>
      </c>
      <c r="B14" s="9">
        <v>3483</v>
      </c>
      <c r="C14" s="9">
        <v>0</v>
      </c>
      <c r="D14" s="9">
        <v>1674</v>
      </c>
      <c r="E14" s="9">
        <v>310</v>
      </c>
      <c r="F14" s="9">
        <v>376</v>
      </c>
      <c r="G14" s="9">
        <v>489</v>
      </c>
      <c r="H14" s="9">
        <f t="shared" si="0"/>
        <v>6332</v>
      </c>
      <c r="I14" s="9">
        <v>0</v>
      </c>
      <c r="J14" s="13"/>
      <c r="K14" s="8">
        <v>9</v>
      </c>
      <c r="L14" s="9">
        <v>11</v>
      </c>
      <c r="M14" s="9">
        <v>26</v>
      </c>
      <c r="N14" s="9">
        <v>5</v>
      </c>
      <c r="O14" s="9">
        <f t="shared" si="1"/>
        <v>42</v>
      </c>
      <c r="P14" s="14">
        <f t="shared" si="2"/>
        <v>0</v>
      </c>
    </row>
    <row r="15" spans="1:19" ht="18" customHeight="1" thickTop="1" thickBot="1" x14ac:dyDescent="0.35">
      <c r="A15" s="8">
        <v>10</v>
      </c>
      <c r="B15" s="9">
        <v>4253</v>
      </c>
      <c r="C15" s="9">
        <v>0</v>
      </c>
      <c r="D15" s="9">
        <v>1763</v>
      </c>
      <c r="E15" s="9">
        <v>320</v>
      </c>
      <c r="F15" s="9">
        <v>373</v>
      </c>
      <c r="G15" s="9">
        <v>506</v>
      </c>
      <c r="H15" s="9">
        <f t="shared" si="0"/>
        <v>7215</v>
      </c>
      <c r="I15" s="9">
        <v>0</v>
      </c>
      <c r="J15" s="13"/>
      <c r="K15" s="8">
        <v>10</v>
      </c>
      <c r="L15" s="9">
        <v>4</v>
      </c>
      <c r="M15" s="9">
        <v>5</v>
      </c>
      <c r="N15" s="9">
        <v>13</v>
      </c>
      <c r="O15" s="9">
        <f t="shared" si="1"/>
        <v>22</v>
      </c>
      <c r="P15" s="11">
        <f t="shared" si="2"/>
        <v>0</v>
      </c>
    </row>
    <row r="16" spans="1:19" ht="18" customHeight="1" thickTop="1" thickBot="1" x14ac:dyDescent="0.35">
      <c r="A16" s="8">
        <v>11</v>
      </c>
      <c r="B16" s="9">
        <v>7373</v>
      </c>
      <c r="C16" s="9">
        <v>0</v>
      </c>
      <c r="D16" s="9">
        <v>1656</v>
      </c>
      <c r="E16" s="9">
        <v>294</v>
      </c>
      <c r="F16" s="9">
        <v>321</v>
      </c>
      <c r="G16" s="9">
        <v>421</v>
      </c>
      <c r="H16" s="9">
        <f t="shared" si="0"/>
        <v>10065</v>
      </c>
      <c r="I16" s="9">
        <v>0</v>
      </c>
      <c r="J16" s="13"/>
      <c r="K16" s="8">
        <v>11</v>
      </c>
      <c r="L16" s="9">
        <v>1</v>
      </c>
      <c r="M16" s="9">
        <v>12</v>
      </c>
      <c r="N16" s="9">
        <v>8</v>
      </c>
      <c r="O16" s="9">
        <f t="shared" si="1"/>
        <v>21</v>
      </c>
      <c r="P16" s="11">
        <f t="shared" si="2"/>
        <v>0</v>
      </c>
    </row>
    <row r="17" spans="1:26" ht="12" customHeight="1" thickTop="1" thickBot="1" x14ac:dyDescent="0.35">
      <c r="A17" s="8">
        <v>12</v>
      </c>
      <c r="B17" s="9">
        <v>10917</v>
      </c>
      <c r="C17" s="9">
        <v>0</v>
      </c>
      <c r="D17" s="9">
        <v>1547</v>
      </c>
      <c r="E17" s="9">
        <v>223</v>
      </c>
      <c r="F17" s="9">
        <v>273</v>
      </c>
      <c r="G17" s="9">
        <v>292</v>
      </c>
      <c r="H17" s="9">
        <f t="shared" si="0"/>
        <v>13252</v>
      </c>
      <c r="I17" s="9">
        <v>0</v>
      </c>
      <c r="J17" s="13"/>
      <c r="K17" s="8">
        <v>12</v>
      </c>
      <c r="L17" s="9">
        <v>0</v>
      </c>
      <c r="M17" s="9">
        <v>9</v>
      </c>
      <c r="N17" s="9">
        <v>9</v>
      </c>
      <c r="O17" s="9">
        <f t="shared" si="1"/>
        <v>18</v>
      </c>
      <c r="P17" s="11">
        <f t="shared" si="2"/>
        <v>0</v>
      </c>
    </row>
    <row r="18" spans="1:26" ht="18" customHeight="1" thickTop="1" thickBot="1" x14ac:dyDescent="0.35">
      <c r="A18" s="8">
        <v>13</v>
      </c>
      <c r="B18" s="9">
        <v>9334</v>
      </c>
      <c r="C18" s="9">
        <v>0</v>
      </c>
      <c r="D18" s="9">
        <v>1422</v>
      </c>
      <c r="E18" s="9">
        <v>204</v>
      </c>
      <c r="F18" s="9">
        <v>230</v>
      </c>
      <c r="G18" s="9">
        <v>447</v>
      </c>
      <c r="H18" s="9">
        <f t="shared" si="0"/>
        <v>11637</v>
      </c>
      <c r="I18" s="9">
        <v>0</v>
      </c>
      <c r="J18" s="13"/>
      <c r="K18" s="8">
        <v>13</v>
      </c>
      <c r="L18" s="9">
        <v>6</v>
      </c>
      <c r="M18" s="9">
        <v>7</v>
      </c>
      <c r="N18" s="9">
        <v>7</v>
      </c>
      <c r="O18" s="9">
        <f t="shared" si="1"/>
        <v>20</v>
      </c>
      <c r="P18" s="11">
        <f t="shared" si="2"/>
        <v>0</v>
      </c>
    </row>
    <row r="19" spans="1:26" ht="18" customHeight="1" thickTop="1" thickBot="1" x14ac:dyDescent="0.35">
      <c r="A19" s="8">
        <v>14</v>
      </c>
      <c r="B19" s="9">
        <v>6512</v>
      </c>
      <c r="C19" s="9">
        <v>0</v>
      </c>
      <c r="D19" s="9">
        <v>1404</v>
      </c>
      <c r="E19" s="9">
        <v>322</v>
      </c>
      <c r="F19" s="9">
        <v>303</v>
      </c>
      <c r="G19" s="9">
        <v>351</v>
      </c>
      <c r="H19" s="9">
        <f t="shared" si="0"/>
        <v>8892</v>
      </c>
      <c r="I19" s="9">
        <v>0</v>
      </c>
      <c r="J19" s="13"/>
      <c r="K19" s="8">
        <v>14</v>
      </c>
      <c r="L19" s="9">
        <v>2</v>
      </c>
      <c r="M19" s="9">
        <v>11</v>
      </c>
      <c r="N19" s="9">
        <v>7</v>
      </c>
      <c r="O19" s="9">
        <f t="shared" si="1"/>
        <v>20</v>
      </c>
      <c r="P19" s="11">
        <f t="shared" si="2"/>
        <v>0</v>
      </c>
    </row>
    <row r="20" spans="1:26" ht="18" customHeight="1" thickTop="1" thickBot="1" x14ac:dyDescent="0.35">
      <c r="A20" s="8">
        <v>15</v>
      </c>
      <c r="B20" s="9">
        <v>7579</v>
      </c>
      <c r="C20" s="9">
        <v>0</v>
      </c>
      <c r="D20" s="9">
        <v>1654</v>
      </c>
      <c r="E20" s="9">
        <v>252</v>
      </c>
      <c r="F20" s="9">
        <v>310</v>
      </c>
      <c r="G20" s="9">
        <v>404</v>
      </c>
      <c r="H20" s="9">
        <f t="shared" si="0"/>
        <v>10199</v>
      </c>
      <c r="I20" s="9">
        <v>0</v>
      </c>
      <c r="J20" s="13"/>
      <c r="K20" s="8">
        <v>15</v>
      </c>
      <c r="L20" s="9">
        <v>5</v>
      </c>
      <c r="M20" s="9">
        <v>19</v>
      </c>
      <c r="N20" s="9">
        <v>8</v>
      </c>
      <c r="O20" s="9">
        <f t="shared" si="1"/>
        <v>32</v>
      </c>
      <c r="P20" s="11">
        <f t="shared" si="2"/>
        <v>0</v>
      </c>
    </row>
    <row r="21" spans="1:26" ht="18" customHeight="1" thickTop="1" thickBot="1" x14ac:dyDescent="0.35">
      <c r="A21" s="8">
        <v>16</v>
      </c>
      <c r="B21" s="9">
        <v>11619</v>
      </c>
      <c r="C21" s="9">
        <v>0</v>
      </c>
      <c r="D21" s="9">
        <v>1441</v>
      </c>
      <c r="E21" s="9">
        <v>169</v>
      </c>
      <c r="F21" s="9">
        <v>246</v>
      </c>
      <c r="G21" s="9">
        <v>266</v>
      </c>
      <c r="H21" s="9">
        <f t="shared" si="0"/>
        <v>13741</v>
      </c>
      <c r="I21" s="9">
        <v>0</v>
      </c>
      <c r="J21" s="13"/>
      <c r="K21" s="8">
        <v>16</v>
      </c>
      <c r="L21" s="9">
        <v>6</v>
      </c>
      <c r="M21" s="9">
        <v>10</v>
      </c>
      <c r="N21" s="9">
        <v>3</v>
      </c>
      <c r="O21" s="9">
        <f t="shared" si="1"/>
        <v>19</v>
      </c>
      <c r="P21" s="11">
        <f>+P20</f>
        <v>0</v>
      </c>
    </row>
    <row r="22" spans="1:26" ht="18" customHeight="1" thickTop="1" thickBot="1" x14ac:dyDescent="0.35">
      <c r="A22" s="8">
        <v>17</v>
      </c>
      <c r="B22" s="9">
        <v>11332</v>
      </c>
      <c r="C22" s="9">
        <v>0</v>
      </c>
      <c r="D22" s="9">
        <v>1013</v>
      </c>
      <c r="E22" s="9">
        <v>126</v>
      </c>
      <c r="F22" s="9">
        <v>201</v>
      </c>
      <c r="G22" s="9">
        <v>177</v>
      </c>
      <c r="H22" s="9">
        <f t="shared" si="0"/>
        <v>12849</v>
      </c>
      <c r="I22" s="9">
        <v>0</v>
      </c>
      <c r="J22" s="13"/>
      <c r="K22" s="8">
        <v>17</v>
      </c>
      <c r="L22" s="9">
        <v>0</v>
      </c>
      <c r="M22" s="9">
        <v>8</v>
      </c>
      <c r="N22" s="9">
        <v>3</v>
      </c>
      <c r="O22" s="9">
        <f t="shared" si="1"/>
        <v>11</v>
      </c>
      <c r="P22" s="11">
        <f t="shared" si="2"/>
        <v>0</v>
      </c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18" customHeight="1" thickTop="1" thickBot="1" x14ac:dyDescent="0.35">
      <c r="A23" s="8">
        <v>18</v>
      </c>
      <c r="B23" s="9">
        <v>5986</v>
      </c>
      <c r="C23" s="9">
        <v>0</v>
      </c>
      <c r="D23" s="9">
        <v>638</v>
      </c>
      <c r="E23" s="9">
        <v>97</v>
      </c>
      <c r="F23" s="9">
        <v>128</v>
      </c>
      <c r="G23" s="9">
        <v>171</v>
      </c>
      <c r="H23" s="9">
        <f t="shared" si="0"/>
        <v>7020</v>
      </c>
      <c r="I23" s="9">
        <v>0</v>
      </c>
      <c r="J23" s="13"/>
      <c r="K23" s="8">
        <v>18</v>
      </c>
      <c r="L23" s="9">
        <v>1</v>
      </c>
      <c r="M23" s="9">
        <v>18</v>
      </c>
      <c r="N23" s="9">
        <v>1</v>
      </c>
      <c r="O23" s="9">
        <f t="shared" si="1"/>
        <v>20</v>
      </c>
      <c r="P23" s="11">
        <f t="shared" si="2"/>
        <v>0</v>
      </c>
    </row>
    <row r="24" spans="1:26" ht="18" customHeight="1" thickTop="1" thickBot="1" x14ac:dyDescent="0.35">
      <c r="A24" s="8">
        <v>19</v>
      </c>
      <c r="B24" s="9">
        <v>13258</v>
      </c>
      <c r="C24" s="9">
        <v>0</v>
      </c>
      <c r="D24" s="9">
        <v>827</v>
      </c>
      <c r="E24" s="9">
        <v>140</v>
      </c>
      <c r="F24" s="9">
        <v>172</v>
      </c>
      <c r="G24" s="9">
        <v>225</v>
      </c>
      <c r="H24" s="9">
        <f>SUM(B24:G24)</f>
        <v>14622</v>
      </c>
      <c r="I24" s="9">
        <v>0</v>
      </c>
      <c r="J24" s="13"/>
      <c r="K24" s="8">
        <v>19</v>
      </c>
      <c r="L24" s="9">
        <v>2</v>
      </c>
      <c r="M24" s="9">
        <v>3</v>
      </c>
      <c r="N24" s="9">
        <v>3</v>
      </c>
      <c r="O24" s="9">
        <f t="shared" si="1"/>
        <v>8</v>
      </c>
      <c r="P24" s="11">
        <f t="shared" si="2"/>
        <v>0</v>
      </c>
    </row>
    <row r="25" spans="1:26" ht="18" customHeight="1" thickTop="1" thickBot="1" x14ac:dyDescent="0.35">
      <c r="A25" s="8">
        <v>20</v>
      </c>
      <c r="B25" s="9">
        <v>17709</v>
      </c>
      <c r="C25" s="9">
        <v>0</v>
      </c>
      <c r="D25" s="9">
        <v>878</v>
      </c>
      <c r="E25" s="9">
        <v>60</v>
      </c>
      <c r="F25" s="9">
        <v>58</v>
      </c>
      <c r="G25" s="9">
        <v>127</v>
      </c>
      <c r="H25" s="9">
        <f>SUM(B25:G25)</f>
        <v>18832</v>
      </c>
      <c r="I25" s="9">
        <v>0</v>
      </c>
      <c r="J25" s="13"/>
      <c r="K25" s="8">
        <v>20</v>
      </c>
      <c r="L25" s="9">
        <v>1</v>
      </c>
      <c r="M25" s="9">
        <v>4</v>
      </c>
      <c r="N25" s="9">
        <v>3</v>
      </c>
      <c r="O25" s="9">
        <f t="shared" si="1"/>
        <v>8</v>
      </c>
      <c r="P25" s="11">
        <f t="shared" si="2"/>
        <v>0</v>
      </c>
    </row>
    <row r="26" spans="1:26" ht="18" customHeight="1" thickTop="1" thickBot="1" x14ac:dyDescent="0.35">
      <c r="A26" s="8">
        <v>21</v>
      </c>
      <c r="B26" s="9">
        <v>6005</v>
      </c>
      <c r="C26" s="9">
        <v>0</v>
      </c>
      <c r="D26" s="9">
        <v>1562</v>
      </c>
      <c r="E26" s="9">
        <v>268</v>
      </c>
      <c r="F26" s="9">
        <v>258</v>
      </c>
      <c r="G26" s="9">
        <v>408</v>
      </c>
      <c r="H26" s="9">
        <f t="shared" si="0"/>
        <v>8501</v>
      </c>
      <c r="I26" s="9">
        <v>0</v>
      </c>
      <c r="J26" s="13"/>
      <c r="K26" s="8">
        <v>21</v>
      </c>
      <c r="L26" s="9">
        <v>0</v>
      </c>
      <c r="M26" s="9">
        <v>18</v>
      </c>
      <c r="N26" s="9">
        <v>5</v>
      </c>
      <c r="O26" s="9">
        <f t="shared" si="1"/>
        <v>23</v>
      </c>
      <c r="P26" s="11">
        <f t="shared" si="2"/>
        <v>0</v>
      </c>
    </row>
    <row r="27" spans="1:26" ht="18" customHeight="1" thickTop="1" thickBot="1" x14ac:dyDescent="0.35">
      <c r="A27" s="17">
        <v>22</v>
      </c>
      <c r="B27" s="18">
        <v>4114</v>
      </c>
      <c r="C27" s="18">
        <v>0</v>
      </c>
      <c r="D27" s="18">
        <v>1661</v>
      </c>
      <c r="E27" s="18">
        <v>298</v>
      </c>
      <c r="F27" s="18">
        <v>305</v>
      </c>
      <c r="G27" s="18">
        <v>440</v>
      </c>
      <c r="H27" s="18">
        <f t="shared" si="0"/>
        <v>6818</v>
      </c>
      <c r="I27" s="18">
        <v>0</v>
      </c>
      <c r="J27" s="19"/>
      <c r="K27" s="17">
        <v>22</v>
      </c>
      <c r="L27" s="18">
        <v>1</v>
      </c>
      <c r="M27" s="18">
        <v>19</v>
      </c>
      <c r="N27" s="18">
        <v>3</v>
      </c>
      <c r="O27" s="18">
        <f t="shared" si="1"/>
        <v>23</v>
      </c>
      <c r="P27" s="11">
        <f t="shared" si="2"/>
        <v>0</v>
      </c>
    </row>
    <row r="28" spans="1:26" ht="18" customHeight="1" thickTop="1" thickBot="1" x14ac:dyDescent="0.35">
      <c r="A28" s="8">
        <v>23</v>
      </c>
      <c r="B28" s="9">
        <v>3622</v>
      </c>
      <c r="C28" s="9">
        <v>0</v>
      </c>
      <c r="D28" s="9">
        <v>1745</v>
      </c>
      <c r="E28" s="9">
        <v>304</v>
      </c>
      <c r="F28" s="9">
        <v>346</v>
      </c>
      <c r="G28" s="9">
        <v>514</v>
      </c>
      <c r="H28" s="18">
        <f t="shared" si="0"/>
        <v>6531</v>
      </c>
      <c r="I28" s="9">
        <v>0</v>
      </c>
      <c r="J28" s="13"/>
      <c r="K28" s="8">
        <v>23</v>
      </c>
      <c r="L28" s="9">
        <v>4</v>
      </c>
      <c r="M28" s="9">
        <v>30</v>
      </c>
      <c r="N28" s="9">
        <v>3</v>
      </c>
      <c r="O28" s="9">
        <f t="shared" si="1"/>
        <v>37</v>
      </c>
      <c r="P28" s="11">
        <f t="shared" si="2"/>
        <v>0</v>
      </c>
    </row>
    <row r="29" spans="1:26" ht="18" customHeight="1" thickTop="1" thickBot="1" x14ac:dyDescent="0.35">
      <c r="A29" s="8">
        <v>24</v>
      </c>
      <c r="B29" s="9">
        <v>3773</v>
      </c>
      <c r="C29" s="9">
        <v>0</v>
      </c>
      <c r="D29" s="9">
        <v>1807</v>
      </c>
      <c r="E29" s="9">
        <v>318</v>
      </c>
      <c r="F29" s="9">
        <v>361</v>
      </c>
      <c r="G29" s="9">
        <v>478</v>
      </c>
      <c r="H29" s="9">
        <f t="shared" si="0"/>
        <v>6737</v>
      </c>
      <c r="I29" s="9">
        <v>0</v>
      </c>
      <c r="J29" s="13"/>
      <c r="K29" s="8">
        <v>24</v>
      </c>
      <c r="L29" s="9">
        <v>5</v>
      </c>
      <c r="M29" s="9">
        <v>23</v>
      </c>
      <c r="N29" s="9">
        <v>9</v>
      </c>
      <c r="O29" s="9">
        <f t="shared" si="1"/>
        <v>37</v>
      </c>
      <c r="P29" s="11">
        <f t="shared" si="2"/>
        <v>0</v>
      </c>
    </row>
    <row r="30" spans="1:26" ht="18" customHeight="1" thickTop="1" thickBot="1" x14ac:dyDescent="0.35">
      <c r="A30" s="8">
        <v>25</v>
      </c>
      <c r="B30" s="9">
        <v>4493</v>
      </c>
      <c r="C30" s="9">
        <v>0</v>
      </c>
      <c r="D30" s="9">
        <v>1701</v>
      </c>
      <c r="E30" s="9">
        <v>326</v>
      </c>
      <c r="F30" s="9">
        <v>348</v>
      </c>
      <c r="G30" s="9">
        <v>517</v>
      </c>
      <c r="H30" s="9">
        <f t="shared" si="0"/>
        <v>7385</v>
      </c>
      <c r="I30" s="9">
        <v>0</v>
      </c>
      <c r="J30" s="13"/>
      <c r="K30" s="8">
        <v>25</v>
      </c>
      <c r="L30" s="9">
        <v>6</v>
      </c>
      <c r="M30" s="9">
        <v>27</v>
      </c>
      <c r="N30" s="9">
        <v>8</v>
      </c>
      <c r="O30" s="9">
        <f t="shared" si="1"/>
        <v>41</v>
      </c>
      <c r="P30" s="11">
        <f t="shared" si="2"/>
        <v>0</v>
      </c>
    </row>
    <row r="31" spans="1:26" ht="18" customHeight="1" thickTop="1" thickBot="1" x14ac:dyDescent="0.35">
      <c r="A31" s="8">
        <v>26</v>
      </c>
      <c r="B31" s="20">
        <v>4943</v>
      </c>
      <c r="C31" s="20">
        <v>0</v>
      </c>
      <c r="D31" s="20">
        <v>1424</v>
      </c>
      <c r="E31" s="20">
        <v>271</v>
      </c>
      <c r="F31" s="21">
        <v>330</v>
      </c>
      <c r="G31" s="20">
        <v>381</v>
      </c>
      <c r="H31" s="22">
        <f t="shared" si="0"/>
        <v>7349</v>
      </c>
      <c r="I31" s="22">
        <v>0</v>
      </c>
      <c r="J31" s="13"/>
      <c r="K31" s="23">
        <v>26</v>
      </c>
      <c r="L31" s="20">
        <v>1</v>
      </c>
      <c r="M31" s="20">
        <v>15</v>
      </c>
      <c r="N31" s="20">
        <v>7</v>
      </c>
      <c r="O31" s="9">
        <f t="shared" si="1"/>
        <v>23</v>
      </c>
      <c r="P31" s="11">
        <f t="shared" si="2"/>
        <v>0</v>
      </c>
    </row>
    <row r="32" spans="1:26" ht="18" customHeight="1" thickTop="1" thickBot="1" x14ac:dyDescent="0.35">
      <c r="A32" s="8">
        <v>27</v>
      </c>
      <c r="B32" s="24">
        <v>5635</v>
      </c>
      <c r="C32" s="24">
        <v>0</v>
      </c>
      <c r="D32" s="24">
        <v>1130</v>
      </c>
      <c r="E32" s="24">
        <v>204</v>
      </c>
      <c r="F32" s="24">
        <v>208</v>
      </c>
      <c r="G32" s="24">
        <v>343</v>
      </c>
      <c r="H32" s="9">
        <f t="shared" si="0"/>
        <v>7520</v>
      </c>
      <c r="I32" s="9">
        <v>0</v>
      </c>
      <c r="J32" s="9"/>
      <c r="K32" s="8">
        <v>27</v>
      </c>
      <c r="L32" s="24">
        <v>4</v>
      </c>
      <c r="M32" s="24">
        <v>6</v>
      </c>
      <c r="N32" s="24">
        <v>6</v>
      </c>
      <c r="O32" s="9">
        <f t="shared" si="1"/>
        <v>16</v>
      </c>
      <c r="P32" s="11">
        <f t="shared" si="2"/>
        <v>0</v>
      </c>
    </row>
    <row r="33" spans="1:17" ht="18" customHeight="1" thickTop="1" thickBot="1" x14ac:dyDescent="0.35">
      <c r="A33" s="8">
        <v>28</v>
      </c>
      <c r="B33" s="24">
        <v>3635</v>
      </c>
      <c r="C33" s="24">
        <v>0</v>
      </c>
      <c r="D33" s="24">
        <v>1465</v>
      </c>
      <c r="E33" s="24">
        <v>352</v>
      </c>
      <c r="F33" s="24">
        <v>289</v>
      </c>
      <c r="G33" s="24">
        <v>452</v>
      </c>
      <c r="H33" s="9">
        <f t="shared" si="0"/>
        <v>6193</v>
      </c>
      <c r="I33" s="9">
        <v>0</v>
      </c>
      <c r="J33" s="9"/>
      <c r="K33" s="8">
        <v>28</v>
      </c>
      <c r="L33" s="24">
        <v>10</v>
      </c>
      <c r="M33" s="24">
        <v>8</v>
      </c>
      <c r="N33" s="24">
        <v>5</v>
      </c>
      <c r="O33" s="9">
        <f t="shared" si="1"/>
        <v>23</v>
      </c>
      <c r="P33" s="11">
        <f t="shared" si="2"/>
        <v>0</v>
      </c>
    </row>
    <row r="34" spans="1:17" ht="18" customHeight="1" thickTop="1" thickBot="1" x14ac:dyDescent="0.35">
      <c r="A34" s="8">
        <v>29</v>
      </c>
      <c r="B34" s="24">
        <v>3460</v>
      </c>
      <c r="C34" s="24">
        <v>0</v>
      </c>
      <c r="D34" s="24">
        <v>1631</v>
      </c>
      <c r="E34" s="24">
        <v>296</v>
      </c>
      <c r="F34" s="24">
        <v>318</v>
      </c>
      <c r="G34" s="24">
        <v>406</v>
      </c>
      <c r="H34" s="9">
        <f t="shared" si="0"/>
        <v>6111</v>
      </c>
      <c r="I34" s="9">
        <v>0</v>
      </c>
      <c r="J34" s="9"/>
      <c r="K34" s="8">
        <v>29</v>
      </c>
      <c r="L34" s="24">
        <v>11</v>
      </c>
      <c r="M34" s="24">
        <v>10</v>
      </c>
      <c r="N34" s="24">
        <v>11</v>
      </c>
      <c r="O34" s="9">
        <f t="shared" si="1"/>
        <v>32</v>
      </c>
      <c r="P34" s="11">
        <f t="shared" si="2"/>
        <v>0</v>
      </c>
    </row>
    <row r="35" spans="1:17" ht="18" customHeight="1" thickTop="1" thickBot="1" x14ac:dyDescent="0.35">
      <c r="A35" s="8">
        <v>30</v>
      </c>
      <c r="B35" s="24">
        <v>4407</v>
      </c>
      <c r="C35" s="24">
        <v>0</v>
      </c>
      <c r="D35" s="24">
        <v>1591</v>
      </c>
      <c r="E35" s="24">
        <v>315</v>
      </c>
      <c r="F35" s="24">
        <v>331</v>
      </c>
      <c r="G35" s="24">
        <v>457</v>
      </c>
      <c r="H35" s="25">
        <f t="shared" si="0"/>
        <v>7101</v>
      </c>
      <c r="I35" s="25">
        <v>0</v>
      </c>
      <c r="J35" s="25"/>
      <c r="K35" s="26">
        <v>30</v>
      </c>
      <c r="L35" s="24">
        <v>2</v>
      </c>
      <c r="M35" s="24">
        <v>19</v>
      </c>
      <c r="N35" s="24">
        <v>5</v>
      </c>
      <c r="O35" s="25">
        <f t="shared" si="1"/>
        <v>26</v>
      </c>
      <c r="P35" s="11">
        <f t="shared" si="2"/>
        <v>0</v>
      </c>
    </row>
    <row r="36" spans="1:17" ht="15.6" customHeight="1" thickTop="1" thickBot="1" x14ac:dyDescent="0.35">
      <c r="A36" s="8">
        <v>31</v>
      </c>
      <c r="B36" s="24"/>
      <c r="C36" s="24"/>
      <c r="D36" s="24"/>
      <c r="E36" s="24"/>
      <c r="F36" s="24"/>
      <c r="G36" s="24"/>
      <c r="H36" s="25">
        <f t="shared" si="0"/>
        <v>0</v>
      </c>
      <c r="I36" s="9">
        <v>0</v>
      </c>
      <c r="J36" s="9"/>
      <c r="K36" s="8">
        <v>31</v>
      </c>
      <c r="L36" s="24"/>
      <c r="M36" s="24"/>
      <c r="N36" s="24"/>
      <c r="O36" s="9">
        <f>SUM(L36:N36)</f>
        <v>0</v>
      </c>
      <c r="P36" s="11">
        <f t="shared" si="2"/>
        <v>0</v>
      </c>
      <c r="Q36" s="6">
        <v>3</v>
      </c>
    </row>
    <row r="37" spans="1:17" ht="18" customHeight="1" thickTop="1" x14ac:dyDescent="0.3">
      <c r="A37" s="5" t="s">
        <v>20</v>
      </c>
      <c r="B37" s="27">
        <f t="shared" ref="B37:H37" si="3">SUM(B6:B36)</f>
        <v>185700</v>
      </c>
      <c r="C37" s="27">
        <f t="shared" si="3"/>
        <v>0</v>
      </c>
      <c r="D37" s="27">
        <f t="shared" si="3"/>
        <v>43473</v>
      </c>
      <c r="E37" s="27">
        <f t="shared" si="3"/>
        <v>7676</v>
      </c>
      <c r="F37" s="27">
        <f t="shared" si="3"/>
        <v>8441</v>
      </c>
      <c r="G37" s="27">
        <f t="shared" si="3"/>
        <v>11476</v>
      </c>
      <c r="H37" s="27">
        <f t="shared" si="3"/>
        <v>256766</v>
      </c>
      <c r="I37" s="27">
        <f>SUM(I6:I33)</f>
        <v>0</v>
      </c>
      <c r="J37" s="27"/>
      <c r="K37" s="27" t="s">
        <v>21</v>
      </c>
      <c r="L37" s="27">
        <f>SUM(L6:L36)</f>
        <v>137</v>
      </c>
      <c r="M37" s="27">
        <f>SUM(M6:M36)</f>
        <v>451</v>
      </c>
      <c r="N37" s="27">
        <f>SUM(N6:N36)</f>
        <v>178</v>
      </c>
      <c r="O37" s="27">
        <f>SUM(O6:O36)</f>
        <v>766</v>
      </c>
      <c r="P37" s="27">
        <f>SUM(P6:P36)</f>
        <v>18405</v>
      </c>
    </row>
    <row r="38" spans="1:17" ht="18" customHeight="1" x14ac:dyDescent="0.3">
      <c r="A38" s="5" t="s">
        <v>20</v>
      </c>
      <c r="B38" s="39">
        <f>+B37+C37</f>
        <v>185700</v>
      </c>
      <c r="C38" s="39"/>
      <c r="D38" s="27">
        <f>+D37</f>
        <v>43473</v>
      </c>
      <c r="E38" s="27">
        <f>+E37</f>
        <v>7676</v>
      </c>
      <c r="F38" s="27">
        <f>+F37</f>
        <v>8441</v>
      </c>
      <c r="G38" s="27">
        <f>+G37</f>
        <v>11476</v>
      </c>
      <c r="H38" s="27">
        <f>SUM(B38:G38)</f>
        <v>256766</v>
      </c>
      <c r="I38" s="27">
        <v>0</v>
      </c>
      <c r="J38" s="28"/>
      <c r="K38" s="29"/>
      <c r="L38" s="29" t="s">
        <v>22</v>
      </c>
      <c r="M38" s="29" t="s">
        <v>23</v>
      </c>
      <c r="N38" s="29" t="s">
        <v>22</v>
      </c>
      <c r="O38" s="29"/>
    </row>
    <row r="39" spans="1:17" x14ac:dyDescent="0.3">
      <c r="A39" s="32"/>
      <c r="B39" s="33"/>
      <c r="C39" s="33"/>
      <c r="D39" s="33"/>
      <c r="E39" s="33"/>
      <c r="F39" s="33"/>
      <c r="G39" s="33"/>
      <c r="H39" s="33"/>
      <c r="I39" s="33"/>
      <c r="J39" s="31"/>
      <c r="K39" s="34"/>
      <c r="L39" s="35"/>
    </row>
    <row r="41" spans="1:17" x14ac:dyDescent="0.3">
      <c r="A41" s="36"/>
    </row>
    <row r="42" spans="1:17" x14ac:dyDescent="0.3">
      <c r="A42" s="36"/>
      <c r="B42" s="12"/>
      <c r="C42" s="12"/>
      <c r="D42" s="12"/>
      <c r="E42" s="12"/>
      <c r="F42" s="12"/>
      <c r="H42" s="12"/>
      <c r="I42" s="12"/>
      <c r="J42" s="12"/>
      <c r="K42" s="37"/>
      <c r="L42" s="12"/>
      <c r="M42" s="12"/>
      <c r="N42" s="12"/>
      <c r="O42" s="12"/>
    </row>
  </sheetData>
  <mergeCells count="13">
    <mergeCell ref="N4:N5"/>
    <mergeCell ref="O4:O5"/>
    <mergeCell ref="B38:C38"/>
    <mergeCell ref="A1:O1"/>
    <mergeCell ref="A2:O2"/>
    <mergeCell ref="A3:O3"/>
    <mergeCell ref="A4:A5"/>
    <mergeCell ref="B4:C4"/>
    <mergeCell ref="H4:H5"/>
    <mergeCell ref="I4:I5"/>
    <mergeCell ref="K4:K5"/>
    <mergeCell ref="L4:L5"/>
    <mergeCell ref="M4:M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98FA8-1E22-4917-A6E6-4350E6B4B251}">
  <dimension ref="A1:Z42"/>
  <sheetViews>
    <sheetView workbookViewId="0">
      <selection activeCell="Q9" sqref="Q9"/>
    </sheetView>
  </sheetViews>
  <sheetFormatPr baseColWidth="10" defaultColWidth="11.44140625" defaultRowHeight="13.8" x14ac:dyDescent="0.3"/>
  <cols>
    <col min="1" max="1" width="15.33203125" style="6" customWidth="1"/>
    <col min="2" max="2" width="12.6640625" style="6" customWidth="1"/>
    <col min="3" max="3" width="9.6640625" style="6" customWidth="1"/>
    <col min="4" max="9" width="12.6640625" style="6" customWidth="1"/>
    <col min="10" max="10" width="4.6640625" style="6" customWidth="1"/>
    <col min="11" max="11" width="12.5546875" style="30" customWidth="1"/>
    <col min="12" max="15" width="12.5546875" style="6" customWidth="1"/>
    <col min="16" max="16" width="0" style="6" hidden="1" customWidth="1"/>
    <col min="17" max="16384" width="11.44140625" style="6"/>
  </cols>
  <sheetData>
    <row r="1" spans="1:19" s="1" customFormat="1" ht="15.6" x14ac:dyDescent="0.3">
      <c r="A1" s="40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</row>
    <row r="2" spans="1:19" s="1" customFormat="1" ht="15.6" x14ac:dyDescent="0.3">
      <c r="A2" s="40" t="s">
        <v>24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</row>
    <row r="3" spans="1:19" s="1" customFormat="1" ht="15.6" x14ac:dyDescent="0.3">
      <c r="A3" s="41" t="s">
        <v>29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</row>
    <row r="4" spans="1:19" ht="82.5" customHeight="1" x14ac:dyDescent="0.3">
      <c r="A4" s="42" t="s">
        <v>2</v>
      </c>
      <c r="B4" s="38" t="s">
        <v>3</v>
      </c>
      <c r="C4" s="38"/>
      <c r="D4" s="3" t="s">
        <v>4</v>
      </c>
      <c r="E4" s="3" t="s">
        <v>5</v>
      </c>
      <c r="F4" s="3" t="s">
        <v>6</v>
      </c>
      <c r="G4" s="3" t="s">
        <v>7</v>
      </c>
      <c r="H4" s="38" t="s">
        <v>8</v>
      </c>
      <c r="I4" s="38" t="s">
        <v>9</v>
      </c>
      <c r="J4" s="4"/>
      <c r="K4" s="44" t="s">
        <v>2</v>
      </c>
      <c r="L4" s="38" t="s">
        <v>10</v>
      </c>
      <c r="M4" s="38" t="s">
        <v>11</v>
      </c>
      <c r="N4" s="38" t="s">
        <v>12</v>
      </c>
      <c r="O4" s="38" t="s">
        <v>13</v>
      </c>
    </row>
    <row r="5" spans="1:19" ht="21" customHeight="1" x14ac:dyDescent="0.3">
      <c r="A5" s="43"/>
      <c r="B5" s="5" t="s">
        <v>14</v>
      </c>
      <c r="C5" s="5" t="s">
        <v>15</v>
      </c>
      <c r="D5" s="5" t="s">
        <v>16</v>
      </c>
      <c r="E5" s="5" t="s">
        <v>17</v>
      </c>
      <c r="F5" s="5" t="s">
        <v>18</v>
      </c>
      <c r="G5" s="5" t="s">
        <v>19</v>
      </c>
      <c r="H5" s="38"/>
      <c r="I5" s="38"/>
      <c r="J5" s="4"/>
      <c r="K5" s="44"/>
      <c r="L5" s="38"/>
      <c r="M5" s="38"/>
      <c r="N5" s="38"/>
      <c r="O5" s="38"/>
    </row>
    <row r="6" spans="1:19" ht="18" customHeight="1" thickBot="1" x14ac:dyDescent="0.35">
      <c r="A6" s="8">
        <v>1</v>
      </c>
      <c r="B6" s="9">
        <v>6181</v>
      </c>
      <c r="C6" s="9">
        <v>0</v>
      </c>
      <c r="D6" s="9">
        <v>1369</v>
      </c>
      <c r="E6" s="9">
        <v>240</v>
      </c>
      <c r="F6" s="9">
        <v>271</v>
      </c>
      <c r="G6" s="9">
        <v>387</v>
      </c>
      <c r="H6" s="9">
        <f>SUM(B6:G6)</f>
        <v>8448</v>
      </c>
      <c r="I6" s="9">
        <v>0</v>
      </c>
      <c r="J6" s="10"/>
      <c r="K6" s="8">
        <v>1</v>
      </c>
      <c r="L6" s="9">
        <v>2</v>
      </c>
      <c r="M6" s="9">
        <v>22</v>
      </c>
      <c r="N6" s="9">
        <v>6</v>
      </c>
      <c r="O6" s="9">
        <f>SUM(L6:N6)</f>
        <v>30</v>
      </c>
      <c r="P6" s="11">
        <v>6135</v>
      </c>
    </row>
    <row r="7" spans="1:19" ht="18" customHeight="1" thickTop="1" thickBot="1" x14ac:dyDescent="0.35">
      <c r="A7" s="8">
        <v>2</v>
      </c>
      <c r="B7" s="9">
        <v>4137</v>
      </c>
      <c r="C7" s="9">
        <v>0</v>
      </c>
      <c r="D7" s="9">
        <v>1313</v>
      </c>
      <c r="E7" s="9">
        <v>289</v>
      </c>
      <c r="F7" s="9">
        <v>241</v>
      </c>
      <c r="G7" s="9">
        <v>347</v>
      </c>
      <c r="H7" s="9">
        <f t="shared" ref="H7:H36" si="0">SUM(B7:G7)</f>
        <v>6327</v>
      </c>
      <c r="I7" s="9">
        <v>0</v>
      </c>
      <c r="J7" s="10"/>
      <c r="K7" s="8">
        <v>2</v>
      </c>
      <c r="L7" s="9">
        <v>8</v>
      </c>
      <c r="M7" s="9">
        <v>10</v>
      </c>
      <c r="N7" s="9">
        <v>1</v>
      </c>
      <c r="O7" s="9">
        <f t="shared" ref="O7:O35" si="1">SUM(L7:N7)</f>
        <v>19</v>
      </c>
      <c r="P7" s="11">
        <f>+P6</f>
        <v>6135</v>
      </c>
    </row>
    <row r="8" spans="1:19" ht="18" customHeight="1" thickTop="1" thickBot="1" x14ac:dyDescent="0.35">
      <c r="A8" s="8">
        <v>3</v>
      </c>
      <c r="B8" s="9">
        <v>5383</v>
      </c>
      <c r="C8" s="9">
        <v>0</v>
      </c>
      <c r="D8" s="9">
        <v>1345</v>
      </c>
      <c r="E8" s="9">
        <v>231</v>
      </c>
      <c r="F8" s="9">
        <v>282</v>
      </c>
      <c r="G8" s="9">
        <v>284</v>
      </c>
      <c r="H8" s="9">
        <f t="shared" si="0"/>
        <v>7525</v>
      </c>
      <c r="I8" s="9">
        <v>0</v>
      </c>
      <c r="J8" s="10"/>
      <c r="K8" s="8">
        <v>3</v>
      </c>
      <c r="L8" s="9">
        <v>4</v>
      </c>
      <c r="M8" s="9">
        <v>17</v>
      </c>
      <c r="N8" s="9">
        <v>3</v>
      </c>
      <c r="O8" s="9">
        <f t="shared" si="1"/>
        <v>24</v>
      </c>
      <c r="P8" s="11">
        <f t="shared" ref="P8:P36" si="2">+P7</f>
        <v>6135</v>
      </c>
      <c r="S8" s="12"/>
    </row>
    <row r="9" spans="1:19" ht="18" customHeight="1" thickTop="1" thickBot="1" x14ac:dyDescent="0.35">
      <c r="A9" s="8">
        <v>4</v>
      </c>
      <c r="B9" s="9">
        <v>7845</v>
      </c>
      <c r="C9" s="9">
        <v>0</v>
      </c>
      <c r="D9" s="9">
        <v>1008</v>
      </c>
      <c r="E9" s="9">
        <v>161</v>
      </c>
      <c r="F9" s="9">
        <v>181</v>
      </c>
      <c r="G9" s="9">
        <v>241</v>
      </c>
      <c r="H9" s="9">
        <f t="shared" si="0"/>
        <v>9436</v>
      </c>
      <c r="I9" s="9">
        <v>0</v>
      </c>
      <c r="J9" s="10"/>
      <c r="K9" s="8">
        <v>4</v>
      </c>
      <c r="L9" s="9">
        <v>3</v>
      </c>
      <c r="M9" s="9">
        <v>5</v>
      </c>
      <c r="N9" s="9">
        <v>1</v>
      </c>
      <c r="O9" s="9">
        <f t="shared" si="1"/>
        <v>9</v>
      </c>
      <c r="P9" s="11">
        <v>0</v>
      </c>
    </row>
    <row r="10" spans="1:19" ht="18" customHeight="1" thickTop="1" thickBot="1" x14ac:dyDescent="0.35">
      <c r="A10" s="8">
        <v>5</v>
      </c>
      <c r="B10" s="9">
        <v>3898</v>
      </c>
      <c r="C10" s="9">
        <v>0</v>
      </c>
      <c r="D10" s="9">
        <v>1297</v>
      </c>
      <c r="E10" s="9">
        <v>276</v>
      </c>
      <c r="F10" s="9">
        <v>267</v>
      </c>
      <c r="G10" s="9">
        <v>368</v>
      </c>
      <c r="H10" s="9">
        <f t="shared" si="0"/>
        <v>6106</v>
      </c>
      <c r="I10" s="9">
        <v>0</v>
      </c>
      <c r="J10" s="10"/>
      <c r="K10" s="8">
        <v>5</v>
      </c>
      <c r="L10" s="9">
        <v>6</v>
      </c>
      <c r="M10" s="9">
        <v>17</v>
      </c>
      <c r="N10" s="9">
        <v>4</v>
      </c>
      <c r="O10" s="9">
        <f t="shared" si="1"/>
        <v>27</v>
      </c>
      <c r="P10" s="11">
        <f t="shared" si="2"/>
        <v>0</v>
      </c>
    </row>
    <row r="11" spans="1:19" ht="18" customHeight="1" thickTop="1" thickBot="1" x14ac:dyDescent="0.35">
      <c r="A11" s="8">
        <v>6</v>
      </c>
      <c r="B11" s="9">
        <v>3241</v>
      </c>
      <c r="C11" s="9">
        <v>0</v>
      </c>
      <c r="D11" s="9">
        <v>1560</v>
      </c>
      <c r="E11" s="9">
        <v>294</v>
      </c>
      <c r="F11" s="9">
        <v>280</v>
      </c>
      <c r="G11" s="9">
        <v>421</v>
      </c>
      <c r="H11" s="9">
        <f t="shared" si="0"/>
        <v>5796</v>
      </c>
      <c r="I11" s="9">
        <v>0</v>
      </c>
      <c r="J11" s="10"/>
      <c r="K11" s="8">
        <v>6</v>
      </c>
      <c r="L11" s="9">
        <v>1</v>
      </c>
      <c r="M11" s="9">
        <v>17</v>
      </c>
      <c r="N11" s="9">
        <v>3</v>
      </c>
      <c r="O11" s="9">
        <f t="shared" si="1"/>
        <v>21</v>
      </c>
      <c r="P11" s="11">
        <f t="shared" si="2"/>
        <v>0</v>
      </c>
    </row>
    <row r="12" spans="1:19" ht="18" customHeight="1" thickTop="1" thickBot="1" x14ac:dyDescent="0.35">
      <c r="A12" s="8">
        <v>7</v>
      </c>
      <c r="B12" s="9">
        <v>3280</v>
      </c>
      <c r="C12" s="9">
        <v>0</v>
      </c>
      <c r="D12" s="9">
        <v>1570</v>
      </c>
      <c r="E12" s="9">
        <v>351</v>
      </c>
      <c r="F12" s="9">
        <v>325</v>
      </c>
      <c r="G12" s="9">
        <v>439</v>
      </c>
      <c r="H12" s="9">
        <f t="shared" si="0"/>
        <v>5965</v>
      </c>
      <c r="I12" s="9">
        <v>0</v>
      </c>
      <c r="J12" s="13"/>
      <c r="K12" s="8">
        <v>7</v>
      </c>
      <c r="L12" s="9">
        <v>1</v>
      </c>
      <c r="M12" s="9">
        <v>13</v>
      </c>
      <c r="N12" s="9">
        <v>0</v>
      </c>
      <c r="O12" s="9">
        <f t="shared" si="1"/>
        <v>14</v>
      </c>
      <c r="P12" s="11">
        <f t="shared" si="2"/>
        <v>0</v>
      </c>
    </row>
    <row r="13" spans="1:19" ht="18" customHeight="1" thickTop="1" thickBot="1" x14ac:dyDescent="0.35">
      <c r="A13" s="8">
        <v>8</v>
      </c>
      <c r="B13" s="9">
        <v>3223</v>
      </c>
      <c r="C13" s="9">
        <v>0</v>
      </c>
      <c r="D13" s="9">
        <v>1617</v>
      </c>
      <c r="E13" s="9">
        <v>328</v>
      </c>
      <c r="F13" s="9">
        <v>341</v>
      </c>
      <c r="G13" s="9">
        <v>472</v>
      </c>
      <c r="H13" s="9">
        <f t="shared" si="0"/>
        <v>5981</v>
      </c>
      <c r="I13" s="9">
        <v>0</v>
      </c>
      <c r="J13" s="13"/>
      <c r="K13" s="8">
        <v>8</v>
      </c>
      <c r="L13" s="9">
        <v>3</v>
      </c>
      <c r="M13" s="9">
        <v>24</v>
      </c>
      <c r="N13" s="9">
        <v>8</v>
      </c>
      <c r="O13" s="9">
        <f t="shared" si="1"/>
        <v>35</v>
      </c>
      <c r="P13" s="11">
        <f t="shared" si="2"/>
        <v>0</v>
      </c>
    </row>
    <row r="14" spans="1:19" s="15" customFormat="1" ht="18" customHeight="1" thickTop="1" thickBot="1" x14ac:dyDescent="0.35">
      <c r="A14" s="8">
        <v>9</v>
      </c>
      <c r="B14" s="9">
        <v>4475</v>
      </c>
      <c r="C14" s="9">
        <v>0</v>
      </c>
      <c r="D14" s="9">
        <v>1593</v>
      </c>
      <c r="E14" s="9">
        <v>343</v>
      </c>
      <c r="F14" s="9">
        <v>345</v>
      </c>
      <c r="G14" s="9">
        <v>436</v>
      </c>
      <c r="H14" s="9">
        <f t="shared" si="0"/>
        <v>7192</v>
      </c>
      <c r="I14" s="9">
        <v>0</v>
      </c>
      <c r="J14" s="13"/>
      <c r="K14" s="8">
        <v>9</v>
      </c>
      <c r="L14" s="9">
        <v>4</v>
      </c>
      <c r="M14" s="9">
        <v>10</v>
      </c>
      <c r="N14" s="9">
        <v>4</v>
      </c>
      <c r="O14" s="9">
        <f t="shared" si="1"/>
        <v>18</v>
      </c>
      <c r="P14" s="14">
        <f t="shared" si="2"/>
        <v>0</v>
      </c>
    </row>
    <row r="15" spans="1:19" ht="18" customHeight="1" thickTop="1" thickBot="1" x14ac:dyDescent="0.35">
      <c r="A15" s="8">
        <v>10</v>
      </c>
      <c r="B15" s="9">
        <v>5236</v>
      </c>
      <c r="C15" s="9">
        <v>0</v>
      </c>
      <c r="D15" s="9">
        <v>1420</v>
      </c>
      <c r="E15" s="9">
        <v>226</v>
      </c>
      <c r="F15" s="9">
        <v>311</v>
      </c>
      <c r="G15" s="9">
        <v>371</v>
      </c>
      <c r="H15" s="9">
        <f t="shared" si="0"/>
        <v>7564</v>
      </c>
      <c r="I15" s="9">
        <v>0</v>
      </c>
      <c r="J15" s="13"/>
      <c r="K15" s="8">
        <v>10</v>
      </c>
      <c r="L15" s="9">
        <v>6</v>
      </c>
      <c r="M15" s="9">
        <v>8</v>
      </c>
      <c r="N15" s="9">
        <v>5</v>
      </c>
      <c r="O15" s="9">
        <f t="shared" si="1"/>
        <v>19</v>
      </c>
      <c r="P15" s="11">
        <f t="shared" si="2"/>
        <v>0</v>
      </c>
    </row>
    <row r="16" spans="1:19" ht="18" customHeight="1" thickTop="1" thickBot="1" x14ac:dyDescent="0.35">
      <c r="A16" s="8">
        <v>11</v>
      </c>
      <c r="B16" s="9">
        <v>6190</v>
      </c>
      <c r="C16" s="9">
        <v>0</v>
      </c>
      <c r="D16" s="9">
        <v>1035</v>
      </c>
      <c r="E16" s="9">
        <v>176</v>
      </c>
      <c r="F16" s="9">
        <v>183</v>
      </c>
      <c r="G16" s="9">
        <v>308</v>
      </c>
      <c r="H16" s="9">
        <f t="shared" si="0"/>
        <v>7892</v>
      </c>
      <c r="I16" s="9">
        <v>0</v>
      </c>
      <c r="J16" s="13"/>
      <c r="K16" s="8">
        <v>11</v>
      </c>
      <c r="L16" s="9">
        <v>3</v>
      </c>
      <c r="M16" s="9">
        <v>2</v>
      </c>
      <c r="N16" s="9">
        <v>5</v>
      </c>
      <c r="O16" s="9">
        <f t="shared" si="1"/>
        <v>10</v>
      </c>
      <c r="P16" s="11">
        <f t="shared" si="2"/>
        <v>0</v>
      </c>
    </row>
    <row r="17" spans="1:26" ht="12" customHeight="1" thickTop="1" thickBot="1" x14ac:dyDescent="0.35">
      <c r="A17" s="8">
        <v>12</v>
      </c>
      <c r="B17" s="9">
        <v>3578</v>
      </c>
      <c r="C17" s="9">
        <v>0</v>
      </c>
      <c r="D17" s="9">
        <v>1326</v>
      </c>
      <c r="E17" s="9">
        <v>328</v>
      </c>
      <c r="F17" s="9">
        <v>299</v>
      </c>
      <c r="G17" s="9">
        <v>439</v>
      </c>
      <c r="H17" s="9">
        <f t="shared" si="0"/>
        <v>5970</v>
      </c>
      <c r="I17" s="9">
        <v>0</v>
      </c>
      <c r="J17" s="13"/>
      <c r="K17" s="8">
        <v>12</v>
      </c>
      <c r="L17" s="9">
        <v>5</v>
      </c>
      <c r="M17" s="9">
        <v>14</v>
      </c>
      <c r="N17" s="9">
        <v>6</v>
      </c>
      <c r="O17" s="9">
        <f t="shared" si="1"/>
        <v>25</v>
      </c>
      <c r="P17" s="11">
        <f t="shared" si="2"/>
        <v>0</v>
      </c>
    </row>
    <row r="18" spans="1:26" ht="18" customHeight="1" thickTop="1" thickBot="1" x14ac:dyDescent="0.35">
      <c r="A18" s="8">
        <v>13</v>
      </c>
      <c r="B18" s="9">
        <v>3145</v>
      </c>
      <c r="C18" s="9">
        <v>0</v>
      </c>
      <c r="D18" s="9">
        <v>1609</v>
      </c>
      <c r="E18" s="9">
        <v>303</v>
      </c>
      <c r="F18" s="9">
        <v>376</v>
      </c>
      <c r="G18" s="9">
        <v>429</v>
      </c>
      <c r="H18" s="9">
        <f t="shared" si="0"/>
        <v>5862</v>
      </c>
      <c r="I18" s="9">
        <v>0</v>
      </c>
      <c r="J18" s="13"/>
      <c r="K18" s="8">
        <v>13</v>
      </c>
      <c r="L18" s="9">
        <v>2</v>
      </c>
      <c r="M18" s="9">
        <v>8</v>
      </c>
      <c r="N18" s="9">
        <v>7</v>
      </c>
      <c r="O18" s="9">
        <f t="shared" si="1"/>
        <v>17</v>
      </c>
      <c r="P18" s="11">
        <f t="shared" si="2"/>
        <v>0</v>
      </c>
    </row>
    <row r="19" spans="1:26" ht="18" customHeight="1" thickTop="1" thickBot="1" x14ac:dyDescent="0.35">
      <c r="A19" s="8">
        <v>14</v>
      </c>
      <c r="B19" s="9">
        <v>3353</v>
      </c>
      <c r="C19" s="9">
        <v>0</v>
      </c>
      <c r="D19" s="9">
        <v>1628</v>
      </c>
      <c r="E19" s="9">
        <v>332</v>
      </c>
      <c r="F19" s="9">
        <v>359</v>
      </c>
      <c r="G19" s="9">
        <v>505</v>
      </c>
      <c r="H19" s="9">
        <f t="shared" si="0"/>
        <v>6177</v>
      </c>
      <c r="I19" s="9">
        <v>0</v>
      </c>
      <c r="J19" s="13"/>
      <c r="K19" s="8">
        <v>14</v>
      </c>
      <c r="L19" s="9">
        <v>2</v>
      </c>
      <c r="M19" s="9">
        <v>22</v>
      </c>
      <c r="N19" s="9">
        <v>2</v>
      </c>
      <c r="O19" s="9">
        <f t="shared" si="1"/>
        <v>26</v>
      </c>
      <c r="P19" s="11">
        <f t="shared" si="2"/>
        <v>0</v>
      </c>
    </row>
    <row r="20" spans="1:26" ht="18" customHeight="1" thickTop="1" thickBot="1" x14ac:dyDescent="0.35">
      <c r="A20" s="8">
        <v>15</v>
      </c>
      <c r="B20" s="9">
        <v>3669</v>
      </c>
      <c r="C20" s="9">
        <v>0</v>
      </c>
      <c r="D20" s="9">
        <v>1674</v>
      </c>
      <c r="E20" s="9">
        <v>309</v>
      </c>
      <c r="F20" s="9">
        <v>355</v>
      </c>
      <c r="G20" s="9">
        <v>477</v>
      </c>
      <c r="H20" s="9">
        <f t="shared" si="0"/>
        <v>6484</v>
      </c>
      <c r="I20" s="9">
        <v>0</v>
      </c>
      <c r="J20" s="13"/>
      <c r="K20" s="8">
        <v>15</v>
      </c>
      <c r="L20" s="9">
        <v>4</v>
      </c>
      <c r="M20" s="9">
        <v>9</v>
      </c>
      <c r="N20" s="9">
        <v>2</v>
      </c>
      <c r="O20" s="9">
        <f t="shared" si="1"/>
        <v>15</v>
      </c>
      <c r="P20" s="11">
        <f t="shared" si="2"/>
        <v>0</v>
      </c>
    </row>
    <row r="21" spans="1:26" ht="18" customHeight="1" thickTop="1" thickBot="1" x14ac:dyDescent="0.35">
      <c r="A21" s="8">
        <v>16</v>
      </c>
      <c r="B21" s="9">
        <v>4610</v>
      </c>
      <c r="C21" s="9">
        <v>0</v>
      </c>
      <c r="D21" s="9">
        <v>1615</v>
      </c>
      <c r="E21" s="9">
        <v>283</v>
      </c>
      <c r="F21" s="9">
        <v>306</v>
      </c>
      <c r="G21" s="9">
        <v>401</v>
      </c>
      <c r="H21" s="9">
        <f t="shared" si="0"/>
        <v>7215</v>
      </c>
      <c r="I21" s="9">
        <v>0</v>
      </c>
      <c r="J21" s="13"/>
      <c r="K21" s="8">
        <v>16</v>
      </c>
      <c r="L21" s="9">
        <v>5</v>
      </c>
      <c r="M21" s="9">
        <v>9</v>
      </c>
      <c r="N21" s="9">
        <v>7</v>
      </c>
      <c r="O21" s="9">
        <f t="shared" si="1"/>
        <v>21</v>
      </c>
      <c r="P21" s="11">
        <f>+P20</f>
        <v>0</v>
      </c>
    </row>
    <row r="22" spans="1:26" ht="18" customHeight="1" thickTop="1" thickBot="1" x14ac:dyDescent="0.35">
      <c r="A22" s="8">
        <v>17</v>
      </c>
      <c r="B22" s="9">
        <v>5279</v>
      </c>
      <c r="C22" s="9">
        <v>0</v>
      </c>
      <c r="D22" s="9">
        <v>1363</v>
      </c>
      <c r="E22" s="9">
        <v>293</v>
      </c>
      <c r="F22" s="9">
        <v>298</v>
      </c>
      <c r="G22" s="9">
        <v>393</v>
      </c>
      <c r="H22" s="9">
        <f t="shared" si="0"/>
        <v>7626</v>
      </c>
      <c r="I22" s="9">
        <v>0</v>
      </c>
      <c r="J22" s="13"/>
      <c r="K22" s="8">
        <v>17</v>
      </c>
      <c r="L22" s="9">
        <v>1</v>
      </c>
      <c r="M22" s="9">
        <v>34</v>
      </c>
      <c r="N22" s="9">
        <v>4</v>
      </c>
      <c r="O22" s="9">
        <f t="shared" si="1"/>
        <v>39</v>
      </c>
      <c r="P22" s="11">
        <f t="shared" si="2"/>
        <v>0</v>
      </c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18" customHeight="1" thickTop="1" thickBot="1" x14ac:dyDescent="0.35">
      <c r="A23" s="8">
        <v>18</v>
      </c>
      <c r="B23" s="9">
        <v>6313</v>
      </c>
      <c r="C23" s="9">
        <v>0</v>
      </c>
      <c r="D23" s="9">
        <v>1145</v>
      </c>
      <c r="E23" s="9">
        <v>169</v>
      </c>
      <c r="F23" s="9">
        <v>165</v>
      </c>
      <c r="G23" s="9">
        <v>312</v>
      </c>
      <c r="H23" s="9">
        <f t="shared" si="0"/>
        <v>8104</v>
      </c>
      <c r="I23" s="9">
        <v>0</v>
      </c>
      <c r="J23" s="13"/>
      <c r="K23" s="8">
        <v>18</v>
      </c>
      <c r="L23" s="9">
        <v>0</v>
      </c>
      <c r="M23" s="9">
        <v>7</v>
      </c>
      <c r="N23" s="9">
        <v>2</v>
      </c>
      <c r="O23" s="9">
        <f t="shared" si="1"/>
        <v>9</v>
      </c>
      <c r="P23" s="11">
        <f t="shared" si="2"/>
        <v>0</v>
      </c>
    </row>
    <row r="24" spans="1:26" ht="18" customHeight="1" thickTop="1" thickBot="1" x14ac:dyDescent="0.35">
      <c r="A24" s="8">
        <v>19</v>
      </c>
      <c r="B24" s="9">
        <v>3538</v>
      </c>
      <c r="C24" s="9">
        <v>0</v>
      </c>
      <c r="D24" s="9">
        <v>1335</v>
      </c>
      <c r="E24" s="9">
        <v>293</v>
      </c>
      <c r="F24" s="9">
        <v>302</v>
      </c>
      <c r="G24" s="9">
        <v>357</v>
      </c>
      <c r="H24" s="9">
        <f>SUM(B24:G24)</f>
        <v>5825</v>
      </c>
      <c r="I24" s="9">
        <v>0</v>
      </c>
      <c r="J24" s="13"/>
      <c r="K24" s="8">
        <v>19</v>
      </c>
      <c r="L24" s="9">
        <v>4</v>
      </c>
      <c r="M24" s="9">
        <v>17</v>
      </c>
      <c r="N24" s="9">
        <v>4</v>
      </c>
      <c r="O24" s="9">
        <f t="shared" si="1"/>
        <v>25</v>
      </c>
      <c r="P24" s="11">
        <f t="shared" si="2"/>
        <v>0</v>
      </c>
    </row>
    <row r="25" spans="1:26" ht="18" customHeight="1" thickTop="1" thickBot="1" x14ac:dyDescent="0.35">
      <c r="A25" s="8">
        <v>20</v>
      </c>
      <c r="B25" s="9">
        <v>2957</v>
      </c>
      <c r="C25" s="9">
        <v>0</v>
      </c>
      <c r="D25" s="9">
        <v>1607</v>
      </c>
      <c r="E25" s="9">
        <v>283</v>
      </c>
      <c r="F25" s="9">
        <v>300</v>
      </c>
      <c r="G25" s="9">
        <v>434</v>
      </c>
      <c r="H25" s="9">
        <f>SUM(B25:G25)</f>
        <v>5581</v>
      </c>
      <c r="I25" s="9">
        <v>0</v>
      </c>
      <c r="J25" s="13"/>
      <c r="K25" s="8">
        <v>20</v>
      </c>
      <c r="L25" s="9">
        <v>5</v>
      </c>
      <c r="M25" s="9">
        <v>12</v>
      </c>
      <c r="N25" s="9">
        <v>0</v>
      </c>
      <c r="O25" s="9">
        <f t="shared" si="1"/>
        <v>17</v>
      </c>
      <c r="P25" s="11">
        <f t="shared" si="2"/>
        <v>0</v>
      </c>
    </row>
    <row r="26" spans="1:26" ht="18" customHeight="1" thickTop="1" thickBot="1" x14ac:dyDescent="0.35">
      <c r="A26" s="8">
        <v>21</v>
      </c>
      <c r="B26" s="9">
        <v>3273</v>
      </c>
      <c r="C26" s="9">
        <v>0</v>
      </c>
      <c r="D26" s="9">
        <v>1763</v>
      </c>
      <c r="E26" s="9">
        <v>340</v>
      </c>
      <c r="F26" s="9">
        <v>384</v>
      </c>
      <c r="G26" s="9">
        <v>499</v>
      </c>
      <c r="H26" s="9">
        <f t="shared" si="0"/>
        <v>6259</v>
      </c>
      <c r="I26" s="9">
        <v>0</v>
      </c>
      <c r="J26" s="13"/>
      <c r="K26" s="8">
        <v>21</v>
      </c>
      <c r="L26" s="9">
        <v>1</v>
      </c>
      <c r="M26" s="9">
        <v>24</v>
      </c>
      <c r="N26" s="9">
        <v>4</v>
      </c>
      <c r="O26" s="9">
        <f t="shared" si="1"/>
        <v>29</v>
      </c>
      <c r="P26" s="11">
        <f t="shared" si="2"/>
        <v>0</v>
      </c>
    </row>
    <row r="27" spans="1:26" ht="18" customHeight="1" thickTop="1" thickBot="1" x14ac:dyDescent="0.35">
      <c r="A27" s="17">
        <v>22</v>
      </c>
      <c r="B27" s="18">
        <v>3287</v>
      </c>
      <c r="C27" s="18">
        <v>0</v>
      </c>
      <c r="D27" s="18">
        <v>1581</v>
      </c>
      <c r="E27" s="18">
        <v>298</v>
      </c>
      <c r="F27" s="18">
        <v>301</v>
      </c>
      <c r="G27" s="18">
        <v>423</v>
      </c>
      <c r="H27" s="18">
        <f t="shared" si="0"/>
        <v>5890</v>
      </c>
      <c r="I27" s="18">
        <v>0</v>
      </c>
      <c r="J27" s="19"/>
      <c r="K27" s="17">
        <v>22</v>
      </c>
      <c r="L27" s="18">
        <v>1</v>
      </c>
      <c r="M27" s="18">
        <v>15</v>
      </c>
      <c r="N27" s="18">
        <v>4</v>
      </c>
      <c r="O27" s="18">
        <f t="shared" si="1"/>
        <v>20</v>
      </c>
      <c r="P27" s="11">
        <f t="shared" si="2"/>
        <v>0</v>
      </c>
    </row>
    <row r="28" spans="1:26" ht="18" customHeight="1" thickTop="1" thickBot="1" x14ac:dyDescent="0.35">
      <c r="A28" s="8">
        <v>23</v>
      </c>
      <c r="B28" s="9">
        <v>4632</v>
      </c>
      <c r="C28" s="9">
        <v>0</v>
      </c>
      <c r="D28" s="9">
        <v>1629</v>
      </c>
      <c r="E28" s="9">
        <v>329</v>
      </c>
      <c r="F28" s="9">
        <v>368</v>
      </c>
      <c r="G28" s="9">
        <v>495</v>
      </c>
      <c r="H28" s="18">
        <f t="shared" si="0"/>
        <v>7453</v>
      </c>
      <c r="I28" s="9">
        <v>0</v>
      </c>
      <c r="J28" s="13"/>
      <c r="K28" s="8">
        <v>23</v>
      </c>
      <c r="L28" s="9">
        <v>8</v>
      </c>
      <c r="M28" s="9">
        <v>26</v>
      </c>
      <c r="N28" s="9">
        <v>6</v>
      </c>
      <c r="O28" s="9">
        <f t="shared" si="1"/>
        <v>40</v>
      </c>
      <c r="P28" s="11">
        <f t="shared" si="2"/>
        <v>0</v>
      </c>
    </row>
    <row r="29" spans="1:26" ht="18" customHeight="1" thickTop="1" thickBot="1" x14ac:dyDescent="0.35">
      <c r="A29" s="8">
        <v>24</v>
      </c>
      <c r="B29" s="9">
        <v>5059</v>
      </c>
      <c r="C29" s="9">
        <v>0</v>
      </c>
      <c r="D29" s="9">
        <v>1597</v>
      </c>
      <c r="E29" s="9">
        <v>306</v>
      </c>
      <c r="F29" s="9">
        <v>312</v>
      </c>
      <c r="G29" s="9">
        <v>358</v>
      </c>
      <c r="H29" s="9">
        <f t="shared" si="0"/>
        <v>7632</v>
      </c>
      <c r="I29" s="9">
        <v>0</v>
      </c>
      <c r="J29" s="13"/>
      <c r="K29" s="8">
        <v>24</v>
      </c>
      <c r="L29" s="9">
        <v>0</v>
      </c>
      <c r="M29" s="9">
        <v>16</v>
      </c>
      <c r="N29" s="9">
        <v>7</v>
      </c>
      <c r="O29" s="9">
        <f t="shared" si="1"/>
        <v>23</v>
      </c>
      <c r="P29" s="11">
        <f t="shared" si="2"/>
        <v>0</v>
      </c>
    </row>
    <row r="30" spans="1:26" ht="18" customHeight="1" thickTop="1" thickBot="1" x14ac:dyDescent="0.35">
      <c r="A30" s="8">
        <v>25</v>
      </c>
      <c r="B30" s="9">
        <v>5909</v>
      </c>
      <c r="C30" s="9">
        <v>0</v>
      </c>
      <c r="D30" s="9">
        <v>1133</v>
      </c>
      <c r="E30" s="9">
        <v>203</v>
      </c>
      <c r="F30" s="9">
        <v>184</v>
      </c>
      <c r="G30" s="9">
        <v>311</v>
      </c>
      <c r="H30" s="9">
        <f t="shared" si="0"/>
        <v>7740</v>
      </c>
      <c r="I30" s="9">
        <v>0</v>
      </c>
      <c r="J30" s="13"/>
      <c r="K30" s="8">
        <v>25</v>
      </c>
      <c r="L30" s="9">
        <v>5</v>
      </c>
      <c r="M30" s="9">
        <v>5</v>
      </c>
      <c r="N30" s="9">
        <v>10</v>
      </c>
      <c r="O30" s="9">
        <f t="shared" si="1"/>
        <v>20</v>
      </c>
      <c r="P30" s="11">
        <f t="shared" si="2"/>
        <v>0</v>
      </c>
    </row>
    <row r="31" spans="1:26" ht="18" customHeight="1" thickTop="1" thickBot="1" x14ac:dyDescent="0.35">
      <c r="A31" s="8">
        <v>26</v>
      </c>
      <c r="B31" s="20">
        <v>3552</v>
      </c>
      <c r="C31" s="20">
        <v>0</v>
      </c>
      <c r="D31" s="20">
        <v>1315</v>
      </c>
      <c r="E31" s="20">
        <v>322</v>
      </c>
      <c r="F31" s="21">
        <v>277</v>
      </c>
      <c r="G31" s="20">
        <v>439</v>
      </c>
      <c r="H31" s="22">
        <f t="shared" si="0"/>
        <v>5905</v>
      </c>
      <c r="I31" s="22">
        <v>0</v>
      </c>
      <c r="J31" s="13"/>
      <c r="K31" s="23">
        <v>26</v>
      </c>
      <c r="L31" s="20">
        <v>1</v>
      </c>
      <c r="M31" s="20">
        <v>20</v>
      </c>
      <c r="N31" s="20">
        <v>1</v>
      </c>
      <c r="O31" s="9">
        <f t="shared" si="1"/>
        <v>22</v>
      </c>
      <c r="P31" s="11">
        <f t="shared" si="2"/>
        <v>0</v>
      </c>
    </row>
    <row r="32" spans="1:26" ht="18" customHeight="1" thickTop="1" thickBot="1" x14ac:dyDescent="0.35">
      <c r="A32" s="8">
        <v>27</v>
      </c>
      <c r="B32" s="24">
        <v>3341</v>
      </c>
      <c r="C32" s="24">
        <v>0</v>
      </c>
      <c r="D32" s="24">
        <v>1644</v>
      </c>
      <c r="E32" s="24">
        <v>298</v>
      </c>
      <c r="F32" s="24">
        <v>310</v>
      </c>
      <c r="G32" s="24">
        <v>411</v>
      </c>
      <c r="H32" s="9">
        <f t="shared" si="0"/>
        <v>6004</v>
      </c>
      <c r="I32" s="9">
        <v>0</v>
      </c>
      <c r="J32" s="9"/>
      <c r="K32" s="8">
        <v>27</v>
      </c>
      <c r="L32" s="24">
        <v>3</v>
      </c>
      <c r="M32" s="24">
        <v>19</v>
      </c>
      <c r="N32" s="24">
        <v>2</v>
      </c>
      <c r="O32" s="9">
        <f t="shared" si="1"/>
        <v>24</v>
      </c>
      <c r="P32" s="11">
        <f t="shared" si="2"/>
        <v>0</v>
      </c>
    </row>
    <row r="33" spans="1:16" ht="18" customHeight="1" thickTop="1" thickBot="1" x14ac:dyDescent="0.35">
      <c r="A33" s="8">
        <v>28</v>
      </c>
      <c r="B33" s="24">
        <v>3137</v>
      </c>
      <c r="C33" s="24">
        <v>0</v>
      </c>
      <c r="D33" s="24">
        <v>1611</v>
      </c>
      <c r="E33" s="24">
        <v>280</v>
      </c>
      <c r="F33" s="24">
        <v>342</v>
      </c>
      <c r="G33" s="24">
        <v>399</v>
      </c>
      <c r="H33" s="9">
        <f t="shared" si="0"/>
        <v>5769</v>
      </c>
      <c r="I33" s="9">
        <v>0</v>
      </c>
      <c r="J33" s="9"/>
      <c r="K33" s="8">
        <v>28</v>
      </c>
      <c r="L33" s="24">
        <v>2</v>
      </c>
      <c r="M33" s="24">
        <v>18</v>
      </c>
      <c r="N33" s="24">
        <v>6</v>
      </c>
      <c r="O33" s="9">
        <f t="shared" si="1"/>
        <v>26</v>
      </c>
      <c r="P33" s="11">
        <f t="shared" si="2"/>
        <v>0</v>
      </c>
    </row>
    <row r="34" spans="1:16" ht="18" customHeight="1" thickTop="1" thickBot="1" x14ac:dyDescent="0.35">
      <c r="A34" s="8">
        <v>29</v>
      </c>
      <c r="B34" s="24">
        <v>3725</v>
      </c>
      <c r="C34" s="24">
        <v>0</v>
      </c>
      <c r="D34" s="24">
        <v>1579</v>
      </c>
      <c r="E34" s="24">
        <v>228</v>
      </c>
      <c r="F34" s="24">
        <v>288</v>
      </c>
      <c r="G34" s="24">
        <v>418</v>
      </c>
      <c r="H34" s="9">
        <f t="shared" si="0"/>
        <v>6238</v>
      </c>
      <c r="I34" s="9">
        <v>0</v>
      </c>
      <c r="J34" s="9"/>
      <c r="K34" s="8">
        <v>29</v>
      </c>
      <c r="L34" s="24">
        <v>4</v>
      </c>
      <c r="M34" s="24">
        <v>10</v>
      </c>
      <c r="N34" s="24">
        <v>4</v>
      </c>
      <c r="O34" s="9">
        <f t="shared" si="1"/>
        <v>18</v>
      </c>
      <c r="P34" s="11">
        <f t="shared" si="2"/>
        <v>0</v>
      </c>
    </row>
    <row r="35" spans="1:16" ht="18" customHeight="1" thickTop="1" thickBot="1" x14ac:dyDescent="0.35">
      <c r="A35" s="8">
        <v>30</v>
      </c>
      <c r="B35" s="24">
        <v>6312</v>
      </c>
      <c r="C35" s="24">
        <v>0</v>
      </c>
      <c r="D35" s="24">
        <v>1521</v>
      </c>
      <c r="E35" s="24">
        <v>230</v>
      </c>
      <c r="F35" s="24">
        <v>297</v>
      </c>
      <c r="G35" s="24">
        <v>401</v>
      </c>
      <c r="H35" s="25">
        <f t="shared" si="0"/>
        <v>8761</v>
      </c>
      <c r="I35" s="25">
        <v>0</v>
      </c>
      <c r="J35" s="25"/>
      <c r="K35" s="26">
        <v>30</v>
      </c>
      <c r="L35" s="24">
        <v>4</v>
      </c>
      <c r="M35" s="24">
        <v>6</v>
      </c>
      <c r="N35" s="24">
        <v>6</v>
      </c>
      <c r="O35" s="25">
        <f t="shared" si="1"/>
        <v>16</v>
      </c>
      <c r="P35" s="11">
        <f t="shared" si="2"/>
        <v>0</v>
      </c>
    </row>
    <row r="36" spans="1:16" ht="18.75" customHeight="1" thickTop="1" thickBot="1" x14ac:dyDescent="0.35">
      <c r="A36" s="8">
        <v>31</v>
      </c>
      <c r="B36" s="24">
        <v>8380</v>
      </c>
      <c r="C36" s="24">
        <v>0</v>
      </c>
      <c r="D36" s="24">
        <v>1273</v>
      </c>
      <c r="E36" s="24">
        <v>171</v>
      </c>
      <c r="F36" s="24">
        <v>266</v>
      </c>
      <c r="G36" s="24">
        <v>267</v>
      </c>
      <c r="H36" s="25">
        <f t="shared" si="0"/>
        <v>10357</v>
      </c>
      <c r="I36" s="9">
        <v>0</v>
      </c>
      <c r="J36" s="9"/>
      <c r="K36" s="8">
        <v>31</v>
      </c>
      <c r="L36" s="24">
        <v>0</v>
      </c>
      <c r="M36" s="24">
        <v>13</v>
      </c>
      <c r="N36" s="24">
        <v>3</v>
      </c>
      <c r="O36" s="9">
        <f>SUM(L36:N36)</f>
        <v>16</v>
      </c>
      <c r="P36" s="11">
        <f t="shared" si="2"/>
        <v>0</v>
      </c>
    </row>
    <row r="37" spans="1:16" ht="18" customHeight="1" thickTop="1" x14ac:dyDescent="0.3">
      <c r="A37" s="5" t="s">
        <v>20</v>
      </c>
      <c r="B37" s="27">
        <f t="shared" ref="B37:H37" si="3">SUM(B6:B36)</f>
        <v>140138</v>
      </c>
      <c r="C37" s="27">
        <f t="shared" si="3"/>
        <v>0</v>
      </c>
      <c r="D37" s="27">
        <f t="shared" si="3"/>
        <v>45075</v>
      </c>
      <c r="E37" s="27">
        <f t="shared" si="3"/>
        <v>8513</v>
      </c>
      <c r="F37" s="27">
        <f t="shared" si="3"/>
        <v>9116</v>
      </c>
      <c r="G37" s="27">
        <f t="shared" si="3"/>
        <v>12242</v>
      </c>
      <c r="H37" s="27">
        <f t="shared" si="3"/>
        <v>215084</v>
      </c>
      <c r="I37" s="27">
        <f>SUM(I6:I33)</f>
        <v>0</v>
      </c>
      <c r="J37" s="27"/>
      <c r="K37" s="27" t="s">
        <v>21</v>
      </c>
      <c r="L37" s="27">
        <f>SUM(L6:L36)</f>
        <v>98</v>
      </c>
      <c r="M37" s="27">
        <f>SUM(M6:M36)</f>
        <v>449</v>
      </c>
      <c r="N37" s="27">
        <f>SUM(N6:N36)</f>
        <v>127</v>
      </c>
      <c r="O37" s="27">
        <f>SUM(O6:O36)</f>
        <v>674</v>
      </c>
      <c r="P37" s="27">
        <f>SUM(P6:P36)</f>
        <v>18405</v>
      </c>
    </row>
    <row r="38" spans="1:16" ht="18" customHeight="1" x14ac:dyDescent="0.3">
      <c r="A38" s="5" t="s">
        <v>20</v>
      </c>
      <c r="B38" s="39">
        <f>+B37+C37</f>
        <v>140138</v>
      </c>
      <c r="C38" s="39"/>
      <c r="D38" s="27">
        <f>+D37</f>
        <v>45075</v>
      </c>
      <c r="E38" s="27">
        <f>+E37</f>
        <v>8513</v>
      </c>
      <c r="F38" s="27">
        <f>+F37</f>
        <v>9116</v>
      </c>
      <c r="G38" s="27">
        <f>+G37</f>
        <v>12242</v>
      </c>
      <c r="H38" s="27">
        <f>SUM(B38:G38)</f>
        <v>215084</v>
      </c>
      <c r="I38" s="27">
        <v>0</v>
      </c>
      <c r="J38" s="28"/>
      <c r="K38" s="29"/>
      <c r="L38" s="29" t="s">
        <v>22</v>
      </c>
      <c r="M38" s="29" t="s">
        <v>23</v>
      </c>
      <c r="N38" s="29" t="s">
        <v>22</v>
      </c>
      <c r="O38" s="29"/>
    </row>
    <row r="39" spans="1:16" x14ac:dyDescent="0.3">
      <c r="A39" s="32"/>
      <c r="B39" s="33"/>
      <c r="C39" s="33"/>
      <c r="D39" s="33"/>
      <c r="E39" s="33"/>
      <c r="F39" s="33"/>
      <c r="G39" s="33"/>
      <c r="H39" s="33"/>
      <c r="I39" s="33"/>
      <c r="J39" s="31"/>
      <c r="K39" s="34"/>
      <c r="L39" s="35"/>
    </row>
    <row r="41" spans="1:16" x14ac:dyDescent="0.3">
      <c r="A41" s="36"/>
    </row>
    <row r="42" spans="1:16" x14ac:dyDescent="0.3">
      <c r="A42" s="36"/>
      <c r="B42" s="12"/>
      <c r="C42" s="12"/>
      <c r="D42" s="12"/>
      <c r="E42" s="12"/>
      <c r="F42" s="12"/>
      <c r="H42" s="12"/>
      <c r="I42" s="12"/>
      <c r="J42" s="12"/>
      <c r="K42" s="37"/>
      <c r="L42" s="12"/>
      <c r="M42" s="12"/>
      <c r="N42" s="12"/>
      <c r="O42" s="12"/>
    </row>
  </sheetData>
  <mergeCells count="13">
    <mergeCell ref="N4:N5"/>
    <mergeCell ref="O4:O5"/>
    <mergeCell ref="B38:C38"/>
    <mergeCell ref="A1:O1"/>
    <mergeCell ref="A2:O2"/>
    <mergeCell ref="A3:O3"/>
    <mergeCell ref="A4:A5"/>
    <mergeCell ref="B4:C4"/>
    <mergeCell ref="H4:H5"/>
    <mergeCell ref="I4:I5"/>
    <mergeCell ref="K4:K5"/>
    <mergeCell ref="L4:L5"/>
    <mergeCell ref="M4:M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F151B-44CB-4FBB-BB14-D46623A7EE6B}">
  <dimension ref="A1:Z42"/>
  <sheetViews>
    <sheetView workbookViewId="0">
      <selection activeCell="D40" sqref="D40"/>
    </sheetView>
  </sheetViews>
  <sheetFormatPr baseColWidth="10" defaultColWidth="11.44140625" defaultRowHeight="13.8" x14ac:dyDescent="0.3"/>
  <cols>
    <col min="1" max="1" width="15.33203125" style="6" customWidth="1"/>
    <col min="2" max="2" width="12.6640625" style="6" customWidth="1"/>
    <col min="3" max="3" width="9.6640625" style="6" customWidth="1"/>
    <col min="4" max="9" width="12.6640625" style="6" customWidth="1"/>
    <col min="10" max="10" width="4.6640625" style="6" customWidth="1"/>
    <col min="11" max="11" width="12.5546875" style="30" customWidth="1"/>
    <col min="12" max="15" width="12.5546875" style="6" customWidth="1"/>
    <col min="16" max="16" width="0" style="6" hidden="1" customWidth="1"/>
    <col min="17" max="16384" width="11.44140625" style="6"/>
  </cols>
  <sheetData>
    <row r="1" spans="1:19" s="1" customFormat="1" ht="15.6" x14ac:dyDescent="0.3">
      <c r="A1" s="40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</row>
    <row r="2" spans="1:19" s="1" customFormat="1" ht="15.6" x14ac:dyDescent="0.3">
      <c r="A2" s="40" t="s">
        <v>28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</row>
    <row r="3" spans="1:19" s="1" customFormat="1" ht="15.6" x14ac:dyDescent="0.3">
      <c r="A3" s="41" t="s">
        <v>30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</row>
    <row r="4" spans="1:19" ht="82.5" customHeight="1" x14ac:dyDescent="0.3">
      <c r="A4" s="42" t="s">
        <v>2</v>
      </c>
      <c r="B4" s="38" t="s">
        <v>3</v>
      </c>
      <c r="C4" s="38"/>
      <c r="D4" s="3" t="s">
        <v>4</v>
      </c>
      <c r="E4" s="3" t="s">
        <v>5</v>
      </c>
      <c r="F4" s="3" t="s">
        <v>6</v>
      </c>
      <c r="G4" s="3" t="s">
        <v>7</v>
      </c>
      <c r="H4" s="38" t="s">
        <v>8</v>
      </c>
      <c r="I4" s="38" t="s">
        <v>9</v>
      </c>
      <c r="J4" s="4"/>
      <c r="K4" s="44" t="s">
        <v>2</v>
      </c>
      <c r="L4" s="38" t="s">
        <v>10</v>
      </c>
      <c r="M4" s="38" t="s">
        <v>11</v>
      </c>
      <c r="N4" s="38" t="s">
        <v>12</v>
      </c>
      <c r="O4" s="38" t="s">
        <v>13</v>
      </c>
    </row>
    <row r="5" spans="1:19" ht="21" customHeight="1" x14ac:dyDescent="0.3">
      <c r="A5" s="43"/>
      <c r="B5" s="5" t="s">
        <v>14</v>
      </c>
      <c r="C5" s="5" t="s">
        <v>15</v>
      </c>
      <c r="D5" s="5" t="s">
        <v>16</v>
      </c>
      <c r="E5" s="5" t="s">
        <v>17</v>
      </c>
      <c r="F5" s="5" t="s">
        <v>18</v>
      </c>
      <c r="G5" s="5" t="s">
        <v>19</v>
      </c>
      <c r="H5" s="38"/>
      <c r="I5" s="38"/>
      <c r="J5" s="4"/>
      <c r="K5" s="44"/>
      <c r="L5" s="38"/>
      <c r="M5" s="38"/>
      <c r="N5" s="38"/>
      <c r="O5" s="38"/>
    </row>
    <row r="6" spans="1:19" ht="18" customHeight="1" thickBot="1" x14ac:dyDescent="0.35">
      <c r="A6" s="8">
        <v>1</v>
      </c>
      <c r="B6" s="9">
        <v>6803</v>
      </c>
      <c r="C6" s="9">
        <v>0</v>
      </c>
      <c r="D6" s="9">
        <v>1193</v>
      </c>
      <c r="E6" s="9">
        <v>202</v>
      </c>
      <c r="F6" s="9">
        <v>221</v>
      </c>
      <c r="G6" s="9">
        <v>330</v>
      </c>
      <c r="H6" s="9">
        <f>SUM(B6:G6)</f>
        <v>8749</v>
      </c>
      <c r="I6" s="9">
        <v>0</v>
      </c>
      <c r="J6" s="10"/>
      <c r="K6" s="8">
        <v>1</v>
      </c>
      <c r="L6" s="9">
        <v>5</v>
      </c>
      <c r="M6" s="9">
        <v>14</v>
      </c>
      <c r="N6" s="9">
        <v>3</v>
      </c>
      <c r="O6" s="9">
        <f>SUM(L6:N6)</f>
        <v>22</v>
      </c>
      <c r="P6" s="11">
        <v>6135</v>
      </c>
    </row>
    <row r="7" spans="1:19" ht="18" customHeight="1" thickTop="1" thickBot="1" x14ac:dyDescent="0.35">
      <c r="A7" s="8">
        <v>2</v>
      </c>
      <c r="B7" s="9">
        <v>10422</v>
      </c>
      <c r="C7" s="9">
        <v>0</v>
      </c>
      <c r="D7" s="9">
        <v>753</v>
      </c>
      <c r="E7" s="9">
        <v>108</v>
      </c>
      <c r="F7" s="9">
        <v>90</v>
      </c>
      <c r="G7" s="9">
        <v>132</v>
      </c>
      <c r="H7" s="9">
        <f t="shared" ref="H7:H36" si="0">SUM(B7:G7)</f>
        <v>11505</v>
      </c>
      <c r="I7" s="9">
        <v>0</v>
      </c>
      <c r="J7" s="10"/>
      <c r="K7" s="8">
        <v>2</v>
      </c>
      <c r="L7" s="9">
        <v>0</v>
      </c>
      <c r="M7" s="9">
        <v>1</v>
      </c>
      <c r="N7" s="9">
        <v>0</v>
      </c>
      <c r="O7" s="9">
        <f t="shared" ref="O7:O35" si="1">SUM(L7:N7)</f>
        <v>1</v>
      </c>
      <c r="P7" s="11">
        <f>+P6</f>
        <v>6135</v>
      </c>
    </row>
    <row r="8" spans="1:19" ht="18" customHeight="1" thickTop="1" thickBot="1" x14ac:dyDescent="0.35">
      <c r="A8" s="8">
        <v>3</v>
      </c>
      <c r="B8" s="9">
        <v>3974</v>
      </c>
      <c r="C8" s="9">
        <v>0</v>
      </c>
      <c r="D8" s="9">
        <v>1444</v>
      </c>
      <c r="E8" s="9">
        <v>328</v>
      </c>
      <c r="F8" s="9">
        <v>266</v>
      </c>
      <c r="G8" s="9">
        <v>403</v>
      </c>
      <c r="H8" s="9">
        <f t="shared" si="0"/>
        <v>6415</v>
      </c>
      <c r="I8" s="9">
        <v>0</v>
      </c>
      <c r="J8" s="10"/>
      <c r="K8" s="8">
        <v>3</v>
      </c>
      <c r="L8" s="9">
        <v>3</v>
      </c>
      <c r="M8" s="9">
        <v>16</v>
      </c>
      <c r="N8" s="9">
        <v>4</v>
      </c>
      <c r="O8" s="9">
        <f t="shared" si="1"/>
        <v>23</v>
      </c>
      <c r="P8" s="11">
        <f t="shared" ref="P8:P36" si="2">+P7</f>
        <v>6135</v>
      </c>
      <c r="S8" s="12"/>
    </row>
    <row r="9" spans="1:19" ht="18" customHeight="1" thickTop="1" thickBot="1" x14ac:dyDescent="0.35">
      <c r="A9" s="8">
        <v>4</v>
      </c>
      <c r="B9" s="9">
        <v>3494</v>
      </c>
      <c r="C9" s="9">
        <v>0</v>
      </c>
      <c r="D9" s="9">
        <v>1655</v>
      </c>
      <c r="E9" s="9">
        <v>320</v>
      </c>
      <c r="F9" s="9">
        <v>318</v>
      </c>
      <c r="G9" s="9">
        <v>401</v>
      </c>
      <c r="H9" s="9">
        <f t="shared" si="0"/>
        <v>6188</v>
      </c>
      <c r="I9" s="9">
        <v>0</v>
      </c>
      <c r="J9" s="10"/>
      <c r="K9" s="8">
        <v>4</v>
      </c>
      <c r="L9" s="9">
        <v>7</v>
      </c>
      <c r="M9" s="9">
        <v>30</v>
      </c>
      <c r="N9" s="9">
        <v>4</v>
      </c>
      <c r="O9" s="9">
        <f t="shared" si="1"/>
        <v>41</v>
      </c>
      <c r="P9" s="11">
        <v>0</v>
      </c>
    </row>
    <row r="10" spans="1:19" ht="18" customHeight="1" thickTop="1" thickBot="1" x14ac:dyDescent="0.35">
      <c r="A10" s="8">
        <v>5</v>
      </c>
      <c r="B10" s="9">
        <v>3574</v>
      </c>
      <c r="C10" s="9">
        <v>0</v>
      </c>
      <c r="D10" s="9">
        <v>1710</v>
      </c>
      <c r="E10" s="9">
        <v>297</v>
      </c>
      <c r="F10" s="9">
        <v>343</v>
      </c>
      <c r="G10" s="9">
        <v>429</v>
      </c>
      <c r="H10" s="9">
        <f t="shared" si="0"/>
        <v>6353</v>
      </c>
      <c r="I10" s="9">
        <v>0</v>
      </c>
      <c r="J10" s="10"/>
      <c r="K10" s="8">
        <v>5</v>
      </c>
      <c r="L10" s="9">
        <v>2</v>
      </c>
      <c r="M10" s="9">
        <v>38</v>
      </c>
      <c r="N10" s="9">
        <v>4</v>
      </c>
      <c r="O10" s="9">
        <f t="shared" si="1"/>
        <v>44</v>
      </c>
      <c r="P10" s="11">
        <f t="shared" si="2"/>
        <v>0</v>
      </c>
    </row>
    <row r="11" spans="1:19" ht="18" customHeight="1" thickTop="1" thickBot="1" x14ac:dyDescent="0.35">
      <c r="A11" s="8">
        <v>6</v>
      </c>
      <c r="B11" s="9">
        <v>4417</v>
      </c>
      <c r="C11" s="9">
        <v>0</v>
      </c>
      <c r="D11" s="9">
        <v>1654</v>
      </c>
      <c r="E11" s="9">
        <v>322</v>
      </c>
      <c r="F11" s="9">
        <v>349</v>
      </c>
      <c r="G11" s="9">
        <v>413</v>
      </c>
      <c r="H11" s="9">
        <f t="shared" si="0"/>
        <v>7155</v>
      </c>
      <c r="I11" s="9">
        <v>0</v>
      </c>
      <c r="J11" s="10"/>
      <c r="K11" s="8">
        <v>6</v>
      </c>
      <c r="L11" s="9">
        <v>4</v>
      </c>
      <c r="M11" s="9">
        <v>29</v>
      </c>
      <c r="N11" s="9">
        <v>7</v>
      </c>
      <c r="O11" s="9">
        <f t="shared" si="1"/>
        <v>40</v>
      </c>
      <c r="P11" s="11">
        <f t="shared" si="2"/>
        <v>0</v>
      </c>
    </row>
    <row r="12" spans="1:19" ht="18" customHeight="1" thickTop="1" thickBot="1" x14ac:dyDescent="0.35">
      <c r="A12" s="8">
        <v>7</v>
      </c>
      <c r="B12" s="9">
        <v>4994</v>
      </c>
      <c r="C12" s="9">
        <v>0</v>
      </c>
      <c r="D12" s="9">
        <v>1481</v>
      </c>
      <c r="E12" s="9">
        <v>277</v>
      </c>
      <c r="F12" s="9">
        <v>308</v>
      </c>
      <c r="G12" s="9">
        <v>358</v>
      </c>
      <c r="H12" s="9">
        <f t="shared" si="0"/>
        <v>7418</v>
      </c>
      <c r="I12" s="9">
        <v>0</v>
      </c>
      <c r="J12" s="13"/>
      <c r="K12" s="8">
        <v>7</v>
      </c>
      <c r="L12" s="9">
        <v>0</v>
      </c>
      <c r="M12" s="9">
        <v>27</v>
      </c>
      <c r="N12" s="9">
        <v>6</v>
      </c>
      <c r="O12" s="9">
        <f t="shared" si="1"/>
        <v>33</v>
      </c>
      <c r="P12" s="11">
        <f t="shared" si="2"/>
        <v>0</v>
      </c>
    </row>
    <row r="13" spans="1:19" ht="18" customHeight="1" thickTop="1" thickBot="1" x14ac:dyDescent="0.35">
      <c r="A13" s="8">
        <v>8</v>
      </c>
      <c r="B13" s="9">
        <v>5595</v>
      </c>
      <c r="C13" s="9">
        <v>0</v>
      </c>
      <c r="D13" s="9">
        <v>1129</v>
      </c>
      <c r="E13" s="9">
        <v>189</v>
      </c>
      <c r="F13" s="9">
        <v>190</v>
      </c>
      <c r="G13" s="9">
        <v>327</v>
      </c>
      <c r="H13" s="9">
        <f t="shared" si="0"/>
        <v>7430</v>
      </c>
      <c r="I13" s="9">
        <v>0</v>
      </c>
      <c r="J13" s="13"/>
      <c r="K13" s="8">
        <v>8</v>
      </c>
      <c r="L13" s="9">
        <v>6</v>
      </c>
      <c r="M13" s="9">
        <v>9</v>
      </c>
      <c r="N13" s="9">
        <v>6</v>
      </c>
      <c r="O13" s="9">
        <f t="shared" si="1"/>
        <v>21</v>
      </c>
      <c r="P13" s="11">
        <f t="shared" si="2"/>
        <v>0</v>
      </c>
    </row>
    <row r="14" spans="1:19" s="15" customFormat="1" ht="18" customHeight="1" thickTop="1" thickBot="1" x14ac:dyDescent="0.35">
      <c r="A14" s="8">
        <v>9</v>
      </c>
      <c r="B14" s="9">
        <v>3591</v>
      </c>
      <c r="C14" s="9">
        <v>0</v>
      </c>
      <c r="D14" s="9">
        <v>1286</v>
      </c>
      <c r="E14" s="9">
        <v>325</v>
      </c>
      <c r="F14" s="9">
        <v>286</v>
      </c>
      <c r="G14" s="9">
        <v>431</v>
      </c>
      <c r="H14" s="9">
        <f t="shared" si="0"/>
        <v>5919</v>
      </c>
      <c r="I14" s="9">
        <v>0</v>
      </c>
      <c r="J14" s="13"/>
      <c r="K14" s="8">
        <v>9</v>
      </c>
      <c r="L14" s="9">
        <v>4</v>
      </c>
      <c r="M14" s="9">
        <v>25</v>
      </c>
      <c r="N14" s="9">
        <v>5</v>
      </c>
      <c r="O14" s="9">
        <f t="shared" si="1"/>
        <v>34</v>
      </c>
      <c r="P14" s="14">
        <f t="shared" si="2"/>
        <v>0</v>
      </c>
    </row>
    <row r="15" spans="1:19" ht="18" customHeight="1" thickTop="1" thickBot="1" x14ac:dyDescent="0.35">
      <c r="A15" s="8">
        <v>10</v>
      </c>
      <c r="B15" s="9">
        <v>3189</v>
      </c>
      <c r="C15" s="9">
        <v>0</v>
      </c>
      <c r="D15" s="9">
        <v>1615</v>
      </c>
      <c r="E15" s="9">
        <v>297</v>
      </c>
      <c r="F15" s="9">
        <v>314</v>
      </c>
      <c r="G15" s="9">
        <v>471</v>
      </c>
      <c r="H15" s="9">
        <f t="shared" si="0"/>
        <v>5886</v>
      </c>
      <c r="I15" s="9">
        <v>0</v>
      </c>
      <c r="J15" s="13"/>
      <c r="K15" s="8">
        <v>10</v>
      </c>
      <c r="L15" s="9">
        <v>3</v>
      </c>
      <c r="M15" s="9">
        <v>33</v>
      </c>
      <c r="N15" s="9">
        <v>5</v>
      </c>
      <c r="O15" s="9">
        <f t="shared" si="1"/>
        <v>41</v>
      </c>
      <c r="P15" s="11">
        <f t="shared" si="2"/>
        <v>0</v>
      </c>
    </row>
    <row r="16" spans="1:19" ht="18" customHeight="1" thickTop="1" thickBot="1" x14ac:dyDescent="0.35">
      <c r="A16" s="8">
        <v>11</v>
      </c>
      <c r="B16" s="9">
        <v>3351</v>
      </c>
      <c r="C16" s="9">
        <v>0</v>
      </c>
      <c r="D16" s="9">
        <v>1673</v>
      </c>
      <c r="E16" s="9">
        <v>317</v>
      </c>
      <c r="F16" s="9">
        <v>323</v>
      </c>
      <c r="G16" s="9">
        <v>484</v>
      </c>
      <c r="H16" s="9">
        <f t="shared" si="0"/>
        <v>6148</v>
      </c>
      <c r="I16" s="9">
        <v>0</v>
      </c>
      <c r="J16" s="13"/>
      <c r="K16" s="8">
        <v>11</v>
      </c>
      <c r="L16" s="9">
        <v>1</v>
      </c>
      <c r="M16" s="9">
        <v>31</v>
      </c>
      <c r="N16" s="9">
        <v>4</v>
      </c>
      <c r="O16" s="9">
        <f t="shared" si="1"/>
        <v>36</v>
      </c>
      <c r="P16" s="11">
        <f t="shared" si="2"/>
        <v>0</v>
      </c>
    </row>
    <row r="17" spans="1:26" ht="16.5" customHeight="1" thickTop="1" thickBot="1" x14ac:dyDescent="0.35">
      <c r="A17" s="8">
        <v>12</v>
      </c>
      <c r="B17" s="9">
        <v>3697</v>
      </c>
      <c r="C17" s="9">
        <v>0</v>
      </c>
      <c r="D17" s="9">
        <v>1845</v>
      </c>
      <c r="E17" s="9">
        <v>363</v>
      </c>
      <c r="F17" s="9">
        <v>387</v>
      </c>
      <c r="G17" s="9">
        <v>509</v>
      </c>
      <c r="H17" s="9">
        <f t="shared" si="0"/>
        <v>6801</v>
      </c>
      <c r="I17" s="9">
        <v>0</v>
      </c>
      <c r="J17" s="13"/>
      <c r="K17" s="8">
        <v>12</v>
      </c>
      <c r="L17" s="9">
        <v>4</v>
      </c>
      <c r="M17" s="9">
        <v>28</v>
      </c>
      <c r="N17" s="9">
        <v>4</v>
      </c>
      <c r="O17" s="9">
        <f t="shared" si="1"/>
        <v>36</v>
      </c>
      <c r="P17" s="11">
        <f t="shared" si="2"/>
        <v>0</v>
      </c>
    </row>
    <row r="18" spans="1:26" ht="18" customHeight="1" thickTop="1" thickBot="1" x14ac:dyDescent="0.35">
      <c r="A18" s="8">
        <v>13</v>
      </c>
      <c r="B18" s="9">
        <v>4843</v>
      </c>
      <c r="C18" s="9">
        <v>0</v>
      </c>
      <c r="D18" s="9">
        <v>1610</v>
      </c>
      <c r="E18" s="9">
        <v>345</v>
      </c>
      <c r="F18" s="9">
        <v>318</v>
      </c>
      <c r="G18" s="9">
        <v>443</v>
      </c>
      <c r="H18" s="9">
        <f t="shared" si="0"/>
        <v>7559</v>
      </c>
      <c r="I18" s="9">
        <v>0</v>
      </c>
      <c r="J18" s="13"/>
      <c r="K18" s="8">
        <v>13</v>
      </c>
      <c r="L18" s="9">
        <v>1</v>
      </c>
      <c r="M18" s="9">
        <v>24</v>
      </c>
      <c r="N18" s="9">
        <v>12</v>
      </c>
      <c r="O18" s="9">
        <f t="shared" si="1"/>
        <v>37</v>
      </c>
      <c r="P18" s="11">
        <f t="shared" si="2"/>
        <v>0</v>
      </c>
    </row>
    <row r="19" spans="1:26" ht="18" customHeight="1" thickTop="1" thickBot="1" x14ac:dyDescent="0.35">
      <c r="A19" s="8">
        <v>14</v>
      </c>
      <c r="B19" s="9">
        <v>5775</v>
      </c>
      <c r="C19" s="9">
        <v>0</v>
      </c>
      <c r="D19" s="9">
        <v>1459</v>
      </c>
      <c r="E19" s="9">
        <v>316</v>
      </c>
      <c r="F19" s="9">
        <v>336</v>
      </c>
      <c r="G19" s="9">
        <v>383</v>
      </c>
      <c r="H19" s="9">
        <f t="shared" si="0"/>
        <v>8269</v>
      </c>
      <c r="I19" s="9">
        <v>0</v>
      </c>
      <c r="J19" s="13"/>
      <c r="K19" s="8">
        <v>14</v>
      </c>
      <c r="L19" s="9">
        <v>0</v>
      </c>
      <c r="M19" s="9">
        <v>18</v>
      </c>
      <c r="N19" s="9">
        <v>8</v>
      </c>
      <c r="O19" s="9">
        <f t="shared" si="1"/>
        <v>26</v>
      </c>
      <c r="P19" s="11">
        <f t="shared" si="2"/>
        <v>0</v>
      </c>
    </row>
    <row r="20" spans="1:26" ht="18" customHeight="1" thickTop="1" thickBot="1" x14ac:dyDescent="0.35">
      <c r="A20" s="8">
        <v>15</v>
      </c>
      <c r="B20" s="9">
        <v>6477</v>
      </c>
      <c r="C20" s="9">
        <v>0</v>
      </c>
      <c r="D20" s="9">
        <v>1109</v>
      </c>
      <c r="E20" s="9">
        <v>190</v>
      </c>
      <c r="F20" s="9">
        <v>206</v>
      </c>
      <c r="G20" s="9">
        <v>341</v>
      </c>
      <c r="H20" s="9">
        <f t="shared" si="0"/>
        <v>8323</v>
      </c>
      <c r="I20" s="9">
        <v>0</v>
      </c>
      <c r="J20" s="13"/>
      <c r="K20" s="8">
        <v>15</v>
      </c>
      <c r="L20" s="9">
        <v>0</v>
      </c>
      <c r="M20" s="9">
        <v>6</v>
      </c>
      <c r="N20" s="9">
        <v>4</v>
      </c>
      <c r="O20" s="9">
        <f t="shared" si="1"/>
        <v>10</v>
      </c>
      <c r="P20" s="11">
        <f t="shared" si="2"/>
        <v>0</v>
      </c>
    </row>
    <row r="21" spans="1:26" ht="18" customHeight="1" thickTop="1" thickBot="1" x14ac:dyDescent="0.35">
      <c r="A21" s="8">
        <v>16</v>
      </c>
      <c r="B21" s="9">
        <v>3879</v>
      </c>
      <c r="C21" s="9">
        <v>0</v>
      </c>
      <c r="D21" s="9">
        <v>1323</v>
      </c>
      <c r="E21" s="9">
        <v>354</v>
      </c>
      <c r="F21" s="9">
        <v>270</v>
      </c>
      <c r="G21" s="9">
        <v>492</v>
      </c>
      <c r="H21" s="9">
        <f t="shared" si="0"/>
        <v>6318</v>
      </c>
      <c r="I21" s="9">
        <v>0</v>
      </c>
      <c r="J21" s="13"/>
      <c r="K21" s="8">
        <v>16</v>
      </c>
      <c r="L21" s="9">
        <v>1</v>
      </c>
      <c r="M21" s="9">
        <v>16</v>
      </c>
      <c r="N21" s="9">
        <v>4</v>
      </c>
      <c r="O21" s="9">
        <f t="shared" si="1"/>
        <v>21</v>
      </c>
      <c r="P21" s="11">
        <f>+P20</f>
        <v>0</v>
      </c>
    </row>
    <row r="22" spans="1:26" ht="18" customHeight="1" thickTop="1" thickBot="1" x14ac:dyDescent="0.35">
      <c r="A22" s="8">
        <v>17</v>
      </c>
      <c r="B22" s="9">
        <v>3725</v>
      </c>
      <c r="C22" s="9">
        <v>0</v>
      </c>
      <c r="D22" s="9">
        <v>1655</v>
      </c>
      <c r="E22" s="9">
        <v>333</v>
      </c>
      <c r="F22" s="9">
        <v>312</v>
      </c>
      <c r="G22" s="9">
        <v>468</v>
      </c>
      <c r="H22" s="9">
        <f t="shared" si="0"/>
        <v>6493</v>
      </c>
      <c r="I22" s="9">
        <v>0</v>
      </c>
      <c r="J22" s="13"/>
      <c r="K22" s="8">
        <v>17</v>
      </c>
      <c r="L22" s="9">
        <v>4</v>
      </c>
      <c r="M22" s="9">
        <v>19</v>
      </c>
      <c r="N22" s="9">
        <v>7</v>
      </c>
      <c r="O22" s="9">
        <f t="shared" si="1"/>
        <v>30</v>
      </c>
      <c r="P22" s="11">
        <f t="shared" si="2"/>
        <v>0</v>
      </c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18" customHeight="1" thickTop="1" thickBot="1" x14ac:dyDescent="0.35">
      <c r="A23" s="8">
        <v>18</v>
      </c>
      <c r="B23" s="9">
        <v>3953</v>
      </c>
      <c r="C23" s="9">
        <v>0</v>
      </c>
      <c r="D23" s="9">
        <v>1754</v>
      </c>
      <c r="E23" s="9">
        <v>365</v>
      </c>
      <c r="F23" s="9">
        <v>366</v>
      </c>
      <c r="G23" s="9">
        <v>549</v>
      </c>
      <c r="H23" s="9">
        <f t="shared" si="0"/>
        <v>6987</v>
      </c>
      <c r="I23" s="9">
        <v>0</v>
      </c>
      <c r="J23" s="13"/>
      <c r="K23" s="8">
        <v>18</v>
      </c>
      <c r="L23" s="9">
        <v>2</v>
      </c>
      <c r="M23" s="9">
        <v>23</v>
      </c>
      <c r="N23" s="9">
        <v>6</v>
      </c>
      <c r="O23" s="9">
        <f t="shared" si="1"/>
        <v>31</v>
      </c>
      <c r="P23" s="11">
        <f t="shared" si="2"/>
        <v>0</v>
      </c>
    </row>
    <row r="24" spans="1:26" ht="18" customHeight="1" thickTop="1" thickBot="1" x14ac:dyDescent="0.35">
      <c r="A24" s="8">
        <v>19</v>
      </c>
      <c r="B24" s="9">
        <v>4851</v>
      </c>
      <c r="C24" s="9">
        <v>0</v>
      </c>
      <c r="D24" s="9">
        <v>1930</v>
      </c>
      <c r="E24" s="9">
        <v>365</v>
      </c>
      <c r="F24" s="9">
        <v>385</v>
      </c>
      <c r="G24" s="9">
        <v>550</v>
      </c>
      <c r="H24" s="9">
        <f>SUM(B24:G24)</f>
        <v>8081</v>
      </c>
      <c r="I24" s="9">
        <v>0</v>
      </c>
      <c r="J24" s="13"/>
      <c r="K24" s="8">
        <v>19</v>
      </c>
      <c r="L24" s="9">
        <v>2</v>
      </c>
      <c r="M24" s="9">
        <v>21</v>
      </c>
      <c r="N24" s="9">
        <v>10</v>
      </c>
      <c r="O24" s="9">
        <f t="shared" si="1"/>
        <v>33</v>
      </c>
      <c r="P24" s="11">
        <f t="shared" si="2"/>
        <v>0</v>
      </c>
    </row>
    <row r="25" spans="1:26" ht="18" customHeight="1" thickTop="1" thickBot="1" x14ac:dyDescent="0.35">
      <c r="A25" s="8">
        <v>20</v>
      </c>
      <c r="B25" s="9">
        <v>8126</v>
      </c>
      <c r="C25" s="9">
        <v>0</v>
      </c>
      <c r="D25" s="9">
        <v>1720</v>
      </c>
      <c r="E25" s="9">
        <v>284</v>
      </c>
      <c r="F25" s="9">
        <v>309</v>
      </c>
      <c r="G25" s="9">
        <v>428</v>
      </c>
      <c r="H25" s="9">
        <f>SUM(B25:G25)</f>
        <v>10867</v>
      </c>
      <c r="I25" s="9">
        <v>0</v>
      </c>
      <c r="J25" s="13"/>
      <c r="K25" s="8">
        <v>20</v>
      </c>
      <c r="L25" s="9">
        <v>1</v>
      </c>
      <c r="M25" s="9">
        <v>15</v>
      </c>
      <c r="N25" s="9">
        <v>5</v>
      </c>
      <c r="O25" s="9">
        <f t="shared" si="1"/>
        <v>21</v>
      </c>
      <c r="P25" s="11">
        <f t="shared" si="2"/>
        <v>0</v>
      </c>
    </row>
    <row r="26" spans="1:26" ht="18" customHeight="1" thickTop="1" thickBot="1" x14ac:dyDescent="0.35">
      <c r="A26" s="8">
        <v>21</v>
      </c>
      <c r="B26" s="9">
        <v>11818</v>
      </c>
      <c r="C26" s="9">
        <v>0</v>
      </c>
      <c r="D26" s="9">
        <v>1448</v>
      </c>
      <c r="E26" s="9">
        <v>202</v>
      </c>
      <c r="F26" s="9">
        <v>293</v>
      </c>
      <c r="G26" s="9">
        <v>306</v>
      </c>
      <c r="H26" s="9">
        <f t="shared" si="0"/>
        <v>14067</v>
      </c>
      <c r="I26" s="9">
        <v>0</v>
      </c>
      <c r="J26" s="13"/>
      <c r="K26" s="8">
        <v>21</v>
      </c>
      <c r="L26" s="9">
        <v>0</v>
      </c>
      <c r="M26" s="9">
        <v>8</v>
      </c>
      <c r="N26" s="9">
        <v>5</v>
      </c>
      <c r="O26" s="9">
        <f t="shared" si="1"/>
        <v>13</v>
      </c>
      <c r="P26" s="11">
        <f t="shared" si="2"/>
        <v>0</v>
      </c>
    </row>
    <row r="27" spans="1:26" ht="18" customHeight="1" thickTop="1" thickBot="1" x14ac:dyDescent="0.35">
      <c r="A27" s="17">
        <v>22</v>
      </c>
      <c r="B27" s="18">
        <v>8648</v>
      </c>
      <c r="C27" s="18">
        <v>0</v>
      </c>
      <c r="D27" s="18">
        <v>1279</v>
      </c>
      <c r="E27" s="18">
        <v>239</v>
      </c>
      <c r="F27" s="18">
        <v>217</v>
      </c>
      <c r="G27" s="18">
        <v>373</v>
      </c>
      <c r="H27" s="18">
        <f t="shared" si="0"/>
        <v>10756</v>
      </c>
      <c r="I27" s="18">
        <v>0</v>
      </c>
      <c r="J27" s="19"/>
      <c r="K27" s="17">
        <v>22</v>
      </c>
      <c r="L27" s="18">
        <v>4</v>
      </c>
      <c r="M27" s="18">
        <v>6</v>
      </c>
      <c r="N27" s="18">
        <v>4</v>
      </c>
      <c r="O27" s="18">
        <f t="shared" si="1"/>
        <v>14</v>
      </c>
      <c r="P27" s="11">
        <f t="shared" si="2"/>
        <v>0</v>
      </c>
    </row>
    <row r="28" spans="1:26" ht="18" customHeight="1" thickTop="1" thickBot="1" x14ac:dyDescent="0.35">
      <c r="A28" s="8">
        <v>23</v>
      </c>
      <c r="B28" s="9">
        <v>12633</v>
      </c>
      <c r="C28" s="9">
        <v>0</v>
      </c>
      <c r="D28" s="9">
        <v>901</v>
      </c>
      <c r="E28" s="9">
        <v>81</v>
      </c>
      <c r="F28" s="9">
        <v>111</v>
      </c>
      <c r="G28" s="9">
        <v>147</v>
      </c>
      <c r="H28" s="18">
        <f t="shared" si="0"/>
        <v>13873</v>
      </c>
      <c r="I28" s="9">
        <v>0</v>
      </c>
      <c r="J28" s="13"/>
      <c r="K28" s="8">
        <v>23</v>
      </c>
      <c r="L28" s="9">
        <v>0</v>
      </c>
      <c r="M28" s="9">
        <v>3</v>
      </c>
      <c r="N28" s="9">
        <v>3</v>
      </c>
      <c r="O28" s="9">
        <f t="shared" si="1"/>
        <v>6</v>
      </c>
      <c r="P28" s="11">
        <f t="shared" si="2"/>
        <v>0</v>
      </c>
    </row>
    <row r="29" spans="1:26" ht="18" customHeight="1" thickTop="1" thickBot="1" x14ac:dyDescent="0.35">
      <c r="A29" s="8">
        <v>24</v>
      </c>
      <c r="B29" s="9">
        <v>5681</v>
      </c>
      <c r="C29" s="9">
        <v>0</v>
      </c>
      <c r="D29" s="9">
        <v>1450</v>
      </c>
      <c r="E29" s="9">
        <v>326</v>
      </c>
      <c r="F29" s="9">
        <v>252</v>
      </c>
      <c r="G29" s="9">
        <v>419</v>
      </c>
      <c r="H29" s="9">
        <f t="shared" si="0"/>
        <v>8128</v>
      </c>
      <c r="I29" s="9">
        <v>0</v>
      </c>
      <c r="J29" s="13"/>
      <c r="K29" s="8">
        <v>24</v>
      </c>
      <c r="L29" s="9">
        <v>3</v>
      </c>
      <c r="M29" s="9">
        <v>24</v>
      </c>
      <c r="N29" s="9">
        <v>4</v>
      </c>
      <c r="O29" s="9">
        <f t="shared" si="1"/>
        <v>31</v>
      </c>
      <c r="P29" s="11">
        <f t="shared" si="2"/>
        <v>0</v>
      </c>
    </row>
    <row r="30" spans="1:26" ht="18" customHeight="1" thickTop="1" thickBot="1" x14ac:dyDescent="0.35">
      <c r="A30" s="8">
        <v>25</v>
      </c>
      <c r="B30" s="9">
        <v>5585</v>
      </c>
      <c r="C30" s="9">
        <v>0</v>
      </c>
      <c r="D30" s="9">
        <v>1853</v>
      </c>
      <c r="E30" s="9">
        <v>351</v>
      </c>
      <c r="F30" s="9">
        <v>337</v>
      </c>
      <c r="G30" s="9">
        <v>463</v>
      </c>
      <c r="H30" s="9">
        <f t="shared" si="0"/>
        <v>8589</v>
      </c>
      <c r="I30" s="9">
        <v>0</v>
      </c>
      <c r="J30" s="13"/>
      <c r="K30" s="8">
        <v>25</v>
      </c>
      <c r="L30" s="9">
        <v>4</v>
      </c>
      <c r="M30" s="9">
        <v>27</v>
      </c>
      <c r="N30" s="9">
        <v>6</v>
      </c>
      <c r="O30" s="9">
        <f t="shared" si="1"/>
        <v>37</v>
      </c>
      <c r="P30" s="11">
        <f t="shared" si="2"/>
        <v>0</v>
      </c>
    </row>
    <row r="31" spans="1:26" ht="18" customHeight="1" thickTop="1" thickBot="1" x14ac:dyDescent="0.35">
      <c r="A31" s="8">
        <v>26</v>
      </c>
      <c r="B31" s="20">
        <v>6095</v>
      </c>
      <c r="C31" s="20">
        <v>0</v>
      </c>
      <c r="D31" s="20">
        <v>1932</v>
      </c>
      <c r="E31" s="20">
        <v>361</v>
      </c>
      <c r="F31" s="21">
        <v>407</v>
      </c>
      <c r="G31" s="20">
        <v>536</v>
      </c>
      <c r="H31" s="22">
        <f t="shared" si="0"/>
        <v>9331</v>
      </c>
      <c r="I31" s="22">
        <v>0</v>
      </c>
      <c r="J31" s="13"/>
      <c r="K31" s="23">
        <v>26</v>
      </c>
      <c r="L31" s="20">
        <v>4</v>
      </c>
      <c r="M31" s="20">
        <v>29</v>
      </c>
      <c r="N31" s="20">
        <v>4</v>
      </c>
      <c r="O31" s="9">
        <f t="shared" si="1"/>
        <v>37</v>
      </c>
      <c r="P31" s="11">
        <f t="shared" si="2"/>
        <v>0</v>
      </c>
    </row>
    <row r="32" spans="1:26" ht="18" customHeight="1" thickTop="1" thickBot="1" x14ac:dyDescent="0.35">
      <c r="A32" s="8">
        <v>27</v>
      </c>
      <c r="B32" s="24">
        <v>9154</v>
      </c>
      <c r="C32" s="24">
        <v>0</v>
      </c>
      <c r="D32" s="24">
        <v>1657</v>
      </c>
      <c r="E32" s="24">
        <v>285</v>
      </c>
      <c r="F32" s="24">
        <v>310</v>
      </c>
      <c r="G32" s="24">
        <v>374</v>
      </c>
      <c r="H32" s="9">
        <f t="shared" si="0"/>
        <v>11780</v>
      </c>
      <c r="I32" s="9">
        <v>0</v>
      </c>
      <c r="J32" s="9"/>
      <c r="K32" s="8">
        <v>27</v>
      </c>
      <c r="L32" s="24">
        <v>2</v>
      </c>
      <c r="M32" s="24">
        <v>11</v>
      </c>
      <c r="N32" s="24">
        <v>9</v>
      </c>
      <c r="O32" s="9">
        <f t="shared" si="1"/>
        <v>22</v>
      </c>
      <c r="P32" s="11">
        <f t="shared" si="2"/>
        <v>0</v>
      </c>
    </row>
    <row r="33" spans="1:16" ht="18" customHeight="1" thickTop="1" thickBot="1" x14ac:dyDescent="0.35">
      <c r="A33" s="8">
        <v>28</v>
      </c>
      <c r="B33" s="24">
        <v>13564</v>
      </c>
      <c r="C33" s="24">
        <v>0</v>
      </c>
      <c r="D33" s="24">
        <v>1610</v>
      </c>
      <c r="E33" s="24">
        <v>194</v>
      </c>
      <c r="F33" s="24">
        <v>303</v>
      </c>
      <c r="G33" s="24">
        <v>272</v>
      </c>
      <c r="H33" s="9">
        <f t="shared" si="0"/>
        <v>15943</v>
      </c>
      <c r="I33" s="9">
        <v>0</v>
      </c>
      <c r="J33" s="9"/>
      <c r="K33" s="8">
        <v>28</v>
      </c>
      <c r="L33" s="24">
        <v>1</v>
      </c>
      <c r="M33" s="24">
        <v>14</v>
      </c>
      <c r="N33" s="24">
        <v>3</v>
      </c>
      <c r="O33" s="9">
        <f t="shared" si="1"/>
        <v>18</v>
      </c>
      <c r="P33" s="11">
        <f t="shared" si="2"/>
        <v>0</v>
      </c>
    </row>
    <row r="34" spans="1:16" ht="18" customHeight="1" thickTop="1" thickBot="1" x14ac:dyDescent="0.35">
      <c r="A34" s="8">
        <v>29</v>
      </c>
      <c r="B34" s="24">
        <v>10541</v>
      </c>
      <c r="C34" s="24">
        <v>0</v>
      </c>
      <c r="D34" s="24">
        <v>1279</v>
      </c>
      <c r="E34" s="24">
        <v>182</v>
      </c>
      <c r="F34" s="24">
        <v>235</v>
      </c>
      <c r="G34" s="24">
        <v>337</v>
      </c>
      <c r="H34" s="9">
        <f t="shared" si="0"/>
        <v>12574</v>
      </c>
      <c r="I34" s="9">
        <v>0</v>
      </c>
      <c r="J34" s="9"/>
      <c r="K34" s="8">
        <v>29</v>
      </c>
      <c r="L34" s="24">
        <v>3</v>
      </c>
      <c r="M34" s="24">
        <v>6</v>
      </c>
      <c r="N34" s="24">
        <v>5</v>
      </c>
      <c r="O34" s="9">
        <f t="shared" si="1"/>
        <v>14</v>
      </c>
      <c r="P34" s="11">
        <f t="shared" si="2"/>
        <v>0</v>
      </c>
    </row>
    <row r="35" spans="1:16" ht="18" customHeight="1" thickTop="1" thickBot="1" x14ac:dyDescent="0.35">
      <c r="A35" s="8">
        <v>30</v>
      </c>
      <c r="B35" s="24">
        <v>15330</v>
      </c>
      <c r="C35" s="24">
        <v>0</v>
      </c>
      <c r="D35" s="24">
        <v>950</v>
      </c>
      <c r="E35" s="24">
        <v>88</v>
      </c>
      <c r="F35" s="24">
        <v>103</v>
      </c>
      <c r="G35" s="24">
        <v>131</v>
      </c>
      <c r="H35" s="25">
        <f t="shared" si="0"/>
        <v>16602</v>
      </c>
      <c r="I35" s="25">
        <v>0</v>
      </c>
      <c r="J35" s="25"/>
      <c r="K35" s="26">
        <v>30</v>
      </c>
      <c r="L35" s="24">
        <v>0</v>
      </c>
      <c r="M35" s="24">
        <v>2</v>
      </c>
      <c r="N35" s="24">
        <v>2</v>
      </c>
      <c r="O35" s="25">
        <f t="shared" si="1"/>
        <v>4</v>
      </c>
      <c r="P35" s="11">
        <f t="shared" si="2"/>
        <v>0</v>
      </c>
    </row>
    <row r="36" spans="1:16" ht="18.75" customHeight="1" thickTop="1" thickBot="1" x14ac:dyDescent="0.35">
      <c r="A36" s="8">
        <v>31</v>
      </c>
      <c r="B36" s="24"/>
      <c r="C36" s="24"/>
      <c r="D36" s="24"/>
      <c r="E36" s="24"/>
      <c r="F36" s="24"/>
      <c r="G36" s="24"/>
      <c r="H36" s="25">
        <f t="shared" si="0"/>
        <v>0</v>
      </c>
      <c r="I36" s="9">
        <v>0</v>
      </c>
      <c r="J36" s="9"/>
      <c r="K36" s="8">
        <v>31</v>
      </c>
      <c r="L36" s="24"/>
      <c r="M36" s="24"/>
      <c r="N36" s="24"/>
      <c r="O36" s="9">
        <f>SUM(L36:N36)</f>
        <v>0</v>
      </c>
      <c r="P36" s="11">
        <f t="shared" si="2"/>
        <v>0</v>
      </c>
    </row>
    <row r="37" spans="1:16" ht="18" customHeight="1" thickTop="1" x14ac:dyDescent="0.3">
      <c r="A37" s="5" t="s">
        <v>20</v>
      </c>
      <c r="B37" s="27">
        <f t="shared" ref="B37:H37" si="3">SUM(B6:B36)</f>
        <v>197779</v>
      </c>
      <c r="C37" s="27">
        <f t="shared" si="3"/>
        <v>0</v>
      </c>
      <c r="D37" s="27">
        <f t="shared" si="3"/>
        <v>44357</v>
      </c>
      <c r="E37" s="27">
        <f t="shared" si="3"/>
        <v>8206</v>
      </c>
      <c r="F37" s="27">
        <f t="shared" si="3"/>
        <v>8465</v>
      </c>
      <c r="G37" s="27">
        <f t="shared" si="3"/>
        <v>11700</v>
      </c>
      <c r="H37" s="27">
        <f t="shared" si="3"/>
        <v>270507</v>
      </c>
      <c r="I37" s="27">
        <f>SUM(I6:I33)</f>
        <v>0</v>
      </c>
      <c r="J37" s="27"/>
      <c r="K37" s="27" t="s">
        <v>21</v>
      </c>
      <c r="L37" s="27">
        <f>SUM(L6:L36)</f>
        <v>71</v>
      </c>
      <c r="M37" s="27">
        <f>SUM(M6:M36)</f>
        <v>553</v>
      </c>
      <c r="N37" s="27">
        <f>SUM(N6:N36)</f>
        <v>153</v>
      </c>
      <c r="O37" s="27">
        <f>SUM(O6:O36)</f>
        <v>777</v>
      </c>
      <c r="P37" s="27">
        <f>SUM(P6:P36)</f>
        <v>18405</v>
      </c>
    </row>
    <row r="38" spans="1:16" ht="18" customHeight="1" x14ac:dyDescent="0.3">
      <c r="A38" s="5" t="s">
        <v>20</v>
      </c>
      <c r="B38" s="39">
        <f>+B37+C37</f>
        <v>197779</v>
      </c>
      <c r="C38" s="39"/>
      <c r="D38" s="27">
        <f>+D37</f>
        <v>44357</v>
      </c>
      <c r="E38" s="27">
        <f>+E37</f>
        <v>8206</v>
      </c>
      <c r="F38" s="27">
        <f>+F37</f>
        <v>8465</v>
      </c>
      <c r="G38" s="27">
        <f>+G37</f>
        <v>11700</v>
      </c>
      <c r="H38" s="27">
        <f>SUM(B38:G38)</f>
        <v>270507</v>
      </c>
      <c r="I38" s="27">
        <v>0</v>
      </c>
      <c r="J38" s="28"/>
      <c r="K38" s="29"/>
      <c r="L38" s="29" t="s">
        <v>22</v>
      </c>
      <c r="M38" s="29" t="s">
        <v>23</v>
      </c>
      <c r="N38" s="29" t="s">
        <v>22</v>
      </c>
      <c r="O38" s="29"/>
    </row>
    <row r="39" spans="1:16" x14ac:dyDescent="0.3">
      <c r="A39" s="32"/>
      <c r="B39" s="33"/>
      <c r="C39" s="33"/>
      <c r="D39" s="33"/>
      <c r="E39" s="33"/>
      <c r="F39" s="33"/>
      <c r="G39" s="33"/>
      <c r="H39" s="33"/>
      <c r="I39" s="33"/>
      <c r="J39" s="31"/>
      <c r="K39" s="34"/>
      <c r="L39" s="35"/>
    </row>
    <row r="41" spans="1:16" x14ac:dyDescent="0.3">
      <c r="A41" s="36"/>
    </row>
    <row r="42" spans="1:16" x14ac:dyDescent="0.3">
      <c r="A42" s="36"/>
      <c r="B42" s="12"/>
      <c r="C42" s="12"/>
      <c r="D42" s="12"/>
      <c r="E42" s="12"/>
      <c r="F42" s="12"/>
      <c r="H42" s="12"/>
      <c r="I42" s="12"/>
      <c r="J42" s="12"/>
      <c r="K42" s="37"/>
      <c r="L42" s="12"/>
      <c r="M42" s="12"/>
      <c r="N42" s="12"/>
      <c r="O42" s="12"/>
    </row>
  </sheetData>
  <mergeCells count="13">
    <mergeCell ref="N4:N5"/>
    <mergeCell ref="O4:O5"/>
    <mergeCell ref="B38:C38"/>
    <mergeCell ref="A1:O1"/>
    <mergeCell ref="A2:O2"/>
    <mergeCell ref="A3:O3"/>
    <mergeCell ref="A4:A5"/>
    <mergeCell ref="B4:C4"/>
    <mergeCell ref="H4:H5"/>
    <mergeCell ref="I4:I5"/>
    <mergeCell ref="K4:K5"/>
    <mergeCell ref="L4:L5"/>
    <mergeCell ref="M4:M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8A869-E46D-48B2-B9D7-C02ADDBB4E3D}">
  <dimension ref="A1:Z42"/>
  <sheetViews>
    <sheetView workbookViewId="0">
      <selection activeCell="F39" sqref="F39"/>
    </sheetView>
  </sheetViews>
  <sheetFormatPr baseColWidth="10" defaultColWidth="11.44140625" defaultRowHeight="13.8" x14ac:dyDescent="0.3"/>
  <cols>
    <col min="1" max="1" width="15.33203125" style="6" customWidth="1"/>
    <col min="2" max="2" width="12.6640625" style="6" customWidth="1"/>
    <col min="3" max="3" width="9.6640625" style="6" customWidth="1"/>
    <col min="4" max="9" width="12.6640625" style="6" customWidth="1"/>
    <col min="10" max="10" width="4.6640625" style="6" customWidth="1"/>
    <col min="11" max="11" width="12.5546875" style="30" customWidth="1"/>
    <col min="12" max="15" width="12.5546875" style="6" customWidth="1"/>
    <col min="16" max="16" width="0" style="6" hidden="1" customWidth="1"/>
    <col min="17" max="16384" width="11.44140625" style="6"/>
  </cols>
  <sheetData>
    <row r="1" spans="1:19" s="1" customFormat="1" ht="15.6" x14ac:dyDescent="0.3">
      <c r="A1" s="40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</row>
    <row r="2" spans="1:19" s="1" customFormat="1" ht="15.6" x14ac:dyDescent="0.3">
      <c r="A2" s="40" t="s">
        <v>28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</row>
    <row r="3" spans="1:19" s="1" customFormat="1" ht="15.6" x14ac:dyDescent="0.3">
      <c r="A3" s="41" t="s">
        <v>31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</row>
    <row r="4" spans="1:19" ht="82.5" customHeight="1" x14ac:dyDescent="0.3">
      <c r="A4" s="42" t="s">
        <v>2</v>
      </c>
      <c r="B4" s="38" t="s">
        <v>3</v>
      </c>
      <c r="C4" s="38"/>
      <c r="D4" s="3" t="s">
        <v>4</v>
      </c>
      <c r="E4" s="3" t="s">
        <v>5</v>
      </c>
      <c r="F4" s="3" t="s">
        <v>6</v>
      </c>
      <c r="G4" s="3" t="s">
        <v>7</v>
      </c>
      <c r="H4" s="38" t="s">
        <v>8</v>
      </c>
      <c r="I4" s="38" t="s">
        <v>9</v>
      </c>
      <c r="J4" s="4"/>
      <c r="K4" s="44" t="s">
        <v>2</v>
      </c>
      <c r="L4" s="38" t="s">
        <v>10</v>
      </c>
      <c r="M4" s="38" t="s">
        <v>11</v>
      </c>
      <c r="N4" s="38" t="s">
        <v>12</v>
      </c>
      <c r="O4" s="38" t="s">
        <v>13</v>
      </c>
    </row>
    <row r="5" spans="1:19" ht="21" customHeight="1" x14ac:dyDescent="0.3">
      <c r="A5" s="43"/>
      <c r="B5" s="5" t="s">
        <v>14</v>
      </c>
      <c r="C5" s="5" t="s">
        <v>15</v>
      </c>
      <c r="D5" s="5" t="s">
        <v>16</v>
      </c>
      <c r="E5" s="5" t="s">
        <v>17</v>
      </c>
      <c r="F5" s="5" t="s">
        <v>18</v>
      </c>
      <c r="G5" s="5" t="s">
        <v>19</v>
      </c>
      <c r="H5" s="38"/>
      <c r="I5" s="38"/>
      <c r="J5" s="4"/>
      <c r="K5" s="44"/>
      <c r="L5" s="38"/>
      <c r="M5" s="38"/>
      <c r="N5" s="38"/>
      <c r="O5" s="38"/>
    </row>
    <row r="6" spans="1:19" ht="18" customHeight="1" thickBot="1" x14ac:dyDescent="0.35">
      <c r="A6" s="8">
        <v>1</v>
      </c>
      <c r="B6" s="9">
        <v>6902</v>
      </c>
      <c r="C6" s="9">
        <v>0</v>
      </c>
      <c r="D6" s="9">
        <v>1581</v>
      </c>
      <c r="E6" s="9">
        <v>349</v>
      </c>
      <c r="F6" s="9">
        <v>282</v>
      </c>
      <c r="G6" s="9">
        <v>455</v>
      </c>
      <c r="H6" s="9">
        <f>SUM(B6:G6)</f>
        <v>9569</v>
      </c>
      <c r="I6" s="9">
        <v>0</v>
      </c>
      <c r="J6" s="10"/>
      <c r="K6" s="8">
        <v>1</v>
      </c>
      <c r="L6" s="9">
        <v>1</v>
      </c>
      <c r="M6" s="9">
        <v>10</v>
      </c>
      <c r="N6" s="9">
        <v>3</v>
      </c>
      <c r="O6" s="9">
        <f>SUM(L6:N6)</f>
        <v>14</v>
      </c>
      <c r="P6" s="11">
        <v>6135</v>
      </c>
    </row>
    <row r="7" spans="1:19" ht="18" customHeight="1" thickTop="1" thickBot="1" x14ac:dyDescent="0.35">
      <c r="A7" s="8">
        <v>2</v>
      </c>
      <c r="B7" s="9">
        <v>5409</v>
      </c>
      <c r="C7" s="9">
        <v>0</v>
      </c>
      <c r="D7" s="9">
        <v>1705</v>
      </c>
      <c r="E7" s="9">
        <v>316</v>
      </c>
      <c r="F7" s="9">
        <v>328</v>
      </c>
      <c r="G7" s="9">
        <v>430</v>
      </c>
      <c r="H7" s="9">
        <f t="shared" ref="H7:H36" si="0">SUM(B7:G7)</f>
        <v>8188</v>
      </c>
      <c r="I7" s="9">
        <v>0</v>
      </c>
      <c r="J7" s="10"/>
      <c r="K7" s="8">
        <v>2</v>
      </c>
      <c r="L7" s="9">
        <v>1</v>
      </c>
      <c r="M7" s="9">
        <v>24</v>
      </c>
      <c r="N7" s="9">
        <v>5</v>
      </c>
      <c r="O7" s="9">
        <f t="shared" ref="O7:O34" si="1">SUM(L7:N7)</f>
        <v>30</v>
      </c>
      <c r="P7" s="11">
        <f>+P6</f>
        <v>6135</v>
      </c>
    </row>
    <row r="8" spans="1:19" ht="18" customHeight="1" thickTop="1" thickBot="1" x14ac:dyDescent="0.35">
      <c r="A8" s="8">
        <v>3</v>
      </c>
      <c r="B8" s="9">
        <v>5602</v>
      </c>
      <c r="C8" s="9">
        <v>0</v>
      </c>
      <c r="D8" s="9">
        <v>1815</v>
      </c>
      <c r="E8" s="9">
        <v>322</v>
      </c>
      <c r="F8" s="9">
        <v>331</v>
      </c>
      <c r="G8" s="9">
        <v>512</v>
      </c>
      <c r="H8" s="9">
        <f t="shared" si="0"/>
        <v>8582</v>
      </c>
      <c r="I8" s="9">
        <v>0</v>
      </c>
      <c r="J8" s="10"/>
      <c r="K8" s="8">
        <v>3</v>
      </c>
      <c r="L8" s="9">
        <v>4</v>
      </c>
      <c r="M8" s="9">
        <v>18</v>
      </c>
      <c r="N8" s="9">
        <v>14</v>
      </c>
      <c r="O8" s="9">
        <f t="shared" si="1"/>
        <v>36</v>
      </c>
      <c r="P8" s="11">
        <f t="shared" ref="P8:P36" si="2">+P7</f>
        <v>6135</v>
      </c>
      <c r="S8" s="12"/>
    </row>
    <row r="9" spans="1:19" ht="18" customHeight="1" thickTop="1" thickBot="1" x14ac:dyDescent="0.35">
      <c r="A9" s="8">
        <v>4</v>
      </c>
      <c r="B9" s="9">
        <v>6751</v>
      </c>
      <c r="C9" s="9">
        <v>0</v>
      </c>
      <c r="D9" s="9">
        <v>1826</v>
      </c>
      <c r="E9" s="9">
        <v>270</v>
      </c>
      <c r="F9" s="9">
        <v>346</v>
      </c>
      <c r="G9" s="9">
        <v>441</v>
      </c>
      <c r="H9" s="9">
        <f t="shared" si="0"/>
        <v>9634</v>
      </c>
      <c r="I9" s="9">
        <v>0</v>
      </c>
      <c r="J9" s="10"/>
      <c r="K9" s="8">
        <v>4</v>
      </c>
      <c r="L9" s="9">
        <v>1</v>
      </c>
      <c r="M9" s="9">
        <v>20</v>
      </c>
      <c r="N9" s="9">
        <v>10</v>
      </c>
      <c r="O9" s="9">
        <f t="shared" si="1"/>
        <v>31</v>
      </c>
      <c r="P9" s="11">
        <v>0</v>
      </c>
    </row>
    <row r="10" spans="1:19" ht="18" customHeight="1" thickTop="1" thickBot="1" x14ac:dyDescent="0.35">
      <c r="A10" s="8">
        <v>5</v>
      </c>
      <c r="B10" s="9">
        <v>8022</v>
      </c>
      <c r="C10" s="9">
        <v>0</v>
      </c>
      <c r="D10" s="9">
        <v>1622</v>
      </c>
      <c r="E10" s="9">
        <v>244</v>
      </c>
      <c r="F10" s="9">
        <v>326</v>
      </c>
      <c r="G10" s="9">
        <v>395</v>
      </c>
      <c r="H10" s="9">
        <f t="shared" si="0"/>
        <v>10609</v>
      </c>
      <c r="I10" s="9">
        <v>0</v>
      </c>
      <c r="J10" s="10"/>
      <c r="K10" s="8">
        <v>5</v>
      </c>
      <c r="L10" s="9">
        <v>4</v>
      </c>
      <c r="M10" s="9">
        <v>16</v>
      </c>
      <c r="N10" s="9">
        <v>6</v>
      </c>
      <c r="O10" s="9">
        <f t="shared" si="1"/>
        <v>26</v>
      </c>
      <c r="P10" s="11">
        <f t="shared" si="2"/>
        <v>0</v>
      </c>
    </row>
    <row r="11" spans="1:19" ht="18" customHeight="1" thickTop="1" thickBot="1" x14ac:dyDescent="0.35">
      <c r="A11" s="8">
        <v>6</v>
      </c>
      <c r="B11" s="9">
        <v>10049</v>
      </c>
      <c r="C11" s="9">
        <v>0</v>
      </c>
      <c r="D11" s="9">
        <v>1261</v>
      </c>
      <c r="E11" s="9">
        <v>195</v>
      </c>
      <c r="F11" s="9">
        <v>191</v>
      </c>
      <c r="G11" s="9">
        <v>332</v>
      </c>
      <c r="H11" s="9">
        <f t="shared" si="0"/>
        <v>12028</v>
      </c>
      <c r="I11" s="9">
        <v>0</v>
      </c>
      <c r="J11" s="10"/>
      <c r="K11" s="8">
        <v>6</v>
      </c>
      <c r="L11" s="9">
        <v>0</v>
      </c>
      <c r="M11" s="9">
        <v>6</v>
      </c>
      <c r="N11" s="9">
        <v>2</v>
      </c>
      <c r="O11" s="9">
        <f t="shared" si="1"/>
        <v>8</v>
      </c>
      <c r="P11" s="11">
        <f t="shared" si="2"/>
        <v>0</v>
      </c>
    </row>
    <row r="12" spans="1:19" ht="18" customHeight="1" thickTop="1" thickBot="1" x14ac:dyDescent="0.35">
      <c r="A12" s="8">
        <v>7</v>
      </c>
      <c r="B12" s="9">
        <v>5011</v>
      </c>
      <c r="C12" s="9">
        <v>0</v>
      </c>
      <c r="D12" s="9">
        <v>1445</v>
      </c>
      <c r="E12" s="9">
        <v>330</v>
      </c>
      <c r="F12" s="9">
        <v>293</v>
      </c>
      <c r="G12" s="9">
        <v>398</v>
      </c>
      <c r="H12" s="9">
        <f t="shared" si="0"/>
        <v>7477</v>
      </c>
      <c r="I12" s="9">
        <v>0</v>
      </c>
      <c r="J12" s="13"/>
      <c r="K12" s="8">
        <v>7</v>
      </c>
      <c r="L12" s="9">
        <v>0</v>
      </c>
      <c r="M12" s="9">
        <v>21</v>
      </c>
      <c r="N12" s="9">
        <v>3</v>
      </c>
      <c r="O12" s="9">
        <f t="shared" si="1"/>
        <v>24</v>
      </c>
      <c r="P12" s="11">
        <f t="shared" si="2"/>
        <v>0</v>
      </c>
    </row>
    <row r="13" spans="1:19" ht="18" customHeight="1" thickTop="1" thickBot="1" x14ac:dyDescent="0.35">
      <c r="A13" s="8">
        <v>8</v>
      </c>
      <c r="B13" s="9">
        <v>4473</v>
      </c>
      <c r="C13" s="9">
        <v>0</v>
      </c>
      <c r="D13" s="9">
        <v>1657</v>
      </c>
      <c r="E13" s="9">
        <v>294</v>
      </c>
      <c r="F13" s="9">
        <v>314</v>
      </c>
      <c r="G13" s="9">
        <v>484</v>
      </c>
      <c r="H13" s="9">
        <f t="shared" si="0"/>
        <v>7222</v>
      </c>
      <c r="I13" s="9">
        <v>0</v>
      </c>
      <c r="J13" s="13"/>
      <c r="K13" s="8">
        <v>8</v>
      </c>
      <c r="L13" s="9">
        <v>1</v>
      </c>
      <c r="M13" s="9">
        <v>11</v>
      </c>
      <c r="N13" s="9">
        <v>7</v>
      </c>
      <c r="O13" s="9">
        <f t="shared" si="1"/>
        <v>19</v>
      </c>
      <c r="P13" s="11">
        <f t="shared" si="2"/>
        <v>0</v>
      </c>
    </row>
    <row r="14" spans="1:19" s="15" customFormat="1" ht="18" customHeight="1" thickTop="1" thickBot="1" x14ac:dyDescent="0.35">
      <c r="A14" s="8">
        <v>9</v>
      </c>
      <c r="B14" s="9">
        <v>4251</v>
      </c>
      <c r="C14" s="9">
        <v>0</v>
      </c>
      <c r="D14" s="9">
        <v>1702</v>
      </c>
      <c r="E14" s="9">
        <v>312</v>
      </c>
      <c r="F14" s="9">
        <v>382</v>
      </c>
      <c r="G14" s="9">
        <v>469</v>
      </c>
      <c r="H14" s="9">
        <f t="shared" si="0"/>
        <v>7116</v>
      </c>
      <c r="I14" s="9">
        <v>0</v>
      </c>
      <c r="J14" s="13"/>
      <c r="K14" s="8">
        <v>9</v>
      </c>
      <c r="L14" s="9">
        <v>3</v>
      </c>
      <c r="M14" s="9">
        <v>26</v>
      </c>
      <c r="N14" s="9">
        <v>9</v>
      </c>
      <c r="O14" s="9">
        <f t="shared" si="1"/>
        <v>38</v>
      </c>
      <c r="P14" s="14">
        <f t="shared" si="2"/>
        <v>0</v>
      </c>
    </row>
    <row r="15" spans="1:19" ht="18" customHeight="1" thickTop="1" thickBot="1" x14ac:dyDescent="0.35">
      <c r="A15" s="8">
        <v>10</v>
      </c>
      <c r="B15" s="9">
        <v>4692</v>
      </c>
      <c r="C15" s="9">
        <v>0</v>
      </c>
      <c r="D15" s="9">
        <v>1766</v>
      </c>
      <c r="E15" s="9">
        <v>343</v>
      </c>
      <c r="F15" s="9">
        <v>390</v>
      </c>
      <c r="G15" s="9">
        <v>489</v>
      </c>
      <c r="H15" s="9">
        <f t="shared" si="0"/>
        <v>7680</v>
      </c>
      <c r="I15" s="9">
        <v>0</v>
      </c>
      <c r="J15" s="13"/>
      <c r="K15" s="8">
        <v>10</v>
      </c>
      <c r="L15" s="9">
        <v>2</v>
      </c>
      <c r="M15" s="9">
        <v>14</v>
      </c>
      <c r="N15" s="9">
        <v>3</v>
      </c>
      <c r="O15" s="9">
        <f t="shared" si="1"/>
        <v>19</v>
      </c>
      <c r="P15" s="11">
        <f t="shared" si="2"/>
        <v>0</v>
      </c>
    </row>
    <row r="16" spans="1:19" ht="18" customHeight="1" thickTop="1" thickBot="1" x14ac:dyDescent="0.35">
      <c r="A16" s="8">
        <v>11</v>
      </c>
      <c r="B16" s="9">
        <v>6022</v>
      </c>
      <c r="C16" s="9">
        <v>0</v>
      </c>
      <c r="D16" s="9">
        <v>1566</v>
      </c>
      <c r="E16" s="9">
        <v>299</v>
      </c>
      <c r="F16" s="9">
        <v>344</v>
      </c>
      <c r="G16" s="9">
        <v>390</v>
      </c>
      <c r="H16" s="9">
        <f t="shared" si="0"/>
        <v>8621</v>
      </c>
      <c r="I16" s="9">
        <v>0</v>
      </c>
      <c r="J16" s="13"/>
      <c r="K16" s="8">
        <v>11</v>
      </c>
      <c r="L16" s="9">
        <v>1</v>
      </c>
      <c r="M16" s="9">
        <v>16</v>
      </c>
      <c r="N16" s="9">
        <v>7</v>
      </c>
      <c r="O16" s="9">
        <f t="shared" si="1"/>
        <v>24</v>
      </c>
      <c r="P16" s="11">
        <f t="shared" si="2"/>
        <v>0</v>
      </c>
    </row>
    <row r="17" spans="1:26" ht="16.5" customHeight="1" thickTop="1" thickBot="1" x14ac:dyDescent="0.35">
      <c r="A17" s="8">
        <v>12</v>
      </c>
      <c r="B17" s="9">
        <v>6824</v>
      </c>
      <c r="C17" s="9">
        <v>0</v>
      </c>
      <c r="D17" s="9">
        <v>1370</v>
      </c>
      <c r="E17" s="9">
        <v>257</v>
      </c>
      <c r="F17" s="9">
        <v>341</v>
      </c>
      <c r="G17" s="9">
        <v>392</v>
      </c>
      <c r="H17" s="9">
        <f t="shared" si="0"/>
        <v>9184</v>
      </c>
      <c r="I17" s="9">
        <v>0</v>
      </c>
      <c r="J17" s="13"/>
      <c r="K17" s="8">
        <v>12</v>
      </c>
      <c r="L17" s="9">
        <v>0</v>
      </c>
      <c r="M17" s="9">
        <v>12</v>
      </c>
      <c r="N17" s="9">
        <v>7</v>
      </c>
      <c r="O17" s="9">
        <f t="shared" si="1"/>
        <v>19</v>
      </c>
      <c r="P17" s="11">
        <f t="shared" si="2"/>
        <v>0</v>
      </c>
    </row>
    <row r="18" spans="1:26" ht="18" customHeight="1" thickTop="1" thickBot="1" x14ac:dyDescent="0.35">
      <c r="A18" s="8">
        <v>13</v>
      </c>
      <c r="B18" s="9">
        <v>8344</v>
      </c>
      <c r="C18" s="9">
        <v>0</v>
      </c>
      <c r="D18" s="9">
        <v>1181</v>
      </c>
      <c r="E18" s="9">
        <v>191</v>
      </c>
      <c r="F18" s="9">
        <v>222</v>
      </c>
      <c r="G18" s="9">
        <v>307</v>
      </c>
      <c r="H18" s="9">
        <f t="shared" si="0"/>
        <v>10245</v>
      </c>
      <c r="I18" s="9">
        <v>0</v>
      </c>
      <c r="J18" s="13"/>
      <c r="K18" s="8">
        <v>13</v>
      </c>
      <c r="L18" s="9">
        <v>10</v>
      </c>
      <c r="M18" s="9">
        <v>5</v>
      </c>
      <c r="N18" s="9">
        <v>4</v>
      </c>
      <c r="O18" s="9">
        <f t="shared" si="1"/>
        <v>19</v>
      </c>
      <c r="P18" s="11">
        <f t="shared" si="2"/>
        <v>0</v>
      </c>
    </row>
    <row r="19" spans="1:26" ht="18" customHeight="1" thickTop="1" thickBot="1" x14ac:dyDescent="0.35">
      <c r="A19" s="8">
        <v>14</v>
      </c>
      <c r="B19" s="9">
        <v>4471</v>
      </c>
      <c r="C19" s="9">
        <v>0</v>
      </c>
      <c r="D19" s="9">
        <v>1390</v>
      </c>
      <c r="E19" s="9">
        <v>390</v>
      </c>
      <c r="F19" s="9">
        <v>324</v>
      </c>
      <c r="G19" s="9">
        <v>452</v>
      </c>
      <c r="H19" s="9">
        <f t="shared" si="0"/>
        <v>7027</v>
      </c>
      <c r="I19" s="9">
        <v>0</v>
      </c>
      <c r="J19" s="13"/>
      <c r="K19" s="8">
        <v>14</v>
      </c>
      <c r="L19" s="9">
        <v>6</v>
      </c>
      <c r="M19" s="9">
        <v>4</v>
      </c>
      <c r="N19" s="9">
        <v>5</v>
      </c>
      <c r="O19" s="9">
        <f t="shared" si="1"/>
        <v>15</v>
      </c>
      <c r="P19" s="11">
        <f t="shared" si="2"/>
        <v>0</v>
      </c>
    </row>
    <row r="20" spans="1:26" ht="18" customHeight="1" thickTop="1" thickBot="1" x14ac:dyDescent="0.35">
      <c r="A20" s="8">
        <v>15</v>
      </c>
      <c r="B20" s="9">
        <v>3903</v>
      </c>
      <c r="C20" s="9">
        <v>0</v>
      </c>
      <c r="D20" s="9">
        <v>1712</v>
      </c>
      <c r="E20" s="9">
        <v>357</v>
      </c>
      <c r="F20" s="9">
        <v>347</v>
      </c>
      <c r="G20" s="9">
        <v>456</v>
      </c>
      <c r="H20" s="9">
        <f t="shared" si="0"/>
        <v>6775</v>
      </c>
      <c r="I20" s="9">
        <v>0</v>
      </c>
      <c r="J20" s="13"/>
      <c r="K20" s="8">
        <v>15</v>
      </c>
      <c r="L20" s="9">
        <v>5</v>
      </c>
      <c r="M20" s="9">
        <v>25</v>
      </c>
      <c r="N20" s="9">
        <v>3</v>
      </c>
      <c r="O20" s="9">
        <f t="shared" si="1"/>
        <v>33</v>
      </c>
      <c r="P20" s="11">
        <f t="shared" si="2"/>
        <v>0</v>
      </c>
    </row>
    <row r="21" spans="1:26" ht="18" customHeight="1" thickTop="1" thickBot="1" x14ac:dyDescent="0.35">
      <c r="A21" s="8">
        <v>16</v>
      </c>
      <c r="B21" s="9">
        <v>3813</v>
      </c>
      <c r="C21" s="9">
        <v>0</v>
      </c>
      <c r="D21" s="9">
        <v>1760</v>
      </c>
      <c r="E21" s="9">
        <v>337</v>
      </c>
      <c r="F21" s="9">
        <v>394</v>
      </c>
      <c r="G21" s="9">
        <v>479</v>
      </c>
      <c r="H21" s="9">
        <f t="shared" si="0"/>
        <v>6783</v>
      </c>
      <c r="I21" s="9">
        <v>0</v>
      </c>
      <c r="J21" s="13"/>
      <c r="K21" s="8">
        <v>16</v>
      </c>
      <c r="L21" s="9">
        <v>4</v>
      </c>
      <c r="M21" s="9">
        <v>20</v>
      </c>
      <c r="N21" s="9">
        <v>10</v>
      </c>
      <c r="O21" s="9">
        <f t="shared" si="1"/>
        <v>34</v>
      </c>
      <c r="P21" s="11">
        <f>+P20</f>
        <v>0</v>
      </c>
    </row>
    <row r="22" spans="1:26" ht="18" customHeight="1" thickTop="1" thickBot="1" x14ac:dyDescent="0.35">
      <c r="A22" s="8">
        <v>17</v>
      </c>
      <c r="B22" s="9">
        <v>4229</v>
      </c>
      <c r="C22" s="9">
        <v>0</v>
      </c>
      <c r="D22" s="9">
        <v>1754</v>
      </c>
      <c r="E22" s="9">
        <v>293</v>
      </c>
      <c r="F22" s="9">
        <v>351</v>
      </c>
      <c r="G22" s="9">
        <v>484</v>
      </c>
      <c r="H22" s="9">
        <f t="shared" si="0"/>
        <v>7111</v>
      </c>
      <c r="I22" s="9">
        <v>0</v>
      </c>
      <c r="J22" s="13"/>
      <c r="K22" s="8">
        <v>17</v>
      </c>
      <c r="L22" s="9">
        <v>1</v>
      </c>
      <c r="M22" s="9">
        <v>14</v>
      </c>
      <c r="N22" s="9">
        <v>3</v>
      </c>
      <c r="O22" s="9">
        <f t="shared" si="1"/>
        <v>18</v>
      </c>
      <c r="P22" s="11">
        <f t="shared" si="2"/>
        <v>0</v>
      </c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18" customHeight="1" thickTop="1" thickBot="1" x14ac:dyDescent="0.35">
      <c r="A23" s="8">
        <v>18</v>
      </c>
      <c r="B23" s="9">
        <v>5486</v>
      </c>
      <c r="C23" s="9">
        <v>0</v>
      </c>
      <c r="D23" s="9">
        <v>1705</v>
      </c>
      <c r="E23" s="9">
        <v>263</v>
      </c>
      <c r="F23" s="9">
        <v>325</v>
      </c>
      <c r="G23" s="9">
        <v>438</v>
      </c>
      <c r="H23" s="9">
        <f t="shared" si="0"/>
        <v>8217</v>
      </c>
      <c r="I23" s="9">
        <v>0</v>
      </c>
      <c r="J23" s="13"/>
      <c r="K23" s="8">
        <v>18</v>
      </c>
      <c r="L23" s="9">
        <v>2</v>
      </c>
      <c r="M23" s="9">
        <v>17</v>
      </c>
      <c r="N23" s="9">
        <v>7</v>
      </c>
      <c r="O23" s="9">
        <f t="shared" si="1"/>
        <v>26</v>
      </c>
      <c r="P23" s="11">
        <f t="shared" si="2"/>
        <v>0</v>
      </c>
    </row>
    <row r="24" spans="1:26" ht="18" customHeight="1" thickTop="1" thickBot="1" x14ac:dyDescent="0.35">
      <c r="A24" s="8">
        <v>19</v>
      </c>
      <c r="B24" s="9">
        <v>6320</v>
      </c>
      <c r="C24" s="9">
        <v>0</v>
      </c>
      <c r="D24" s="9">
        <v>1466</v>
      </c>
      <c r="E24" s="9">
        <v>259</v>
      </c>
      <c r="F24" s="9">
        <v>330</v>
      </c>
      <c r="G24" s="9">
        <v>374</v>
      </c>
      <c r="H24" s="9">
        <f>SUM(B24:G24)</f>
        <v>8749</v>
      </c>
      <c r="I24" s="9">
        <v>0</v>
      </c>
      <c r="J24" s="13"/>
      <c r="K24" s="8">
        <v>19</v>
      </c>
      <c r="L24" s="9">
        <v>0</v>
      </c>
      <c r="M24" s="9">
        <v>10</v>
      </c>
      <c r="N24" s="9">
        <v>6</v>
      </c>
      <c r="O24" s="9">
        <f t="shared" si="1"/>
        <v>16</v>
      </c>
      <c r="P24" s="11">
        <f t="shared" si="2"/>
        <v>0</v>
      </c>
    </row>
    <row r="25" spans="1:26" ht="18" customHeight="1" thickTop="1" thickBot="1" x14ac:dyDescent="0.35">
      <c r="A25" s="8">
        <v>20</v>
      </c>
      <c r="B25" s="9">
        <v>7527</v>
      </c>
      <c r="C25" s="9">
        <v>0</v>
      </c>
      <c r="D25" s="9">
        <v>1127</v>
      </c>
      <c r="E25" s="9">
        <v>183</v>
      </c>
      <c r="F25" s="9">
        <v>194</v>
      </c>
      <c r="G25" s="9">
        <v>290</v>
      </c>
      <c r="H25" s="9">
        <f>SUM(B25:G25)</f>
        <v>9321</v>
      </c>
      <c r="I25" s="9">
        <v>0</v>
      </c>
      <c r="J25" s="13"/>
      <c r="K25" s="8">
        <v>20</v>
      </c>
      <c r="L25" s="9">
        <v>1</v>
      </c>
      <c r="M25" s="9">
        <v>6</v>
      </c>
      <c r="N25" s="9">
        <v>5</v>
      </c>
      <c r="O25" s="9">
        <f t="shared" si="1"/>
        <v>12</v>
      </c>
      <c r="P25" s="11">
        <f t="shared" si="2"/>
        <v>0</v>
      </c>
    </row>
    <row r="26" spans="1:26" ht="18" customHeight="1" thickTop="1" thickBot="1" x14ac:dyDescent="0.35">
      <c r="A26" s="8">
        <v>21</v>
      </c>
      <c r="B26" s="9">
        <v>4308</v>
      </c>
      <c r="C26" s="9">
        <v>0</v>
      </c>
      <c r="D26" s="9">
        <v>1517</v>
      </c>
      <c r="E26" s="9">
        <v>329</v>
      </c>
      <c r="F26" s="9">
        <v>254</v>
      </c>
      <c r="G26" s="9">
        <v>413</v>
      </c>
      <c r="H26" s="9">
        <f t="shared" si="0"/>
        <v>6821</v>
      </c>
      <c r="I26" s="9">
        <v>0</v>
      </c>
      <c r="J26" s="13"/>
      <c r="K26" s="8">
        <v>21</v>
      </c>
      <c r="L26" s="9">
        <v>1</v>
      </c>
      <c r="M26" s="9">
        <v>16</v>
      </c>
      <c r="N26" s="9">
        <v>6</v>
      </c>
      <c r="O26" s="9">
        <f t="shared" si="1"/>
        <v>23</v>
      </c>
      <c r="P26" s="11">
        <f t="shared" si="2"/>
        <v>0</v>
      </c>
    </row>
    <row r="27" spans="1:26" ht="18" customHeight="1" thickTop="1" thickBot="1" x14ac:dyDescent="0.35">
      <c r="A27" s="17">
        <v>22</v>
      </c>
      <c r="B27" s="18">
        <v>3718</v>
      </c>
      <c r="C27" s="18">
        <v>0</v>
      </c>
      <c r="D27" s="18">
        <v>1617</v>
      </c>
      <c r="E27" s="18">
        <v>290</v>
      </c>
      <c r="F27" s="18">
        <v>311</v>
      </c>
      <c r="G27" s="18">
        <v>444</v>
      </c>
      <c r="H27" s="18">
        <f t="shared" si="0"/>
        <v>6380</v>
      </c>
      <c r="I27" s="18">
        <v>0</v>
      </c>
      <c r="J27" s="19"/>
      <c r="K27" s="17">
        <v>22</v>
      </c>
      <c r="L27" s="18">
        <v>3</v>
      </c>
      <c r="M27" s="18">
        <v>20</v>
      </c>
      <c r="N27" s="18">
        <v>3</v>
      </c>
      <c r="O27" s="18">
        <f t="shared" si="1"/>
        <v>26</v>
      </c>
      <c r="P27" s="11">
        <f t="shared" si="2"/>
        <v>0</v>
      </c>
    </row>
    <row r="28" spans="1:26" ht="18" customHeight="1" thickTop="1" thickBot="1" x14ac:dyDescent="0.35">
      <c r="A28" s="8">
        <v>23</v>
      </c>
      <c r="B28" s="9">
        <v>4051</v>
      </c>
      <c r="C28" s="9">
        <v>0</v>
      </c>
      <c r="D28" s="9">
        <v>1689</v>
      </c>
      <c r="E28" s="9">
        <v>375</v>
      </c>
      <c r="F28" s="9">
        <v>378</v>
      </c>
      <c r="G28" s="9">
        <v>543</v>
      </c>
      <c r="H28" s="18">
        <f t="shared" si="0"/>
        <v>7036</v>
      </c>
      <c r="I28" s="9">
        <v>0</v>
      </c>
      <c r="J28" s="13"/>
      <c r="K28" s="8">
        <v>23</v>
      </c>
      <c r="L28" s="9">
        <v>2</v>
      </c>
      <c r="M28" s="9">
        <v>12</v>
      </c>
      <c r="N28" s="9">
        <v>7</v>
      </c>
      <c r="O28" s="9">
        <f t="shared" si="1"/>
        <v>21</v>
      </c>
      <c r="P28" s="11">
        <f t="shared" si="2"/>
        <v>0</v>
      </c>
    </row>
    <row r="29" spans="1:26" ht="18" customHeight="1" thickTop="1" thickBot="1" x14ac:dyDescent="0.35">
      <c r="A29" s="8">
        <v>24</v>
      </c>
      <c r="B29" s="9">
        <v>4029</v>
      </c>
      <c r="C29" s="9">
        <v>0</v>
      </c>
      <c r="D29" s="9">
        <v>1739</v>
      </c>
      <c r="E29" s="9">
        <v>330</v>
      </c>
      <c r="F29" s="9">
        <v>324</v>
      </c>
      <c r="G29" s="9">
        <v>467</v>
      </c>
      <c r="H29" s="9">
        <f t="shared" si="0"/>
        <v>6889</v>
      </c>
      <c r="I29" s="9">
        <v>0</v>
      </c>
      <c r="J29" s="13"/>
      <c r="K29" s="8">
        <v>24</v>
      </c>
      <c r="L29" s="9">
        <v>2</v>
      </c>
      <c r="M29" s="9">
        <v>20</v>
      </c>
      <c r="N29" s="9">
        <v>4</v>
      </c>
      <c r="O29" s="9">
        <f t="shared" si="1"/>
        <v>26</v>
      </c>
      <c r="P29" s="11">
        <f t="shared" si="2"/>
        <v>0</v>
      </c>
    </row>
    <row r="30" spans="1:26" ht="18" customHeight="1" thickTop="1" thickBot="1" x14ac:dyDescent="0.35">
      <c r="A30" s="8">
        <v>25</v>
      </c>
      <c r="B30" s="9">
        <v>5288</v>
      </c>
      <c r="C30" s="9">
        <v>0</v>
      </c>
      <c r="D30" s="9">
        <v>1626</v>
      </c>
      <c r="E30" s="9">
        <v>258</v>
      </c>
      <c r="F30" s="9">
        <v>344</v>
      </c>
      <c r="G30" s="9">
        <v>419</v>
      </c>
      <c r="H30" s="9">
        <f t="shared" si="0"/>
        <v>7935</v>
      </c>
      <c r="I30" s="9">
        <v>0</v>
      </c>
      <c r="J30" s="13"/>
      <c r="K30" s="8">
        <v>25</v>
      </c>
      <c r="L30" s="9">
        <v>0</v>
      </c>
      <c r="M30" s="9">
        <v>10</v>
      </c>
      <c r="N30" s="9">
        <v>5</v>
      </c>
      <c r="O30" s="9">
        <f t="shared" si="1"/>
        <v>15</v>
      </c>
      <c r="P30" s="11">
        <f t="shared" si="2"/>
        <v>0</v>
      </c>
    </row>
    <row r="31" spans="1:26" ht="18" customHeight="1" thickTop="1" thickBot="1" x14ac:dyDescent="0.35">
      <c r="A31" s="8">
        <v>26</v>
      </c>
      <c r="B31" s="20">
        <v>6183</v>
      </c>
      <c r="C31" s="20">
        <v>0</v>
      </c>
      <c r="D31" s="20">
        <v>1518</v>
      </c>
      <c r="E31" s="20">
        <v>283</v>
      </c>
      <c r="F31" s="21">
        <v>370</v>
      </c>
      <c r="G31" s="20">
        <v>372</v>
      </c>
      <c r="H31" s="22">
        <f t="shared" si="0"/>
        <v>8726</v>
      </c>
      <c r="I31" s="22">
        <v>0</v>
      </c>
      <c r="J31" s="13"/>
      <c r="K31" s="23">
        <v>26</v>
      </c>
      <c r="L31" s="20">
        <v>3</v>
      </c>
      <c r="M31" s="20">
        <v>16</v>
      </c>
      <c r="N31" s="20">
        <v>11</v>
      </c>
      <c r="O31" s="9">
        <f t="shared" si="1"/>
        <v>30</v>
      </c>
      <c r="P31" s="11">
        <f t="shared" si="2"/>
        <v>0</v>
      </c>
    </row>
    <row r="32" spans="1:26" ht="18" customHeight="1" thickTop="1" thickBot="1" x14ac:dyDescent="0.35">
      <c r="A32" s="8">
        <v>27</v>
      </c>
      <c r="B32" s="24">
        <v>7368</v>
      </c>
      <c r="C32" s="24">
        <v>0</v>
      </c>
      <c r="D32" s="24">
        <v>1148</v>
      </c>
      <c r="E32" s="24">
        <v>165</v>
      </c>
      <c r="F32" s="24">
        <v>202</v>
      </c>
      <c r="G32" s="24">
        <v>331</v>
      </c>
      <c r="H32" s="9">
        <f t="shared" si="0"/>
        <v>9214</v>
      </c>
      <c r="I32" s="9">
        <v>0</v>
      </c>
      <c r="J32" s="9"/>
      <c r="K32" s="8">
        <v>27</v>
      </c>
      <c r="L32" s="24">
        <v>2</v>
      </c>
      <c r="M32" s="24">
        <v>12</v>
      </c>
      <c r="N32" s="24">
        <v>2</v>
      </c>
      <c r="O32" s="9">
        <f t="shared" si="1"/>
        <v>16</v>
      </c>
      <c r="P32" s="11">
        <f t="shared" si="2"/>
        <v>0</v>
      </c>
    </row>
    <row r="33" spans="1:16" ht="18" customHeight="1" thickTop="1" thickBot="1" x14ac:dyDescent="0.35">
      <c r="A33" s="8">
        <v>28</v>
      </c>
      <c r="B33" s="24">
        <v>3922</v>
      </c>
      <c r="C33" s="24">
        <v>0</v>
      </c>
      <c r="D33" s="24">
        <v>1378</v>
      </c>
      <c r="E33" s="24">
        <v>314</v>
      </c>
      <c r="F33" s="24">
        <v>270</v>
      </c>
      <c r="G33" s="24">
        <v>435</v>
      </c>
      <c r="H33" s="9">
        <f t="shared" si="0"/>
        <v>6319</v>
      </c>
      <c r="I33" s="9">
        <v>0</v>
      </c>
      <c r="J33" s="9"/>
      <c r="K33" s="8">
        <v>28</v>
      </c>
      <c r="L33" s="24">
        <v>2</v>
      </c>
      <c r="M33" s="24">
        <v>15</v>
      </c>
      <c r="N33" s="24">
        <v>5</v>
      </c>
      <c r="O33" s="9">
        <f t="shared" si="1"/>
        <v>22</v>
      </c>
      <c r="P33" s="11">
        <f t="shared" si="2"/>
        <v>0</v>
      </c>
    </row>
    <row r="34" spans="1:16" ht="18" customHeight="1" thickTop="1" thickBot="1" x14ac:dyDescent="0.35">
      <c r="A34" s="8">
        <v>29</v>
      </c>
      <c r="B34" s="24">
        <v>3648</v>
      </c>
      <c r="C34" s="24">
        <v>0</v>
      </c>
      <c r="D34" s="24">
        <v>1664</v>
      </c>
      <c r="E34" s="24">
        <v>311</v>
      </c>
      <c r="F34" s="24">
        <v>357</v>
      </c>
      <c r="G34" s="24">
        <v>454</v>
      </c>
      <c r="H34" s="9">
        <f t="shared" si="0"/>
        <v>6434</v>
      </c>
      <c r="I34" s="9">
        <v>0</v>
      </c>
      <c r="J34" s="9"/>
      <c r="K34" s="8">
        <v>29</v>
      </c>
      <c r="L34" s="24">
        <v>3</v>
      </c>
      <c r="M34" s="24">
        <v>33</v>
      </c>
      <c r="N34" s="24">
        <v>3</v>
      </c>
      <c r="O34" s="9">
        <f t="shared" si="1"/>
        <v>39</v>
      </c>
      <c r="P34" s="11">
        <f t="shared" si="2"/>
        <v>0</v>
      </c>
    </row>
    <row r="35" spans="1:16" ht="18" customHeight="1" thickTop="1" thickBot="1" x14ac:dyDescent="0.35">
      <c r="A35" s="8">
        <v>30</v>
      </c>
      <c r="B35" s="24">
        <v>3797</v>
      </c>
      <c r="C35" s="24">
        <v>0</v>
      </c>
      <c r="D35" s="24">
        <v>1701</v>
      </c>
      <c r="E35" s="24">
        <v>312</v>
      </c>
      <c r="F35" s="24">
        <v>387</v>
      </c>
      <c r="G35" s="24">
        <v>495</v>
      </c>
      <c r="H35" s="25">
        <f t="shared" si="0"/>
        <v>6692</v>
      </c>
      <c r="I35" s="25">
        <v>0</v>
      </c>
      <c r="J35" s="25"/>
      <c r="K35" s="26">
        <v>30</v>
      </c>
      <c r="L35" s="24">
        <v>3</v>
      </c>
      <c r="M35" s="24">
        <v>8</v>
      </c>
      <c r="N35" s="24">
        <v>5</v>
      </c>
      <c r="O35" s="25">
        <v>5</v>
      </c>
      <c r="P35" s="11">
        <f t="shared" si="2"/>
        <v>0</v>
      </c>
    </row>
    <row r="36" spans="1:16" ht="18.75" customHeight="1" thickTop="1" thickBot="1" x14ac:dyDescent="0.35">
      <c r="A36" s="8">
        <v>31</v>
      </c>
      <c r="B36" s="24">
        <v>3975</v>
      </c>
      <c r="C36" s="24">
        <v>0</v>
      </c>
      <c r="D36" s="24">
        <v>1694</v>
      </c>
      <c r="E36" s="24">
        <v>307</v>
      </c>
      <c r="F36" s="24">
        <v>384</v>
      </c>
      <c r="G36" s="24">
        <v>465</v>
      </c>
      <c r="H36" s="25">
        <f t="shared" si="0"/>
        <v>6825</v>
      </c>
      <c r="I36" s="9">
        <v>0</v>
      </c>
      <c r="J36" s="9"/>
      <c r="K36" s="8">
        <v>31</v>
      </c>
      <c r="L36" s="24">
        <v>2</v>
      </c>
      <c r="M36" s="24">
        <v>21</v>
      </c>
      <c r="N36" s="24">
        <v>8</v>
      </c>
      <c r="O36" s="9">
        <f>SUM(L36:N36)</f>
        <v>31</v>
      </c>
      <c r="P36" s="11">
        <f t="shared" si="2"/>
        <v>0</v>
      </c>
    </row>
    <row r="37" spans="1:16" ht="18" customHeight="1" thickTop="1" x14ac:dyDescent="0.3">
      <c r="A37" s="5" t="s">
        <v>20</v>
      </c>
      <c r="B37" s="27">
        <f t="shared" ref="B37:H37" si="3">SUM(B6:B36)</f>
        <v>168388</v>
      </c>
      <c r="C37" s="27">
        <f t="shared" si="3"/>
        <v>0</v>
      </c>
      <c r="D37" s="27">
        <f t="shared" si="3"/>
        <v>48702</v>
      </c>
      <c r="E37" s="27">
        <f t="shared" si="3"/>
        <v>9078</v>
      </c>
      <c r="F37" s="27">
        <f t="shared" si="3"/>
        <v>9936</v>
      </c>
      <c r="G37" s="27">
        <f t="shared" si="3"/>
        <v>13305</v>
      </c>
      <c r="H37" s="27">
        <f t="shared" si="3"/>
        <v>249409</v>
      </c>
      <c r="I37" s="27">
        <f>SUM(I6:I33)</f>
        <v>0</v>
      </c>
      <c r="J37" s="27"/>
      <c r="K37" s="27" t="s">
        <v>21</v>
      </c>
      <c r="L37" s="27">
        <f>SUM(L6:L36)</f>
        <v>70</v>
      </c>
      <c r="M37" s="27">
        <f>SUM(M6:M36)</f>
        <v>478</v>
      </c>
      <c r="N37" s="27">
        <f>SUM(N6:N36)</f>
        <v>178</v>
      </c>
      <c r="O37" s="27">
        <f>SUM(O6:O36)</f>
        <v>715</v>
      </c>
      <c r="P37" s="27">
        <f>SUM(P6:P36)</f>
        <v>18405</v>
      </c>
    </row>
    <row r="38" spans="1:16" ht="18" customHeight="1" x14ac:dyDescent="0.3">
      <c r="A38" s="5" t="s">
        <v>20</v>
      </c>
      <c r="B38" s="39">
        <f>+B37+C37</f>
        <v>168388</v>
      </c>
      <c r="C38" s="39"/>
      <c r="D38" s="27">
        <f>+D37</f>
        <v>48702</v>
      </c>
      <c r="E38" s="27">
        <f>+E37</f>
        <v>9078</v>
      </c>
      <c r="F38" s="27">
        <f>+F37</f>
        <v>9936</v>
      </c>
      <c r="G38" s="27">
        <f>+G37</f>
        <v>13305</v>
      </c>
      <c r="H38" s="27">
        <f>SUM(B38:G38)</f>
        <v>249409</v>
      </c>
      <c r="I38" s="27">
        <v>0</v>
      </c>
      <c r="J38" s="28"/>
      <c r="K38" s="29"/>
      <c r="L38" s="29" t="s">
        <v>22</v>
      </c>
      <c r="M38" s="29" t="s">
        <v>23</v>
      </c>
      <c r="N38" s="29" t="s">
        <v>22</v>
      </c>
      <c r="O38" s="29"/>
    </row>
    <row r="39" spans="1:16" x14ac:dyDescent="0.3">
      <c r="A39" s="32"/>
      <c r="B39" s="33"/>
      <c r="C39" s="33"/>
      <c r="D39" s="33"/>
      <c r="E39" s="33"/>
      <c r="F39" s="33"/>
      <c r="G39" s="33"/>
      <c r="H39" s="33"/>
      <c r="I39" s="33"/>
      <c r="J39" s="31"/>
      <c r="K39" s="34"/>
      <c r="L39" s="35"/>
    </row>
    <row r="41" spans="1:16" x14ac:dyDescent="0.3">
      <c r="A41" s="36"/>
    </row>
    <row r="42" spans="1:16" x14ac:dyDescent="0.3">
      <c r="A42" s="36"/>
      <c r="B42" s="12"/>
      <c r="C42" s="12"/>
      <c r="D42" s="12"/>
      <c r="E42" s="12"/>
      <c r="F42" s="12"/>
      <c r="H42" s="12"/>
      <c r="I42" s="12"/>
      <c r="J42" s="12"/>
      <c r="K42" s="37"/>
      <c r="L42" s="12"/>
      <c r="M42" s="12"/>
      <c r="N42" s="12"/>
      <c r="O42" s="12"/>
    </row>
  </sheetData>
  <mergeCells count="13">
    <mergeCell ref="N4:N5"/>
    <mergeCell ref="O4:O5"/>
    <mergeCell ref="B38:C38"/>
    <mergeCell ref="A1:O1"/>
    <mergeCell ref="A2:O2"/>
    <mergeCell ref="A3:O3"/>
    <mergeCell ref="A4:A5"/>
    <mergeCell ref="B4:C4"/>
    <mergeCell ref="H4:H5"/>
    <mergeCell ref="I4:I5"/>
    <mergeCell ref="K4:K5"/>
    <mergeCell ref="L4:L5"/>
    <mergeCell ref="M4:M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2366E-8F97-4769-B7B2-C24134829003}">
  <dimension ref="A1:Z42"/>
  <sheetViews>
    <sheetView workbookViewId="0">
      <selection activeCell="Q7" sqref="Q7"/>
    </sheetView>
  </sheetViews>
  <sheetFormatPr baseColWidth="10" defaultColWidth="11.44140625" defaultRowHeight="13.8" x14ac:dyDescent="0.3"/>
  <cols>
    <col min="1" max="1" width="15.33203125" style="6" customWidth="1"/>
    <col min="2" max="2" width="12.6640625" style="6" customWidth="1"/>
    <col min="3" max="3" width="9.6640625" style="6" customWidth="1"/>
    <col min="4" max="9" width="12.6640625" style="6" customWidth="1"/>
    <col min="10" max="10" width="4.6640625" style="6" customWidth="1"/>
    <col min="11" max="11" width="12.5546875" style="30" customWidth="1"/>
    <col min="12" max="15" width="12.5546875" style="6" customWidth="1"/>
    <col min="16" max="16" width="0" style="6" hidden="1" customWidth="1"/>
    <col min="17" max="16384" width="11.44140625" style="6"/>
  </cols>
  <sheetData>
    <row r="1" spans="1:19" s="1" customFormat="1" ht="15.6" x14ac:dyDescent="0.3">
      <c r="A1" s="40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</row>
    <row r="2" spans="1:19" s="1" customFormat="1" ht="15.6" x14ac:dyDescent="0.3">
      <c r="A2" s="40" t="s">
        <v>24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</row>
    <row r="3" spans="1:19" s="1" customFormat="1" ht="15.6" x14ac:dyDescent="0.3">
      <c r="A3" s="41" t="s">
        <v>32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</row>
    <row r="4" spans="1:19" ht="82.5" customHeight="1" x14ac:dyDescent="0.3">
      <c r="A4" s="42" t="s">
        <v>2</v>
      </c>
      <c r="B4" s="38" t="s">
        <v>3</v>
      </c>
      <c r="C4" s="38"/>
      <c r="D4" s="3" t="s">
        <v>4</v>
      </c>
      <c r="E4" s="3" t="s">
        <v>5</v>
      </c>
      <c r="F4" s="3" t="s">
        <v>6</v>
      </c>
      <c r="G4" s="3" t="s">
        <v>7</v>
      </c>
      <c r="H4" s="38" t="s">
        <v>8</v>
      </c>
      <c r="I4" s="38" t="s">
        <v>9</v>
      </c>
      <c r="J4" s="4"/>
      <c r="K4" s="44" t="s">
        <v>2</v>
      </c>
      <c r="L4" s="38" t="s">
        <v>10</v>
      </c>
      <c r="M4" s="38" t="s">
        <v>11</v>
      </c>
      <c r="N4" s="38" t="s">
        <v>12</v>
      </c>
      <c r="O4" s="38" t="s">
        <v>13</v>
      </c>
    </row>
    <row r="5" spans="1:19" ht="21" customHeight="1" x14ac:dyDescent="0.3">
      <c r="A5" s="43"/>
      <c r="B5" s="5" t="s">
        <v>14</v>
      </c>
      <c r="C5" s="5" t="s">
        <v>15</v>
      </c>
      <c r="D5" s="5" t="s">
        <v>16</v>
      </c>
      <c r="E5" s="5" t="s">
        <v>17</v>
      </c>
      <c r="F5" s="5" t="s">
        <v>18</v>
      </c>
      <c r="G5" s="5" t="s">
        <v>19</v>
      </c>
      <c r="H5" s="38"/>
      <c r="I5" s="38"/>
      <c r="J5" s="4"/>
      <c r="K5" s="44"/>
      <c r="L5" s="38"/>
      <c r="M5" s="38"/>
      <c r="N5" s="38"/>
      <c r="O5" s="38"/>
    </row>
    <row r="6" spans="1:19" ht="18" customHeight="1" thickBot="1" x14ac:dyDescent="0.35">
      <c r="A6" s="8">
        <v>1</v>
      </c>
      <c r="B6" s="9">
        <v>5523</v>
      </c>
      <c r="C6" s="9">
        <v>0</v>
      </c>
      <c r="D6" s="9">
        <v>1624</v>
      </c>
      <c r="E6" s="9">
        <v>269</v>
      </c>
      <c r="F6" s="9">
        <v>315</v>
      </c>
      <c r="G6" s="9">
        <v>369</v>
      </c>
      <c r="H6" s="9">
        <f>SUM(B6:G6)</f>
        <v>8100</v>
      </c>
      <c r="I6" s="9">
        <v>0</v>
      </c>
      <c r="J6" s="10"/>
      <c r="K6" s="8">
        <v>1</v>
      </c>
      <c r="L6" s="9">
        <v>3</v>
      </c>
      <c r="M6" s="9">
        <v>16</v>
      </c>
      <c r="N6" s="9">
        <v>8</v>
      </c>
      <c r="O6" s="9">
        <f>SUM(L6:N6)</f>
        <v>27</v>
      </c>
      <c r="P6" s="11">
        <v>6135</v>
      </c>
    </row>
    <row r="7" spans="1:19" ht="18" customHeight="1" thickTop="1" thickBot="1" x14ac:dyDescent="0.35">
      <c r="A7" s="8">
        <v>2</v>
      </c>
      <c r="B7" s="9">
        <v>6157</v>
      </c>
      <c r="C7" s="9">
        <v>0</v>
      </c>
      <c r="D7" s="9">
        <v>1588</v>
      </c>
      <c r="E7" s="9">
        <v>217</v>
      </c>
      <c r="F7" s="9">
        <v>318</v>
      </c>
      <c r="G7" s="9">
        <v>340</v>
      </c>
      <c r="H7" s="9">
        <f t="shared" ref="H7:H36" si="0">SUM(B7:G7)</f>
        <v>8620</v>
      </c>
      <c r="I7" s="9">
        <v>0</v>
      </c>
      <c r="J7" s="10"/>
      <c r="K7" s="8">
        <v>2</v>
      </c>
      <c r="L7" s="9">
        <v>2</v>
      </c>
      <c r="M7" s="9">
        <v>17</v>
      </c>
      <c r="N7" s="9">
        <v>7</v>
      </c>
      <c r="O7" s="9">
        <f t="shared" ref="O7:O34" si="1">SUM(L7:N7)</f>
        <v>26</v>
      </c>
      <c r="P7" s="11">
        <f>+P6</f>
        <v>6135</v>
      </c>
    </row>
    <row r="8" spans="1:19" ht="18" customHeight="1" thickTop="1" thickBot="1" x14ac:dyDescent="0.35">
      <c r="A8" s="8">
        <v>3</v>
      </c>
      <c r="B8" s="9">
        <v>7334</v>
      </c>
      <c r="C8" s="9">
        <v>0</v>
      </c>
      <c r="D8" s="9">
        <v>1145</v>
      </c>
      <c r="E8" s="9">
        <v>170</v>
      </c>
      <c r="F8" s="9">
        <v>214</v>
      </c>
      <c r="G8" s="9">
        <v>294</v>
      </c>
      <c r="H8" s="9">
        <f t="shared" si="0"/>
        <v>9157</v>
      </c>
      <c r="I8" s="9">
        <v>0</v>
      </c>
      <c r="J8" s="10"/>
      <c r="K8" s="8">
        <v>3</v>
      </c>
      <c r="L8" s="9">
        <v>1</v>
      </c>
      <c r="M8" s="9">
        <v>13</v>
      </c>
      <c r="N8" s="9">
        <v>2</v>
      </c>
      <c r="O8" s="9">
        <f t="shared" si="1"/>
        <v>16</v>
      </c>
      <c r="P8" s="11">
        <f t="shared" ref="P8:P36" si="2">+P7</f>
        <v>6135</v>
      </c>
      <c r="S8" s="12"/>
    </row>
    <row r="9" spans="1:19" ht="18" customHeight="1" thickTop="1" thickBot="1" x14ac:dyDescent="0.35">
      <c r="A9" s="8">
        <v>4</v>
      </c>
      <c r="B9" s="9">
        <v>4027</v>
      </c>
      <c r="C9" s="9">
        <v>0</v>
      </c>
      <c r="D9" s="9">
        <v>1441</v>
      </c>
      <c r="E9" s="9">
        <v>367</v>
      </c>
      <c r="F9" s="9">
        <v>331</v>
      </c>
      <c r="G9" s="9">
        <v>424</v>
      </c>
      <c r="H9" s="9">
        <f t="shared" si="0"/>
        <v>6590</v>
      </c>
      <c r="I9" s="9">
        <v>0</v>
      </c>
      <c r="J9" s="10"/>
      <c r="K9" s="8">
        <v>4</v>
      </c>
      <c r="L9" s="9">
        <v>4</v>
      </c>
      <c r="M9" s="9">
        <v>20</v>
      </c>
      <c r="N9" s="9">
        <v>4</v>
      </c>
      <c r="O9" s="9">
        <f t="shared" si="1"/>
        <v>28</v>
      </c>
      <c r="P9" s="11">
        <v>0</v>
      </c>
    </row>
    <row r="10" spans="1:19" ht="18" customHeight="1" thickTop="1" thickBot="1" x14ac:dyDescent="0.35">
      <c r="A10" s="8">
        <v>5</v>
      </c>
      <c r="B10" s="9">
        <v>4118</v>
      </c>
      <c r="C10" s="9">
        <v>0</v>
      </c>
      <c r="D10" s="9">
        <v>1897</v>
      </c>
      <c r="E10" s="9">
        <v>345</v>
      </c>
      <c r="F10" s="9">
        <v>387</v>
      </c>
      <c r="G10" s="9">
        <v>465</v>
      </c>
      <c r="H10" s="9">
        <f t="shared" si="0"/>
        <v>7212</v>
      </c>
      <c r="I10" s="9">
        <v>0</v>
      </c>
      <c r="J10" s="10"/>
      <c r="K10" s="8">
        <v>5</v>
      </c>
      <c r="L10" s="9">
        <v>8</v>
      </c>
      <c r="M10" s="9">
        <v>29</v>
      </c>
      <c r="N10" s="9">
        <v>4</v>
      </c>
      <c r="O10" s="9">
        <f t="shared" si="1"/>
        <v>41</v>
      </c>
      <c r="P10" s="11">
        <f t="shared" si="2"/>
        <v>0</v>
      </c>
    </row>
    <row r="11" spans="1:19" ht="18" customHeight="1" thickTop="1" thickBot="1" x14ac:dyDescent="0.35">
      <c r="A11" s="8">
        <v>6</v>
      </c>
      <c r="B11" s="9">
        <v>6211</v>
      </c>
      <c r="C11" s="9">
        <v>0</v>
      </c>
      <c r="D11" s="9">
        <v>1948</v>
      </c>
      <c r="E11" s="9">
        <v>337</v>
      </c>
      <c r="F11" s="9">
        <v>424</v>
      </c>
      <c r="G11" s="9">
        <v>532</v>
      </c>
      <c r="H11" s="9">
        <f t="shared" si="0"/>
        <v>9452</v>
      </c>
      <c r="I11" s="9">
        <v>0</v>
      </c>
      <c r="J11" s="10"/>
      <c r="K11" s="8">
        <v>6</v>
      </c>
      <c r="L11" s="9">
        <v>11</v>
      </c>
      <c r="M11" s="9">
        <v>16</v>
      </c>
      <c r="N11" s="9">
        <v>4</v>
      </c>
      <c r="O11" s="9">
        <f t="shared" si="1"/>
        <v>31</v>
      </c>
      <c r="P11" s="11">
        <f t="shared" si="2"/>
        <v>0</v>
      </c>
    </row>
    <row r="12" spans="1:19" ht="18" customHeight="1" thickTop="1" thickBot="1" x14ac:dyDescent="0.35">
      <c r="A12" s="8">
        <v>7</v>
      </c>
      <c r="B12" s="9">
        <v>8581</v>
      </c>
      <c r="C12" s="9">
        <v>0</v>
      </c>
      <c r="D12" s="9">
        <v>1653</v>
      </c>
      <c r="E12" s="9">
        <v>248</v>
      </c>
      <c r="F12" s="9">
        <v>340</v>
      </c>
      <c r="G12" s="9">
        <v>432</v>
      </c>
      <c r="H12" s="9">
        <f t="shared" si="0"/>
        <v>11254</v>
      </c>
      <c r="I12" s="9">
        <v>0</v>
      </c>
      <c r="J12" s="13"/>
      <c r="K12" s="8">
        <v>7</v>
      </c>
      <c r="L12" s="9">
        <v>15</v>
      </c>
      <c r="M12" s="9">
        <v>11</v>
      </c>
      <c r="N12" s="9">
        <v>6</v>
      </c>
      <c r="O12" s="9">
        <f t="shared" si="1"/>
        <v>32</v>
      </c>
      <c r="P12" s="11">
        <f t="shared" si="2"/>
        <v>0</v>
      </c>
    </row>
    <row r="13" spans="1:19" ht="18" customHeight="1" thickTop="1" thickBot="1" x14ac:dyDescent="0.35">
      <c r="A13" s="8">
        <v>8</v>
      </c>
      <c r="B13" s="9">
        <v>5157</v>
      </c>
      <c r="C13" s="9">
        <v>0</v>
      </c>
      <c r="D13" s="9">
        <v>1556</v>
      </c>
      <c r="E13" s="9">
        <v>335</v>
      </c>
      <c r="F13" s="9">
        <v>288</v>
      </c>
      <c r="G13" s="9">
        <v>494</v>
      </c>
      <c r="H13" s="9">
        <f t="shared" si="0"/>
        <v>7830</v>
      </c>
      <c r="I13" s="9">
        <v>0</v>
      </c>
      <c r="J13" s="13"/>
      <c r="K13" s="8">
        <v>8</v>
      </c>
      <c r="L13" s="9">
        <v>7</v>
      </c>
      <c r="M13" s="9">
        <v>14</v>
      </c>
      <c r="N13" s="9">
        <v>8</v>
      </c>
      <c r="O13" s="9">
        <f t="shared" si="1"/>
        <v>29</v>
      </c>
      <c r="P13" s="11">
        <f t="shared" si="2"/>
        <v>0</v>
      </c>
    </row>
    <row r="14" spans="1:19" s="15" customFormat="1" ht="18" customHeight="1" thickTop="1" thickBot="1" x14ac:dyDescent="0.35">
      <c r="A14" s="8">
        <v>9</v>
      </c>
      <c r="B14" s="9">
        <v>5615</v>
      </c>
      <c r="C14" s="9">
        <v>0</v>
      </c>
      <c r="D14" s="9">
        <v>1299</v>
      </c>
      <c r="E14" s="9">
        <v>220</v>
      </c>
      <c r="F14" s="9">
        <v>308</v>
      </c>
      <c r="G14" s="9">
        <v>325</v>
      </c>
      <c r="H14" s="9">
        <f t="shared" si="0"/>
        <v>7767</v>
      </c>
      <c r="I14" s="9">
        <v>0</v>
      </c>
      <c r="J14" s="13"/>
      <c r="K14" s="8">
        <v>9</v>
      </c>
      <c r="L14" s="9">
        <v>7</v>
      </c>
      <c r="M14" s="9">
        <v>10</v>
      </c>
      <c r="N14" s="9">
        <v>6</v>
      </c>
      <c r="O14" s="9">
        <f t="shared" si="1"/>
        <v>23</v>
      </c>
      <c r="P14" s="14">
        <f t="shared" si="2"/>
        <v>0</v>
      </c>
    </row>
    <row r="15" spans="1:19" ht="18" customHeight="1" thickTop="1" thickBot="1" x14ac:dyDescent="0.35">
      <c r="A15" s="8">
        <v>10</v>
      </c>
      <c r="B15" s="9">
        <v>10117</v>
      </c>
      <c r="C15" s="9">
        <v>0</v>
      </c>
      <c r="D15" s="9">
        <v>1057</v>
      </c>
      <c r="E15" s="9">
        <v>190</v>
      </c>
      <c r="F15" s="9">
        <v>192</v>
      </c>
      <c r="G15" s="9">
        <v>294</v>
      </c>
      <c r="H15" s="9">
        <f t="shared" si="0"/>
        <v>11850</v>
      </c>
      <c r="I15" s="9">
        <v>0</v>
      </c>
      <c r="J15" s="13"/>
      <c r="K15" s="8">
        <v>10</v>
      </c>
      <c r="L15" s="9">
        <v>5</v>
      </c>
      <c r="M15" s="9">
        <v>10</v>
      </c>
      <c r="N15" s="9">
        <v>2</v>
      </c>
      <c r="O15" s="9">
        <f t="shared" si="1"/>
        <v>17</v>
      </c>
      <c r="P15" s="11">
        <f t="shared" si="2"/>
        <v>0</v>
      </c>
    </row>
    <row r="16" spans="1:19" ht="18" customHeight="1" thickTop="1" thickBot="1" x14ac:dyDescent="0.35">
      <c r="A16" s="8">
        <v>11</v>
      </c>
      <c r="B16" s="9">
        <v>4687</v>
      </c>
      <c r="C16" s="9">
        <v>0</v>
      </c>
      <c r="D16" s="9">
        <v>1420</v>
      </c>
      <c r="E16" s="9">
        <v>325</v>
      </c>
      <c r="F16" s="9">
        <v>266</v>
      </c>
      <c r="G16" s="9">
        <v>465</v>
      </c>
      <c r="H16" s="9">
        <f t="shared" si="0"/>
        <v>7163</v>
      </c>
      <c r="I16" s="9">
        <v>0</v>
      </c>
      <c r="J16" s="13"/>
      <c r="K16" s="8">
        <v>11</v>
      </c>
      <c r="L16" s="9">
        <v>2</v>
      </c>
      <c r="M16" s="9">
        <v>20</v>
      </c>
      <c r="N16" s="9">
        <v>2</v>
      </c>
      <c r="O16" s="9">
        <f t="shared" si="1"/>
        <v>24</v>
      </c>
      <c r="P16" s="11">
        <f t="shared" si="2"/>
        <v>0</v>
      </c>
    </row>
    <row r="17" spans="1:26" ht="16.5" customHeight="1" thickTop="1" thickBot="1" x14ac:dyDescent="0.35">
      <c r="A17" s="8">
        <v>12</v>
      </c>
      <c r="B17" s="9">
        <v>3798</v>
      </c>
      <c r="C17" s="9">
        <v>0</v>
      </c>
      <c r="D17" s="9">
        <v>1711</v>
      </c>
      <c r="E17" s="9">
        <v>327</v>
      </c>
      <c r="F17" s="9">
        <v>343</v>
      </c>
      <c r="G17" s="9">
        <v>428</v>
      </c>
      <c r="H17" s="9">
        <f t="shared" si="0"/>
        <v>6607</v>
      </c>
      <c r="I17" s="9">
        <v>0</v>
      </c>
      <c r="J17" s="13"/>
      <c r="K17" s="8">
        <v>12</v>
      </c>
      <c r="L17" s="9">
        <v>1</v>
      </c>
      <c r="M17" s="9">
        <v>8</v>
      </c>
      <c r="N17" s="9">
        <v>3</v>
      </c>
      <c r="O17" s="9">
        <f t="shared" si="1"/>
        <v>12</v>
      </c>
      <c r="P17" s="11">
        <f t="shared" si="2"/>
        <v>0</v>
      </c>
    </row>
    <row r="18" spans="1:26" ht="18" customHeight="1" thickTop="1" thickBot="1" x14ac:dyDescent="0.35">
      <c r="A18" s="8">
        <v>13</v>
      </c>
      <c r="B18" s="9">
        <v>3924</v>
      </c>
      <c r="C18" s="9">
        <v>0</v>
      </c>
      <c r="D18" s="9">
        <v>1779</v>
      </c>
      <c r="E18" s="9">
        <v>364</v>
      </c>
      <c r="F18" s="9">
        <v>389</v>
      </c>
      <c r="G18" s="9">
        <v>518</v>
      </c>
      <c r="H18" s="9">
        <f t="shared" si="0"/>
        <v>6974</v>
      </c>
      <c r="I18" s="9">
        <v>0</v>
      </c>
      <c r="J18" s="13"/>
      <c r="K18" s="8">
        <v>13</v>
      </c>
      <c r="L18" s="9">
        <v>4</v>
      </c>
      <c r="M18" s="9">
        <v>10</v>
      </c>
      <c r="N18" s="9">
        <v>6</v>
      </c>
      <c r="O18" s="9">
        <f t="shared" si="1"/>
        <v>20</v>
      </c>
      <c r="P18" s="11">
        <f t="shared" si="2"/>
        <v>0</v>
      </c>
    </row>
    <row r="19" spans="1:26" ht="18" customHeight="1" thickTop="1" thickBot="1" x14ac:dyDescent="0.35">
      <c r="A19" s="8">
        <v>14</v>
      </c>
      <c r="B19" s="9">
        <v>4516</v>
      </c>
      <c r="C19" s="9">
        <v>0</v>
      </c>
      <c r="D19" s="9">
        <v>1836</v>
      </c>
      <c r="E19" s="9">
        <v>334</v>
      </c>
      <c r="F19" s="9">
        <v>369</v>
      </c>
      <c r="G19" s="9">
        <v>519</v>
      </c>
      <c r="H19" s="9">
        <f t="shared" si="0"/>
        <v>7574</v>
      </c>
      <c r="I19" s="9">
        <v>0</v>
      </c>
      <c r="J19" s="13"/>
      <c r="K19" s="8">
        <v>14</v>
      </c>
      <c r="L19" s="9">
        <v>0</v>
      </c>
      <c r="M19" s="9">
        <v>13</v>
      </c>
      <c r="N19" s="9">
        <v>7</v>
      </c>
      <c r="O19" s="9">
        <f t="shared" si="1"/>
        <v>20</v>
      </c>
      <c r="P19" s="11">
        <f t="shared" si="2"/>
        <v>0</v>
      </c>
    </row>
    <row r="20" spans="1:26" ht="18" customHeight="1" thickTop="1" thickBot="1" x14ac:dyDescent="0.35">
      <c r="A20" s="8">
        <v>15</v>
      </c>
      <c r="B20" s="9">
        <v>8077</v>
      </c>
      <c r="C20" s="9">
        <v>0</v>
      </c>
      <c r="D20" s="9">
        <v>1622</v>
      </c>
      <c r="E20" s="9">
        <v>282</v>
      </c>
      <c r="F20" s="9">
        <v>341</v>
      </c>
      <c r="G20" s="9">
        <v>441</v>
      </c>
      <c r="H20" s="9">
        <f t="shared" si="0"/>
        <v>10763</v>
      </c>
      <c r="I20" s="9">
        <v>0</v>
      </c>
      <c r="J20" s="13"/>
      <c r="K20" s="8">
        <v>15</v>
      </c>
      <c r="L20" s="9">
        <v>2</v>
      </c>
      <c r="M20" s="9">
        <v>11</v>
      </c>
      <c r="N20" s="9">
        <v>6</v>
      </c>
      <c r="O20" s="9">
        <f t="shared" si="1"/>
        <v>19</v>
      </c>
      <c r="P20" s="11">
        <f t="shared" si="2"/>
        <v>0</v>
      </c>
    </row>
    <row r="21" spans="1:26" ht="18" customHeight="1" thickTop="1" thickBot="1" x14ac:dyDescent="0.35">
      <c r="A21" s="8">
        <v>16</v>
      </c>
      <c r="B21" s="9">
        <v>11535</v>
      </c>
      <c r="C21" s="9">
        <v>0</v>
      </c>
      <c r="D21" s="9">
        <v>1457</v>
      </c>
      <c r="E21" s="9">
        <v>186</v>
      </c>
      <c r="F21" s="9">
        <v>310</v>
      </c>
      <c r="G21" s="9">
        <v>285</v>
      </c>
      <c r="H21" s="9">
        <f t="shared" si="0"/>
        <v>13773</v>
      </c>
      <c r="I21" s="9">
        <v>0</v>
      </c>
      <c r="J21" s="13"/>
      <c r="K21" s="8">
        <v>16</v>
      </c>
      <c r="L21" s="9">
        <v>3</v>
      </c>
      <c r="M21" s="9">
        <v>10</v>
      </c>
      <c r="N21" s="9">
        <v>10</v>
      </c>
      <c r="O21" s="9">
        <f t="shared" si="1"/>
        <v>23</v>
      </c>
      <c r="P21" s="11">
        <f>+P20</f>
        <v>0</v>
      </c>
    </row>
    <row r="22" spans="1:26" ht="18" customHeight="1" thickTop="1" thickBot="1" x14ac:dyDescent="0.35">
      <c r="A22" s="8">
        <v>17</v>
      </c>
      <c r="B22" s="9">
        <v>8029</v>
      </c>
      <c r="C22" s="9">
        <v>0</v>
      </c>
      <c r="D22" s="9">
        <v>1222</v>
      </c>
      <c r="E22" s="9">
        <v>159</v>
      </c>
      <c r="F22" s="9">
        <v>197</v>
      </c>
      <c r="G22" s="9">
        <v>316</v>
      </c>
      <c r="H22" s="9">
        <f t="shared" si="0"/>
        <v>9923</v>
      </c>
      <c r="I22" s="9">
        <v>0</v>
      </c>
      <c r="J22" s="13"/>
      <c r="K22" s="8">
        <v>17</v>
      </c>
      <c r="L22" s="9">
        <v>2</v>
      </c>
      <c r="M22" s="9">
        <v>14</v>
      </c>
      <c r="N22" s="9">
        <v>9</v>
      </c>
      <c r="O22" s="9">
        <f t="shared" si="1"/>
        <v>25</v>
      </c>
      <c r="P22" s="11">
        <f t="shared" si="2"/>
        <v>0</v>
      </c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18" customHeight="1" thickTop="1" thickBot="1" x14ac:dyDescent="0.35">
      <c r="A23" s="8">
        <v>18</v>
      </c>
      <c r="B23" s="9">
        <v>14042</v>
      </c>
      <c r="C23" s="9">
        <v>0</v>
      </c>
      <c r="D23" s="9">
        <v>886</v>
      </c>
      <c r="E23" s="9">
        <v>58</v>
      </c>
      <c r="F23" s="9">
        <v>87</v>
      </c>
      <c r="G23" s="9">
        <v>110</v>
      </c>
      <c r="H23" s="9">
        <f t="shared" si="0"/>
        <v>15183</v>
      </c>
      <c r="I23" s="9">
        <v>0</v>
      </c>
      <c r="J23" s="13"/>
      <c r="K23" s="8">
        <v>18</v>
      </c>
      <c r="L23" s="9">
        <v>1</v>
      </c>
      <c r="M23" s="9">
        <v>6</v>
      </c>
      <c r="N23" s="9">
        <v>1</v>
      </c>
      <c r="O23" s="9">
        <f t="shared" si="1"/>
        <v>8</v>
      </c>
      <c r="P23" s="11">
        <f t="shared" si="2"/>
        <v>0</v>
      </c>
    </row>
    <row r="24" spans="1:26" ht="18" customHeight="1" thickTop="1" thickBot="1" x14ac:dyDescent="0.35">
      <c r="A24" s="8">
        <v>19</v>
      </c>
      <c r="B24" s="9">
        <v>4809</v>
      </c>
      <c r="C24" s="9">
        <v>0</v>
      </c>
      <c r="D24" s="9">
        <v>1539</v>
      </c>
      <c r="E24" s="9">
        <v>331</v>
      </c>
      <c r="F24" s="9">
        <v>291</v>
      </c>
      <c r="G24" s="9">
        <v>462</v>
      </c>
      <c r="H24" s="9">
        <f>SUM(B24:G24)</f>
        <v>7432</v>
      </c>
      <c r="I24" s="9">
        <v>0</v>
      </c>
      <c r="J24" s="13"/>
      <c r="K24" s="8">
        <v>19</v>
      </c>
      <c r="L24" s="9">
        <v>2</v>
      </c>
      <c r="M24" s="9">
        <v>16</v>
      </c>
      <c r="N24" s="9">
        <v>5</v>
      </c>
      <c r="O24" s="9">
        <f t="shared" si="1"/>
        <v>23</v>
      </c>
      <c r="P24" s="11">
        <f t="shared" si="2"/>
        <v>0</v>
      </c>
    </row>
    <row r="25" spans="1:26" ht="18" customHeight="1" thickTop="1" thickBot="1" x14ac:dyDescent="0.35">
      <c r="A25" s="8">
        <v>20</v>
      </c>
      <c r="B25" s="9">
        <v>3680</v>
      </c>
      <c r="C25" s="9">
        <v>0</v>
      </c>
      <c r="D25" s="9">
        <v>1702</v>
      </c>
      <c r="E25" s="9">
        <v>317</v>
      </c>
      <c r="F25" s="9">
        <v>334</v>
      </c>
      <c r="G25" s="9">
        <v>423</v>
      </c>
      <c r="H25" s="9">
        <f>SUM(B25:G25)</f>
        <v>6456</v>
      </c>
      <c r="I25" s="9">
        <v>0</v>
      </c>
      <c r="J25" s="13"/>
      <c r="K25" s="8">
        <v>20</v>
      </c>
      <c r="L25" s="9">
        <v>8</v>
      </c>
      <c r="M25" s="9">
        <v>17</v>
      </c>
      <c r="N25" s="9">
        <v>12</v>
      </c>
      <c r="O25" s="9">
        <f t="shared" si="1"/>
        <v>37</v>
      </c>
      <c r="P25" s="11">
        <f t="shared" si="2"/>
        <v>0</v>
      </c>
    </row>
    <row r="26" spans="1:26" ht="18" customHeight="1" thickTop="1" thickBot="1" x14ac:dyDescent="0.35">
      <c r="A26" s="8">
        <v>21</v>
      </c>
      <c r="B26" s="9">
        <v>3678</v>
      </c>
      <c r="C26" s="9">
        <v>0</v>
      </c>
      <c r="D26" s="9">
        <v>1636</v>
      </c>
      <c r="E26" s="9">
        <v>274</v>
      </c>
      <c r="F26" s="9">
        <v>316</v>
      </c>
      <c r="G26" s="9">
        <v>421</v>
      </c>
      <c r="H26" s="9">
        <f t="shared" si="0"/>
        <v>6325</v>
      </c>
      <c r="I26" s="9">
        <v>0</v>
      </c>
      <c r="J26" s="13"/>
      <c r="K26" s="8">
        <v>21</v>
      </c>
      <c r="L26" s="9">
        <v>7</v>
      </c>
      <c r="M26" s="9">
        <v>8</v>
      </c>
      <c r="N26" s="9">
        <v>9</v>
      </c>
      <c r="O26" s="9">
        <f t="shared" si="1"/>
        <v>24</v>
      </c>
      <c r="P26" s="11">
        <f t="shared" si="2"/>
        <v>0</v>
      </c>
    </row>
    <row r="27" spans="1:26" ht="18" customHeight="1" thickTop="1" thickBot="1" x14ac:dyDescent="0.35">
      <c r="A27" s="17">
        <v>22</v>
      </c>
      <c r="B27" s="18">
        <v>4698</v>
      </c>
      <c r="C27" s="18">
        <v>0</v>
      </c>
      <c r="D27" s="18">
        <v>1653</v>
      </c>
      <c r="E27" s="18">
        <v>279</v>
      </c>
      <c r="F27" s="18">
        <v>356</v>
      </c>
      <c r="G27" s="18">
        <v>428</v>
      </c>
      <c r="H27" s="18">
        <f t="shared" si="0"/>
        <v>7414</v>
      </c>
      <c r="I27" s="18">
        <v>0</v>
      </c>
      <c r="J27" s="19"/>
      <c r="K27" s="17">
        <v>22</v>
      </c>
      <c r="L27" s="18">
        <v>8</v>
      </c>
      <c r="M27" s="18">
        <v>26</v>
      </c>
      <c r="N27" s="18">
        <v>9</v>
      </c>
      <c r="O27" s="18">
        <f t="shared" si="1"/>
        <v>43</v>
      </c>
      <c r="P27" s="11">
        <f t="shared" si="2"/>
        <v>0</v>
      </c>
    </row>
    <row r="28" spans="1:26" ht="18" customHeight="1" thickTop="1" thickBot="1" x14ac:dyDescent="0.35">
      <c r="A28" s="8">
        <v>23</v>
      </c>
      <c r="B28" s="9">
        <v>5617</v>
      </c>
      <c r="C28" s="9">
        <v>0</v>
      </c>
      <c r="D28" s="9">
        <v>1550</v>
      </c>
      <c r="E28" s="9">
        <v>243</v>
      </c>
      <c r="F28" s="9">
        <v>339</v>
      </c>
      <c r="G28" s="9">
        <v>340</v>
      </c>
      <c r="H28" s="18">
        <f t="shared" si="0"/>
        <v>8089</v>
      </c>
      <c r="I28" s="9">
        <v>0</v>
      </c>
      <c r="J28" s="13"/>
      <c r="K28" s="8">
        <v>23</v>
      </c>
      <c r="L28" s="9">
        <v>8</v>
      </c>
      <c r="M28" s="9">
        <v>13</v>
      </c>
      <c r="N28" s="9">
        <v>9</v>
      </c>
      <c r="O28" s="9">
        <f t="shared" si="1"/>
        <v>30</v>
      </c>
      <c r="P28" s="11">
        <f t="shared" si="2"/>
        <v>0</v>
      </c>
    </row>
    <row r="29" spans="1:26" ht="18" customHeight="1" thickTop="1" thickBot="1" x14ac:dyDescent="0.35">
      <c r="A29" s="8">
        <v>24</v>
      </c>
      <c r="B29" s="9">
        <v>6597</v>
      </c>
      <c r="C29" s="9">
        <v>0</v>
      </c>
      <c r="D29" s="9">
        <v>1122</v>
      </c>
      <c r="E29" s="9">
        <v>172</v>
      </c>
      <c r="F29" s="9">
        <v>208</v>
      </c>
      <c r="G29" s="9">
        <v>309</v>
      </c>
      <c r="H29" s="9">
        <f t="shared" si="0"/>
        <v>8408</v>
      </c>
      <c r="I29" s="9">
        <v>0</v>
      </c>
      <c r="J29" s="13"/>
      <c r="K29" s="8">
        <v>24</v>
      </c>
      <c r="L29" s="9">
        <v>1</v>
      </c>
      <c r="M29" s="9">
        <v>10</v>
      </c>
      <c r="N29" s="9">
        <v>9</v>
      </c>
      <c r="O29" s="9">
        <f t="shared" si="1"/>
        <v>20</v>
      </c>
      <c r="P29" s="11">
        <f t="shared" si="2"/>
        <v>0</v>
      </c>
    </row>
    <row r="30" spans="1:26" ht="18" customHeight="1" thickTop="1" thickBot="1" x14ac:dyDescent="0.35">
      <c r="A30" s="8">
        <v>25</v>
      </c>
      <c r="B30" s="9">
        <v>3666</v>
      </c>
      <c r="C30" s="9">
        <v>0</v>
      </c>
      <c r="D30" s="9">
        <v>1391</v>
      </c>
      <c r="E30" s="9">
        <v>355</v>
      </c>
      <c r="F30" s="9">
        <v>286</v>
      </c>
      <c r="G30" s="9">
        <v>393</v>
      </c>
      <c r="H30" s="9">
        <f t="shared" si="0"/>
        <v>6091</v>
      </c>
      <c r="I30" s="9">
        <v>0</v>
      </c>
      <c r="J30" s="13"/>
      <c r="K30" s="8">
        <v>25</v>
      </c>
      <c r="L30" s="9">
        <v>4</v>
      </c>
      <c r="M30" s="9">
        <v>6</v>
      </c>
      <c r="N30" s="9">
        <v>4</v>
      </c>
      <c r="O30" s="9">
        <f t="shared" si="1"/>
        <v>14</v>
      </c>
      <c r="P30" s="11">
        <f t="shared" si="2"/>
        <v>0</v>
      </c>
    </row>
    <row r="31" spans="1:26" ht="18" customHeight="1" thickTop="1" thickBot="1" x14ac:dyDescent="0.35">
      <c r="A31" s="8">
        <v>26</v>
      </c>
      <c r="B31" s="20">
        <v>3432</v>
      </c>
      <c r="C31" s="20">
        <v>0</v>
      </c>
      <c r="D31" s="20">
        <v>1694</v>
      </c>
      <c r="E31" s="20">
        <v>296</v>
      </c>
      <c r="F31" s="21">
        <v>327</v>
      </c>
      <c r="G31" s="20">
        <v>450</v>
      </c>
      <c r="H31" s="22">
        <f t="shared" si="0"/>
        <v>6199</v>
      </c>
      <c r="I31" s="22">
        <v>0</v>
      </c>
      <c r="J31" s="13"/>
      <c r="K31" s="23">
        <v>26</v>
      </c>
      <c r="L31" s="20">
        <v>3</v>
      </c>
      <c r="M31" s="20">
        <v>8</v>
      </c>
      <c r="N31" s="20">
        <v>8</v>
      </c>
      <c r="O31" s="9">
        <f t="shared" si="1"/>
        <v>19</v>
      </c>
      <c r="P31" s="11">
        <f t="shared" si="2"/>
        <v>0</v>
      </c>
    </row>
    <row r="32" spans="1:26" ht="18" customHeight="1" thickTop="1" thickBot="1" x14ac:dyDescent="0.35">
      <c r="A32" s="8">
        <v>27</v>
      </c>
      <c r="B32" s="24">
        <v>3619</v>
      </c>
      <c r="C32" s="24">
        <v>0</v>
      </c>
      <c r="D32" s="24">
        <v>1806</v>
      </c>
      <c r="E32" s="24">
        <v>322</v>
      </c>
      <c r="F32" s="24">
        <v>355</v>
      </c>
      <c r="G32" s="24">
        <v>484</v>
      </c>
      <c r="H32" s="9">
        <f t="shared" si="0"/>
        <v>6586</v>
      </c>
      <c r="I32" s="9">
        <v>0</v>
      </c>
      <c r="J32" s="9"/>
      <c r="K32" s="8">
        <v>27</v>
      </c>
      <c r="L32" s="24">
        <v>1</v>
      </c>
      <c r="M32" s="24">
        <v>15</v>
      </c>
      <c r="N32" s="24">
        <v>11</v>
      </c>
      <c r="O32" s="9">
        <f t="shared" si="1"/>
        <v>27</v>
      </c>
      <c r="P32" s="11">
        <f t="shared" si="2"/>
        <v>0</v>
      </c>
    </row>
    <row r="33" spans="1:16" ht="18" customHeight="1" thickTop="1" thickBot="1" x14ac:dyDescent="0.35">
      <c r="A33" s="8">
        <v>28</v>
      </c>
      <c r="B33" s="24">
        <v>3851</v>
      </c>
      <c r="C33" s="24">
        <v>0</v>
      </c>
      <c r="D33" s="24">
        <v>1766</v>
      </c>
      <c r="E33" s="24">
        <v>297</v>
      </c>
      <c r="F33" s="24">
        <v>379</v>
      </c>
      <c r="G33" s="24">
        <v>515</v>
      </c>
      <c r="H33" s="9">
        <f t="shared" si="0"/>
        <v>6808</v>
      </c>
      <c r="I33" s="9">
        <v>0</v>
      </c>
      <c r="J33" s="9"/>
      <c r="K33" s="8">
        <v>28</v>
      </c>
      <c r="L33" s="24">
        <v>6</v>
      </c>
      <c r="M33" s="24">
        <v>23</v>
      </c>
      <c r="N33" s="24">
        <v>7</v>
      </c>
      <c r="O33" s="9">
        <f t="shared" si="1"/>
        <v>36</v>
      </c>
      <c r="P33" s="11">
        <f t="shared" si="2"/>
        <v>0</v>
      </c>
    </row>
    <row r="34" spans="1:16" ht="18" customHeight="1" thickTop="1" thickBot="1" x14ac:dyDescent="0.35">
      <c r="A34" s="8">
        <v>29</v>
      </c>
      <c r="B34" s="24">
        <v>5377</v>
      </c>
      <c r="C34" s="24">
        <v>0</v>
      </c>
      <c r="D34" s="24">
        <v>1656</v>
      </c>
      <c r="E34" s="24">
        <v>317</v>
      </c>
      <c r="F34" s="24">
        <v>365</v>
      </c>
      <c r="G34" s="24">
        <v>443</v>
      </c>
      <c r="H34" s="9">
        <f t="shared" si="0"/>
        <v>8158</v>
      </c>
      <c r="I34" s="9">
        <v>0</v>
      </c>
      <c r="J34" s="9"/>
      <c r="K34" s="8">
        <v>29</v>
      </c>
      <c r="L34" s="24">
        <v>2</v>
      </c>
      <c r="M34" s="24">
        <v>12</v>
      </c>
      <c r="N34" s="24">
        <v>6</v>
      </c>
      <c r="O34" s="9">
        <f t="shared" si="1"/>
        <v>20</v>
      </c>
      <c r="P34" s="11">
        <f t="shared" si="2"/>
        <v>0</v>
      </c>
    </row>
    <row r="35" spans="1:16" ht="18" customHeight="1" thickTop="1" thickBot="1" x14ac:dyDescent="0.35">
      <c r="A35" s="8">
        <v>30</v>
      </c>
      <c r="B35" s="24">
        <v>5961</v>
      </c>
      <c r="C35" s="24">
        <v>0</v>
      </c>
      <c r="D35" s="24">
        <v>1462</v>
      </c>
      <c r="E35" s="24">
        <v>290</v>
      </c>
      <c r="F35" s="24">
        <v>339</v>
      </c>
      <c r="G35" s="24">
        <v>371</v>
      </c>
      <c r="H35" s="25">
        <f t="shared" si="0"/>
        <v>8423</v>
      </c>
      <c r="I35" s="25">
        <v>0</v>
      </c>
      <c r="J35" s="25"/>
      <c r="K35" s="26">
        <v>30</v>
      </c>
      <c r="L35" s="24">
        <v>4</v>
      </c>
      <c r="M35" s="24">
        <v>6</v>
      </c>
      <c r="N35" s="24">
        <v>5</v>
      </c>
      <c r="O35" s="25">
        <v>5</v>
      </c>
      <c r="P35" s="11">
        <f t="shared" si="2"/>
        <v>0</v>
      </c>
    </row>
    <row r="36" spans="1:16" ht="18.75" customHeight="1" thickTop="1" thickBot="1" x14ac:dyDescent="0.35">
      <c r="A36" s="8">
        <v>31</v>
      </c>
      <c r="B36" s="24">
        <v>7696</v>
      </c>
      <c r="C36" s="24">
        <v>0</v>
      </c>
      <c r="D36" s="24">
        <v>1141</v>
      </c>
      <c r="E36" s="24">
        <v>158</v>
      </c>
      <c r="F36" s="24">
        <v>209</v>
      </c>
      <c r="G36" s="24">
        <v>318</v>
      </c>
      <c r="H36" s="25">
        <f t="shared" si="0"/>
        <v>9522</v>
      </c>
      <c r="I36" s="9">
        <v>0</v>
      </c>
      <c r="J36" s="9"/>
      <c r="K36" s="8">
        <v>31</v>
      </c>
      <c r="L36" s="24">
        <v>0</v>
      </c>
      <c r="M36" s="24">
        <v>20</v>
      </c>
      <c r="N36" s="24">
        <v>11</v>
      </c>
      <c r="O36" s="9">
        <f>SUM(L36:N36)</f>
        <v>31</v>
      </c>
      <c r="P36" s="11">
        <f t="shared" si="2"/>
        <v>0</v>
      </c>
    </row>
    <row r="37" spans="1:16" ht="18" customHeight="1" thickTop="1" x14ac:dyDescent="0.3">
      <c r="A37" s="5" t="s">
        <v>20</v>
      </c>
      <c r="B37" s="27">
        <f>SUM(B6:B36)</f>
        <v>184129</v>
      </c>
      <c r="C37" s="27">
        <f t="shared" ref="C37" si="3">SUM(C6:C36)</f>
        <v>0</v>
      </c>
      <c r="D37" s="27">
        <f>SUM(D6:D36)</f>
        <v>47259</v>
      </c>
      <c r="E37" s="27">
        <f>SUM(E6:E36)</f>
        <v>8384</v>
      </c>
      <c r="F37" s="27">
        <f>SUM(F6:F36)</f>
        <v>9523</v>
      </c>
      <c r="G37" s="27">
        <f>SUM(G6:G36)</f>
        <v>12408</v>
      </c>
      <c r="H37" s="27">
        <f>SUM(H6:H36)</f>
        <v>261703</v>
      </c>
      <c r="I37" s="27">
        <f>SUM(I6:I33)</f>
        <v>0</v>
      </c>
      <c r="J37" s="27"/>
      <c r="K37" s="27" t="s">
        <v>21</v>
      </c>
      <c r="L37" s="27">
        <f>SUM(L6:L36)</f>
        <v>132</v>
      </c>
      <c r="M37" s="27">
        <f t="shared" ref="M37:O37" si="4">SUM(M6:M36)</f>
        <v>428</v>
      </c>
      <c r="N37" s="27">
        <f t="shared" si="4"/>
        <v>200</v>
      </c>
      <c r="O37" s="27">
        <f t="shared" si="4"/>
        <v>750</v>
      </c>
      <c r="P37" s="27">
        <f>SUM(P6:P36)</f>
        <v>18405</v>
      </c>
    </row>
    <row r="38" spans="1:16" ht="18" customHeight="1" x14ac:dyDescent="0.3">
      <c r="A38" s="5" t="s">
        <v>20</v>
      </c>
      <c r="B38" s="39">
        <f>+B37+C37</f>
        <v>184129</v>
      </c>
      <c r="C38" s="39"/>
      <c r="D38" s="27">
        <f>+D37</f>
        <v>47259</v>
      </c>
      <c r="E38" s="27">
        <f>+E37</f>
        <v>8384</v>
      </c>
      <c r="F38" s="27">
        <f>+F37</f>
        <v>9523</v>
      </c>
      <c r="G38" s="27">
        <f>+G37</f>
        <v>12408</v>
      </c>
      <c r="H38" s="27">
        <f>SUM(B38:G38)</f>
        <v>261703</v>
      </c>
      <c r="I38" s="27">
        <v>0</v>
      </c>
      <c r="J38" s="28"/>
      <c r="K38" s="29"/>
      <c r="L38" s="29" t="s">
        <v>22</v>
      </c>
      <c r="M38" s="29" t="s">
        <v>23</v>
      </c>
      <c r="N38" s="29" t="s">
        <v>22</v>
      </c>
      <c r="O38" s="29"/>
    </row>
    <row r="39" spans="1:16" x14ac:dyDescent="0.3">
      <c r="A39" s="32"/>
      <c r="B39" s="33"/>
      <c r="C39" s="33"/>
      <c r="D39" s="33"/>
      <c r="E39" s="33"/>
      <c r="F39" s="33"/>
      <c r="G39" s="33"/>
      <c r="H39" s="33"/>
      <c r="I39" s="33"/>
      <c r="J39" s="31"/>
      <c r="K39" s="34"/>
      <c r="L39" s="35"/>
    </row>
    <row r="41" spans="1:16" x14ac:dyDescent="0.3">
      <c r="A41" s="36"/>
    </row>
    <row r="42" spans="1:16" x14ac:dyDescent="0.3">
      <c r="A42" s="36"/>
      <c r="B42" s="12"/>
      <c r="C42" s="12"/>
      <c r="D42" s="12"/>
      <c r="E42" s="12"/>
      <c r="F42" s="12"/>
      <c r="H42" s="12"/>
      <c r="I42" s="12"/>
      <c r="J42" s="12"/>
      <c r="K42" s="37"/>
      <c r="L42" s="12"/>
      <c r="M42" s="12"/>
      <c r="N42" s="12"/>
      <c r="O42" s="12"/>
    </row>
  </sheetData>
  <mergeCells count="13">
    <mergeCell ref="N4:N5"/>
    <mergeCell ref="O4:O5"/>
    <mergeCell ref="B38:C38"/>
    <mergeCell ref="A1:O1"/>
    <mergeCell ref="A2:O2"/>
    <mergeCell ref="A3:O3"/>
    <mergeCell ref="A4:A5"/>
    <mergeCell ref="B4:C4"/>
    <mergeCell ref="H4:H5"/>
    <mergeCell ref="I4:I5"/>
    <mergeCell ref="K4:K5"/>
    <mergeCell ref="L4:L5"/>
    <mergeCell ref="M4:M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FF3AA-D8AB-4B4B-AC0B-7269F4B56E69}">
  <dimension ref="A1:Z42"/>
  <sheetViews>
    <sheetView workbookViewId="0">
      <selection activeCell="D41" sqref="D41"/>
    </sheetView>
  </sheetViews>
  <sheetFormatPr baseColWidth="10" defaultColWidth="11.44140625" defaultRowHeight="13.8" x14ac:dyDescent="0.3"/>
  <cols>
    <col min="1" max="1" width="15.33203125" style="6" customWidth="1"/>
    <col min="2" max="2" width="12.6640625" style="6" customWidth="1"/>
    <col min="3" max="3" width="9.6640625" style="6" customWidth="1"/>
    <col min="4" max="9" width="12.6640625" style="6" customWidth="1"/>
    <col min="10" max="10" width="4.6640625" style="6" customWidth="1"/>
    <col min="11" max="11" width="12.5546875" style="30" customWidth="1"/>
    <col min="12" max="15" width="12.5546875" style="6" customWidth="1"/>
    <col min="16" max="16" width="0" style="6" hidden="1" customWidth="1"/>
    <col min="17" max="16384" width="11.44140625" style="6"/>
  </cols>
  <sheetData>
    <row r="1" spans="1:19" s="1" customFormat="1" ht="15.6" x14ac:dyDescent="0.3">
      <c r="A1" s="40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</row>
    <row r="2" spans="1:19" s="1" customFormat="1" ht="15.6" x14ac:dyDescent="0.3">
      <c r="A2" s="40" t="s">
        <v>24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</row>
    <row r="3" spans="1:19" s="1" customFormat="1" ht="15.6" x14ac:dyDescent="0.3">
      <c r="A3" s="41" t="s">
        <v>33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</row>
    <row r="4" spans="1:19" ht="82.5" customHeight="1" x14ac:dyDescent="0.3">
      <c r="A4" s="42" t="s">
        <v>2</v>
      </c>
      <c r="B4" s="38" t="s">
        <v>3</v>
      </c>
      <c r="C4" s="38"/>
      <c r="D4" s="3" t="s">
        <v>4</v>
      </c>
      <c r="E4" s="3" t="s">
        <v>5</v>
      </c>
      <c r="F4" s="3" t="s">
        <v>6</v>
      </c>
      <c r="G4" s="3" t="s">
        <v>7</v>
      </c>
      <c r="H4" s="38" t="s">
        <v>8</v>
      </c>
      <c r="I4" s="38" t="s">
        <v>9</v>
      </c>
      <c r="J4" s="4"/>
      <c r="K4" s="44" t="s">
        <v>2</v>
      </c>
      <c r="L4" s="38" t="s">
        <v>10</v>
      </c>
      <c r="M4" s="38" t="s">
        <v>11</v>
      </c>
      <c r="N4" s="38" t="s">
        <v>12</v>
      </c>
      <c r="O4" s="38" t="s">
        <v>13</v>
      </c>
    </row>
    <row r="5" spans="1:19" ht="21" customHeight="1" x14ac:dyDescent="0.3">
      <c r="A5" s="43"/>
      <c r="B5" s="5" t="s">
        <v>14</v>
      </c>
      <c r="C5" s="5" t="s">
        <v>15</v>
      </c>
      <c r="D5" s="5" t="s">
        <v>16</v>
      </c>
      <c r="E5" s="5" t="s">
        <v>17</v>
      </c>
      <c r="F5" s="5" t="s">
        <v>18</v>
      </c>
      <c r="G5" s="5" t="s">
        <v>19</v>
      </c>
      <c r="H5" s="38"/>
      <c r="I5" s="38"/>
      <c r="J5" s="4"/>
      <c r="K5" s="44"/>
      <c r="L5" s="38"/>
      <c r="M5" s="38"/>
      <c r="N5" s="38"/>
      <c r="O5" s="38"/>
    </row>
    <row r="6" spans="1:19" ht="18" customHeight="1" thickBot="1" x14ac:dyDescent="0.35">
      <c r="A6" s="8">
        <v>1</v>
      </c>
      <c r="B6" s="9">
        <v>3831</v>
      </c>
      <c r="C6" s="9">
        <v>0</v>
      </c>
      <c r="D6" s="9">
        <v>1384</v>
      </c>
      <c r="E6" s="9">
        <v>312</v>
      </c>
      <c r="F6" s="9">
        <v>268</v>
      </c>
      <c r="G6" s="9">
        <v>392</v>
      </c>
      <c r="H6" s="9">
        <f>SUM(B6:G6)</f>
        <v>6187</v>
      </c>
      <c r="I6" s="9">
        <v>0</v>
      </c>
      <c r="J6" s="10"/>
      <c r="K6" s="8">
        <v>1</v>
      </c>
      <c r="L6" s="9">
        <v>4</v>
      </c>
      <c r="M6" s="9">
        <v>10</v>
      </c>
      <c r="N6" s="9">
        <v>4</v>
      </c>
      <c r="O6" s="9">
        <f>SUM(L6:N6)</f>
        <v>18</v>
      </c>
      <c r="P6" s="11">
        <v>6135</v>
      </c>
    </row>
    <row r="7" spans="1:19" ht="18" customHeight="1" thickTop="1" thickBot="1" x14ac:dyDescent="0.35">
      <c r="A7" s="8">
        <v>2</v>
      </c>
      <c r="B7" s="9">
        <v>3712</v>
      </c>
      <c r="C7" s="9">
        <v>0</v>
      </c>
      <c r="D7" s="9">
        <v>1720</v>
      </c>
      <c r="E7" s="9">
        <v>285</v>
      </c>
      <c r="F7" s="9">
        <v>328</v>
      </c>
      <c r="G7" s="9">
        <v>415</v>
      </c>
      <c r="H7" s="9">
        <f t="shared" ref="H7:H36" si="0">SUM(B7:G7)</f>
        <v>6460</v>
      </c>
      <c r="I7" s="9">
        <v>0</v>
      </c>
      <c r="J7" s="10"/>
      <c r="K7" s="8">
        <v>2</v>
      </c>
      <c r="L7" s="9">
        <v>7</v>
      </c>
      <c r="M7" s="9">
        <v>14</v>
      </c>
      <c r="N7" s="9">
        <v>6</v>
      </c>
      <c r="O7" s="9">
        <f t="shared" ref="O7:O37" si="1">SUM(L7:N7)</f>
        <v>27</v>
      </c>
      <c r="P7" s="11">
        <f>+P6</f>
        <v>6135</v>
      </c>
    </row>
    <row r="8" spans="1:19" ht="18" customHeight="1" thickTop="1" thickBot="1" x14ac:dyDescent="0.35">
      <c r="A8" s="8">
        <v>3</v>
      </c>
      <c r="B8" s="9">
        <v>3812</v>
      </c>
      <c r="C8" s="9">
        <v>0</v>
      </c>
      <c r="D8" s="9">
        <v>1792</v>
      </c>
      <c r="E8" s="9">
        <v>360</v>
      </c>
      <c r="F8" s="9">
        <v>384</v>
      </c>
      <c r="G8" s="9">
        <v>463</v>
      </c>
      <c r="H8" s="9">
        <f t="shared" si="0"/>
        <v>6811</v>
      </c>
      <c r="I8" s="9">
        <v>0</v>
      </c>
      <c r="J8" s="10"/>
      <c r="K8" s="8">
        <v>3</v>
      </c>
      <c r="L8" s="9">
        <v>3</v>
      </c>
      <c r="M8" s="9">
        <v>10</v>
      </c>
      <c r="N8" s="9">
        <v>4</v>
      </c>
      <c r="O8" s="9">
        <f t="shared" si="1"/>
        <v>17</v>
      </c>
      <c r="P8" s="11">
        <f t="shared" ref="P8:P36" si="2">+P7</f>
        <v>6135</v>
      </c>
      <c r="S8" s="12"/>
    </row>
    <row r="9" spans="1:19" ht="18" customHeight="1" thickTop="1" thickBot="1" x14ac:dyDescent="0.35">
      <c r="A9" s="8">
        <v>4</v>
      </c>
      <c r="B9" s="9">
        <v>3864</v>
      </c>
      <c r="C9" s="9">
        <v>0</v>
      </c>
      <c r="D9" s="9">
        <v>1791</v>
      </c>
      <c r="E9" s="9">
        <v>328</v>
      </c>
      <c r="F9" s="9">
        <v>355</v>
      </c>
      <c r="G9" s="9">
        <v>500</v>
      </c>
      <c r="H9" s="9">
        <f t="shared" si="0"/>
        <v>6838</v>
      </c>
      <c r="I9" s="9">
        <v>0</v>
      </c>
      <c r="J9" s="10"/>
      <c r="K9" s="8">
        <v>4</v>
      </c>
      <c r="L9" s="9">
        <v>4</v>
      </c>
      <c r="M9" s="9">
        <v>14</v>
      </c>
      <c r="N9" s="9">
        <v>1</v>
      </c>
      <c r="O9" s="9">
        <f t="shared" si="1"/>
        <v>19</v>
      </c>
      <c r="P9" s="11">
        <v>0</v>
      </c>
    </row>
    <row r="10" spans="1:19" ht="18" customHeight="1" thickTop="1" thickBot="1" x14ac:dyDescent="0.35">
      <c r="A10" s="8">
        <v>5</v>
      </c>
      <c r="B10" s="9">
        <v>5329</v>
      </c>
      <c r="C10" s="9">
        <v>0</v>
      </c>
      <c r="D10" s="9">
        <v>1663</v>
      </c>
      <c r="E10" s="9">
        <v>353</v>
      </c>
      <c r="F10" s="9">
        <v>332</v>
      </c>
      <c r="G10" s="9">
        <v>446</v>
      </c>
      <c r="H10" s="9">
        <f t="shared" si="0"/>
        <v>8123</v>
      </c>
      <c r="I10" s="9">
        <v>0</v>
      </c>
      <c r="J10" s="10"/>
      <c r="K10" s="8">
        <v>5</v>
      </c>
      <c r="L10" s="9">
        <v>8</v>
      </c>
      <c r="M10" s="9">
        <v>15</v>
      </c>
      <c r="N10" s="9">
        <v>8</v>
      </c>
      <c r="O10" s="9">
        <f t="shared" si="1"/>
        <v>31</v>
      </c>
      <c r="P10" s="11">
        <f t="shared" si="2"/>
        <v>0</v>
      </c>
    </row>
    <row r="11" spans="1:19" ht="18" customHeight="1" thickTop="1" thickBot="1" x14ac:dyDescent="0.35">
      <c r="A11" s="8">
        <v>6</v>
      </c>
      <c r="B11" s="9">
        <v>6285</v>
      </c>
      <c r="C11" s="9">
        <v>0</v>
      </c>
      <c r="D11" s="9">
        <v>1528</v>
      </c>
      <c r="E11" s="9">
        <v>265</v>
      </c>
      <c r="F11" s="9">
        <v>353</v>
      </c>
      <c r="G11" s="9">
        <v>369</v>
      </c>
      <c r="H11" s="9">
        <f t="shared" si="0"/>
        <v>8800</v>
      </c>
      <c r="I11" s="9">
        <v>0</v>
      </c>
      <c r="J11" s="10"/>
      <c r="K11" s="8">
        <v>6</v>
      </c>
      <c r="L11" s="9">
        <v>4</v>
      </c>
      <c r="M11" s="9">
        <v>23</v>
      </c>
      <c r="N11" s="9">
        <v>7</v>
      </c>
      <c r="O11" s="9">
        <f t="shared" si="1"/>
        <v>34</v>
      </c>
      <c r="P11" s="11">
        <f t="shared" si="2"/>
        <v>0</v>
      </c>
    </row>
    <row r="12" spans="1:19" ht="18" customHeight="1" thickTop="1" thickBot="1" x14ac:dyDescent="0.35">
      <c r="A12" s="8">
        <v>7</v>
      </c>
      <c r="B12" s="9">
        <v>7856</v>
      </c>
      <c r="C12" s="9">
        <v>0</v>
      </c>
      <c r="D12" s="9">
        <v>1176</v>
      </c>
      <c r="E12" s="9">
        <v>194</v>
      </c>
      <c r="F12" s="9">
        <v>186</v>
      </c>
      <c r="G12" s="9">
        <v>294</v>
      </c>
      <c r="H12" s="9">
        <f t="shared" si="0"/>
        <v>9706</v>
      </c>
      <c r="I12" s="9">
        <v>0</v>
      </c>
      <c r="J12" s="13"/>
      <c r="K12" s="8">
        <v>7</v>
      </c>
      <c r="L12" s="9">
        <v>1</v>
      </c>
      <c r="M12" s="9">
        <v>7</v>
      </c>
      <c r="N12" s="9">
        <v>3</v>
      </c>
      <c r="O12" s="9">
        <f t="shared" si="1"/>
        <v>11</v>
      </c>
      <c r="P12" s="11">
        <f t="shared" si="2"/>
        <v>0</v>
      </c>
    </row>
    <row r="13" spans="1:19" ht="18" customHeight="1" thickTop="1" thickBot="1" x14ac:dyDescent="0.35">
      <c r="A13" s="8">
        <v>8</v>
      </c>
      <c r="B13" s="9">
        <v>3984</v>
      </c>
      <c r="C13" s="9">
        <v>0</v>
      </c>
      <c r="D13" s="9">
        <v>1428</v>
      </c>
      <c r="E13" s="9">
        <v>341</v>
      </c>
      <c r="F13" s="9">
        <v>279</v>
      </c>
      <c r="G13" s="9">
        <v>418</v>
      </c>
      <c r="H13" s="9">
        <f t="shared" si="0"/>
        <v>6450</v>
      </c>
      <c r="I13" s="9">
        <v>0</v>
      </c>
      <c r="J13" s="13"/>
      <c r="K13" s="8">
        <v>8</v>
      </c>
      <c r="L13" s="9">
        <v>1</v>
      </c>
      <c r="M13" s="9">
        <v>19</v>
      </c>
      <c r="N13" s="9">
        <v>5</v>
      </c>
      <c r="O13" s="9">
        <f t="shared" si="1"/>
        <v>25</v>
      </c>
      <c r="P13" s="11">
        <f t="shared" si="2"/>
        <v>0</v>
      </c>
    </row>
    <row r="14" spans="1:19" s="15" customFormat="1" ht="18" customHeight="1" thickTop="1" thickBot="1" x14ac:dyDescent="0.35">
      <c r="A14" s="8">
        <v>9</v>
      </c>
      <c r="B14" s="9">
        <v>3498</v>
      </c>
      <c r="C14" s="9">
        <v>0</v>
      </c>
      <c r="D14" s="9">
        <v>1746</v>
      </c>
      <c r="E14" s="9">
        <v>357</v>
      </c>
      <c r="F14" s="9">
        <v>340</v>
      </c>
      <c r="G14" s="9">
        <v>476</v>
      </c>
      <c r="H14" s="9">
        <f t="shared" si="0"/>
        <v>6417</v>
      </c>
      <c r="I14" s="9">
        <v>0</v>
      </c>
      <c r="J14" s="13"/>
      <c r="K14" s="8">
        <v>9</v>
      </c>
      <c r="L14" s="9">
        <v>0</v>
      </c>
      <c r="M14" s="9">
        <v>16</v>
      </c>
      <c r="N14" s="9">
        <v>9</v>
      </c>
      <c r="O14" s="9">
        <f t="shared" si="1"/>
        <v>25</v>
      </c>
      <c r="P14" s="14">
        <f t="shared" si="2"/>
        <v>0</v>
      </c>
    </row>
    <row r="15" spans="1:19" ht="18" customHeight="1" thickTop="1" thickBot="1" x14ac:dyDescent="0.35">
      <c r="A15" s="8">
        <v>10</v>
      </c>
      <c r="B15" s="9">
        <v>3508</v>
      </c>
      <c r="C15" s="9">
        <v>0</v>
      </c>
      <c r="D15" s="9">
        <v>1799</v>
      </c>
      <c r="E15" s="9">
        <v>374</v>
      </c>
      <c r="F15" s="9">
        <v>381</v>
      </c>
      <c r="G15" s="9">
        <v>506</v>
      </c>
      <c r="H15" s="9">
        <f t="shared" si="0"/>
        <v>6568</v>
      </c>
      <c r="I15" s="9">
        <v>0</v>
      </c>
      <c r="J15" s="13"/>
      <c r="K15" s="8">
        <v>10</v>
      </c>
      <c r="L15" s="9">
        <v>20</v>
      </c>
      <c r="M15" s="9">
        <v>19</v>
      </c>
      <c r="N15" s="9">
        <v>3</v>
      </c>
      <c r="O15" s="9">
        <f t="shared" si="1"/>
        <v>42</v>
      </c>
      <c r="P15" s="11">
        <f t="shared" si="2"/>
        <v>0</v>
      </c>
    </row>
    <row r="16" spans="1:19" ht="18" customHeight="1" thickTop="1" thickBot="1" x14ac:dyDescent="0.35">
      <c r="A16" s="8">
        <v>11</v>
      </c>
      <c r="B16" s="9">
        <v>3905</v>
      </c>
      <c r="C16" s="9">
        <v>0</v>
      </c>
      <c r="D16" s="9">
        <v>1775</v>
      </c>
      <c r="E16" s="9">
        <v>363</v>
      </c>
      <c r="F16" s="9">
        <v>407</v>
      </c>
      <c r="G16" s="9">
        <v>496</v>
      </c>
      <c r="H16" s="9">
        <f t="shared" si="0"/>
        <v>6946</v>
      </c>
      <c r="I16" s="9">
        <v>0</v>
      </c>
      <c r="J16" s="13"/>
      <c r="K16" s="8">
        <v>11</v>
      </c>
      <c r="L16" s="9">
        <v>1</v>
      </c>
      <c r="M16" s="9">
        <v>15</v>
      </c>
      <c r="N16" s="9">
        <v>4</v>
      </c>
      <c r="O16" s="9">
        <f t="shared" si="1"/>
        <v>20</v>
      </c>
      <c r="P16" s="11">
        <f t="shared" si="2"/>
        <v>0</v>
      </c>
    </row>
    <row r="17" spans="1:26" ht="16.5" customHeight="1" thickTop="1" thickBot="1" x14ac:dyDescent="0.35">
      <c r="A17" s="8">
        <v>12</v>
      </c>
      <c r="B17" s="9">
        <v>5335</v>
      </c>
      <c r="C17" s="9">
        <v>0</v>
      </c>
      <c r="D17" s="9">
        <v>1746</v>
      </c>
      <c r="E17" s="9">
        <v>317</v>
      </c>
      <c r="F17" s="9">
        <v>355</v>
      </c>
      <c r="G17" s="9">
        <v>434</v>
      </c>
      <c r="H17" s="9">
        <f t="shared" si="0"/>
        <v>8187</v>
      </c>
      <c r="I17" s="9">
        <v>0</v>
      </c>
      <c r="J17" s="13"/>
      <c r="K17" s="8">
        <v>12</v>
      </c>
      <c r="L17" s="9">
        <v>3</v>
      </c>
      <c r="M17" s="9">
        <v>17</v>
      </c>
      <c r="N17" s="9">
        <v>5</v>
      </c>
      <c r="O17" s="9">
        <f t="shared" si="1"/>
        <v>25</v>
      </c>
      <c r="P17" s="11">
        <f t="shared" si="2"/>
        <v>0</v>
      </c>
    </row>
    <row r="18" spans="1:26" ht="18" customHeight="1" thickTop="1" thickBot="1" x14ac:dyDescent="0.35">
      <c r="A18" s="8">
        <v>13</v>
      </c>
      <c r="B18" s="9">
        <v>6206</v>
      </c>
      <c r="C18" s="9">
        <v>0</v>
      </c>
      <c r="D18" s="9">
        <v>1510</v>
      </c>
      <c r="E18" s="9">
        <v>275</v>
      </c>
      <c r="F18" s="9">
        <v>387</v>
      </c>
      <c r="G18" s="9">
        <v>407</v>
      </c>
      <c r="H18" s="9">
        <f t="shared" si="0"/>
        <v>8785</v>
      </c>
      <c r="I18" s="9">
        <v>0</v>
      </c>
      <c r="J18" s="13"/>
      <c r="K18" s="8">
        <v>13</v>
      </c>
      <c r="L18" s="9">
        <v>4</v>
      </c>
      <c r="M18" s="9">
        <v>14</v>
      </c>
      <c r="N18" s="9">
        <v>8</v>
      </c>
      <c r="O18" s="9">
        <f t="shared" si="1"/>
        <v>26</v>
      </c>
      <c r="P18" s="11">
        <f t="shared" si="2"/>
        <v>0</v>
      </c>
    </row>
    <row r="19" spans="1:26" ht="18" customHeight="1" thickTop="1" thickBot="1" x14ac:dyDescent="0.35">
      <c r="A19" s="8">
        <v>14</v>
      </c>
      <c r="B19" s="9">
        <v>7428</v>
      </c>
      <c r="C19" s="9">
        <v>0</v>
      </c>
      <c r="D19" s="9">
        <v>1150</v>
      </c>
      <c r="E19" s="9">
        <v>188</v>
      </c>
      <c r="F19" s="9">
        <v>196</v>
      </c>
      <c r="G19" s="9">
        <v>297</v>
      </c>
      <c r="H19" s="9">
        <f t="shared" si="0"/>
        <v>9259</v>
      </c>
      <c r="I19" s="9">
        <v>0</v>
      </c>
      <c r="J19" s="13"/>
      <c r="K19" s="8">
        <v>14</v>
      </c>
      <c r="L19" s="9">
        <v>0</v>
      </c>
      <c r="M19" s="9">
        <v>2</v>
      </c>
      <c r="N19" s="9">
        <v>3</v>
      </c>
      <c r="O19" s="9">
        <f t="shared" si="1"/>
        <v>5</v>
      </c>
      <c r="P19" s="11">
        <f t="shared" si="2"/>
        <v>0</v>
      </c>
    </row>
    <row r="20" spans="1:26" ht="18" customHeight="1" thickTop="1" thickBot="1" x14ac:dyDescent="0.35">
      <c r="A20" s="8">
        <v>15</v>
      </c>
      <c r="B20" s="9">
        <v>4012</v>
      </c>
      <c r="C20" s="9">
        <v>0</v>
      </c>
      <c r="D20" s="9">
        <v>1344</v>
      </c>
      <c r="E20" s="9">
        <v>343</v>
      </c>
      <c r="F20" s="9">
        <v>280</v>
      </c>
      <c r="G20" s="9">
        <v>437</v>
      </c>
      <c r="H20" s="9">
        <f t="shared" si="0"/>
        <v>6416</v>
      </c>
      <c r="I20" s="9">
        <v>0</v>
      </c>
      <c r="J20" s="13"/>
      <c r="K20" s="8">
        <v>15</v>
      </c>
      <c r="L20" s="9">
        <v>1</v>
      </c>
      <c r="M20" s="9">
        <v>12</v>
      </c>
      <c r="N20" s="9">
        <v>4</v>
      </c>
      <c r="O20" s="9">
        <f t="shared" si="1"/>
        <v>17</v>
      </c>
      <c r="P20" s="11">
        <f t="shared" si="2"/>
        <v>0</v>
      </c>
    </row>
    <row r="21" spans="1:26" ht="18" customHeight="1" thickTop="1" thickBot="1" x14ac:dyDescent="0.35">
      <c r="A21" s="8">
        <v>16</v>
      </c>
      <c r="B21" s="9">
        <v>3291</v>
      </c>
      <c r="C21" s="9">
        <v>0</v>
      </c>
      <c r="D21" s="9">
        <v>1541</v>
      </c>
      <c r="E21" s="9">
        <v>286</v>
      </c>
      <c r="F21" s="9">
        <v>315</v>
      </c>
      <c r="G21" s="9">
        <v>435</v>
      </c>
      <c r="H21" s="9">
        <f t="shared" si="0"/>
        <v>5868</v>
      </c>
      <c r="I21" s="9">
        <v>0</v>
      </c>
      <c r="J21" s="13"/>
      <c r="K21" s="8">
        <v>16</v>
      </c>
      <c r="L21" s="9">
        <v>1</v>
      </c>
      <c r="M21" s="9">
        <v>4</v>
      </c>
      <c r="N21" s="9">
        <v>9</v>
      </c>
      <c r="O21" s="9">
        <f t="shared" si="1"/>
        <v>14</v>
      </c>
      <c r="P21" s="11">
        <f>+P20</f>
        <v>0</v>
      </c>
    </row>
    <row r="22" spans="1:26" ht="18" customHeight="1" thickTop="1" thickBot="1" x14ac:dyDescent="0.35">
      <c r="A22" s="8">
        <v>17</v>
      </c>
      <c r="B22" s="9">
        <v>3442</v>
      </c>
      <c r="C22" s="9">
        <v>0</v>
      </c>
      <c r="D22" s="9">
        <v>1712</v>
      </c>
      <c r="E22" s="9">
        <v>290</v>
      </c>
      <c r="F22" s="9">
        <v>324</v>
      </c>
      <c r="G22" s="9">
        <v>449</v>
      </c>
      <c r="H22" s="9">
        <f t="shared" si="0"/>
        <v>6217</v>
      </c>
      <c r="I22" s="9">
        <v>0</v>
      </c>
      <c r="J22" s="13"/>
      <c r="K22" s="8">
        <v>17</v>
      </c>
      <c r="L22" s="9">
        <v>0</v>
      </c>
      <c r="M22" s="9">
        <v>8</v>
      </c>
      <c r="N22" s="9">
        <v>11</v>
      </c>
      <c r="O22" s="9">
        <f t="shared" si="1"/>
        <v>19</v>
      </c>
      <c r="P22" s="11">
        <f t="shared" si="2"/>
        <v>0</v>
      </c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18" customHeight="1" thickTop="1" thickBot="1" x14ac:dyDescent="0.35">
      <c r="A23" s="8">
        <v>18</v>
      </c>
      <c r="B23" s="9">
        <v>3903</v>
      </c>
      <c r="C23" s="9">
        <v>0</v>
      </c>
      <c r="D23" s="9">
        <v>1773</v>
      </c>
      <c r="E23" s="9">
        <v>321</v>
      </c>
      <c r="F23" s="9">
        <v>359</v>
      </c>
      <c r="G23" s="9">
        <v>465</v>
      </c>
      <c r="H23" s="9">
        <f t="shared" si="0"/>
        <v>6821</v>
      </c>
      <c r="I23" s="9">
        <v>0</v>
      </c>
      <c r="J23" s="13"/>
      <c r="K23" s="8">
        <v>18</v>
      </c>
      <c r="L23" s="9">
        <v>1</v>
      </c>
      <c r="M23" s="9">
        <v>7</v>
      </c>
      <c r="N23" s="9">
        <v>7</v>
      </c>
      <c r="O23" s="9">
        <f t="shared" si="1"/>
        <v>15</v>
      </c>
      <c r="P23" s="11">
        <f t="shared" si="2"/>
        <v>0</v>
      </c>
    </row>
    <row r="24" spans="1:26" ht="18" customHeight="1" thickTop="1" thickBot="1" x14ac:dyDescent="0.35">
      <c r="A24" s="8">
        <v>19</v>
      </c>
      <c r="B24" s="9">
        <v>5184</v>
      </c>
      <c r="C24" s="9">
        <v>0</v>
      </c>
      <c r="D24" s="9">
        <v>1607</v>
      </c>
      <c r="E24" s="9">
        <v>285</v>
      </c>
      <c r="F24" s="9">
        <v>318</v>
      </c>
      <c r="G24" s="9">
        <v>442</v>
      </c>
      <c r="H24" s="9">
        <f>SUM(B24:G24)</f>
        <v>7836</v>
      </c>
      <c r="I24" s="9">
        <v>0</v>
      </c>
      <c r="J24" s="13"/>
      <c r="K24" s="8">
        <v>19</v>
      </c>
      <c r="L24" s="9">
        <v>2</v>
      </c>
      <c r="M24" s="9">
        <v>24</v>
      </c>
      <c r="N24" s="9">
        <v>7</v>
      </c>
      <c r="O24" s="9">
        <f t="shared" si="1"/>
        <v>33</v>
      </c>
      <c r="P24" s="11">
        <f t="shared" si="2"/>
        <v>0</v>
      </c>
    </row>
    <row r="25" spans="1:26" ht="18" customHeight="1" thickTop="1" thickBot="1" x14ac:dyDescent="0.35">
      <c r="A25" s="8">
        <v>20</v>
      </c>
      <c r="B25" s="9">
        <v>6095</v>
      </c>
      <c r="C25" s="9">
        <v>0</v>
      </c>
      <c r="D25" s="9">
        <v>1430</v>
      </c>
      <c r="E25" s="9">
        <v>266</v>
      </c>
      <c r="F25" s="9">
        <v>313</v>
      </c>
      <c r="G25" s="9">
        <v>365</v>
      </c>
      <c r="H25" s="9">
        <f>SUM(B25:G25)</f>
        <v>8469</v>
      </c>
      <c r="I25" s="9">
        <v>0</v>
      </c>
      <c r="J25" s="13"/>
      <c r="K25" s="8">
        <v>20</v>
      </c>
      <c r="L25" s="9">
        <v>3</v>
      </c>
      <c r="M25" s="9">
        <v>9</v>
      </c>
      <c r="N25" s="9">
        <v>4</v>
      </c>
      <c r="O25" s="9">
        <f t="shared" si="1"/>
        <v>16</v>
      </c>
      <c r="P25" s="11">
        <f t="shared" si="2"/>
        <v>0</v>
      </c>
    </row>
    <row r="26" spans="1:26" ht="18" customHeight="1" thickTop="1" thickBot="1" x14ac:dyDescent="0.35">
      <c r="A26" s="8">
        <v>21</v>
      </c>
      <c r="B26" s="9">
        <v>7432</v>
      </c>
      <c r="C26" s="9">
        <v>0</v>
      </c>
      <c r="D26" s="9">
        <v>1060</v>
      </c>
      <c r="E26" s="9">
        <v>174</v>
      </c>
      <c r="F26" s="9">
        <v>165</v>
      </c>
      <c r="G26" s="9">
        <v>280</v>
      </c>
      <c r="H26" s="9">
        <f t="shared" si="0"/>
        <v>9111</v>
      </c>
      <c r="I26" s="9">
        <v>0</v>
      </c>
      <c r="J26" s="13"/>
      <c r="K26" s="8">
        <v>21</v>
      </c>
      <c r="L26" s="9">
        <v>0</v>
      </c>
      <c r="M26" s="9">
        <v>4</v>
      </c>
      <c r="N26" s="9">
        <v>3</v>
      </c>
      <c r="O26" s="9">
        <f t="shared" si="1"/>
        <v>7</v>
      </c>
      <c r="P26" s="11">
        <f t="shared" si="2"/>
        <v>0</v>
      </c>
    </row>
    <row r="27" spans="1:26" ht="18" customHeight="1" thickTop="1" thickBot="1" x14ac:dyDescent="0.35">
      <c r="A27" s="17">
        <v>22</v>
      </c>
      <c r="B27" s="18">
        <v>3924</v>
      </c>
      <c r="C27" s="18">
        <v>0</v>
      </c>
      <c r="D27" s="18">
        <v>1417</v>
      </c>
      <c r="E27" s="18">
        <v>331</v>
      </c>
      <c r="F27" s="18">
        <v>259</v>
      </c>
      <c r="G27" s="18">
        <v>381</v>
      </c>
      <c r="H27" s="18">
        <f t="shared" si="0"/>
        <v>6312</v>
      </c>
      <c r="I27" s="18">
        <v>0</v>
      </c>
      <c r="J27" s="19"/>
      <c r="K27" s="17">
        <v>22</v>
      </c>
      <c r="L27" s="18">
        <v>2</v>
      </c>
      <c r="M27" s="18">
        <v>8</v>
      </c>
      <c r="N27" s="18">
        <v>7</v>
      </c>
      <c r="O27" s="9">
        <f t="shared" si="1"/>
        <v>17</v>
      </c>
      <c r="P27" s="11">
        <f t="shared" si="2"/>
        <v>0</v>
      </c>
    </row>
    <row r="28" spans="1:26" ht="18" customHeight="1" thickTop="1" thickBot="1" x14ac:dyDescent="0.35">
      <c r="A28" s="8">
        <v>23</v>
      </c>
      <c r="B28" s="9">
        <v>3451</v>
      </c>
      <c r="C28" s="9">
        <v>0</v>
      </c>
      <c r="D28" s="9">
        <v>1714</v>
      </c>
      <c r="E28" s="9">
        <v>333</v>
      </c>
      <c r="F28" s="9">
        <v>323</v>
      </c>
      <c r="G28" s="9">
        <v>448</v>
      </c>
      <c r="H28" s="18">
        <f t="shared" si="0"/>
        <v>6269</v>
      </c>
      <c r="I28" s="9">
        <v>0</v>
      </c>
      <c r="J28" s="13"/>
      <c r="K28" s="8">
        <v>23</v>
      </c>
      <c r="L28" s="9">
        <v>15</v>
      </c>
      <c r="M28" s="9">
        <v>17</v>
      </c>
      <c r="N28" s="9">
        <v>3</v>
      </c>
      <c r="O28" s="9">
        <f t="shared" si="1"/>
        <v>35</v>
      </c>
      <c r="P28" s="11">
        <f t="shared" si="2"/>
        <v>0</v>
      </c>
    </row>
    <row r="29" spans="1:26" ht="18" customHeight="1" thickTop="1" thickBot="1" x14ac:dyDescent="0.35">
      <c r="A29" s="8">
        <v>24</v>
      </c>
      <c r="B29" s="9">
        <v>3545</v>
      </c>
      <c r="C29" s="9">
        <v>0</v>
      </c>
      <c r="D29" s="9">
        <v>1817</v>
      </c>
      <c r="E29" s="9">
        <v>364</v>
      </c>
      <c r="F29" s="9">
        <v>389</v>
      </c>
      <c r="G29" s="9">
        <v>480</v>
      </c>
      <c r="H29" s="9">
        <f t="shared" si="0"/>
        <v>6595</v>
      </c>
      <c r="I29" s="9">
        <v>0</v>
      </c>
      <c r="J29" s="13"/>
      <c r="K29" s="8">
        <v>24</v>
      </c>
      <c r="L29" s="9">
        <v>5</v>
      </c>
      <c r="M29" s="9">
        <v>21</v>
      </c>
      <c r="N29" s="9">
        <v>3</v>
      </c>
      <c r="O29" s="9">
        <f t="shared" si="1"/>
        <v>29</v>
      </c>
      <c r="P29" s="11">
        <f t="shared" si="2"/>
        <v>0</v>
      </c>
    </row>
    <row r="30" spans="1:26" ht="18" customHeight="1" thickTop="1" thickBot="1" x14ac:dyDescent="0.35">
      <c r="A30" s="8">
        <v>25</v>
      </c>
      <c r="B30" s="9">
        <v>3996</v>
      </c>
      <c r="C30" s="9">
        <v>0</v>
      </c>
      <c r="D30" s="9">
        <v>1929</v>
      </c>
      <c r="E30" s="9">
        <v>371</v>
      </c>
      <c r="F30" s="9">
        <v>358</v>
      </c>
      <c r="G30" s="9">
        <v>506</v>
      </c>
      <c r="H30" s="9">
        <f t="shared" si="0"/>
        <v>7160</v>
      </c>
      <c r="I30" s="9">
        <v>0</v>
      </c>
      <c r="J30" s="13"/>
      <c r="K30" s="8">
        <v>25</v>
      </c>
      <c r="L30" s="9">
        <v>0</v>
      </c>
      <c r="M30" s="9">
        <v>16</v>
      </c>
      <c r="N30" s="9">
        <v>4</v>
      </c>
      <c r="O30" s="9">
        <f t="shared" si="1"/>
        <v>20</v>
      </c>
      <c r="P30" s="11">
        <f t="shared" si="2"/>
        <v>0</v>
      </c>
    </row>
    <row r="31" spans="1:26" ht="18" customHeight="1" thickTop="1" thickBot="1" x14ac:dyDescent="0.35">
      <c r="A31" s="8">
        <v>26</v>
      </c>
      <c r="B31" s="20">
        <v>5391</v>
      </c>
      <c r="C31" s="20">
        <v>0</v>
      </c>
      <c r="D31" s="20">
        <v>1773</v>
      </c>
      <c r="E31" s="20">
        <v>340</v>
      </c>
      <c r="F31" s="21">
        <v>336</v>
      </c>
      <c r="G31" s="20">
        <v>481</v>
      </c>
      <c r="H31" s="22">
        <f t="shared" si="0"/>
        <v>8321</v>
      </c>
      <c r="I31" s="22">
        <v>0</v>
      </c>
      <c r="J31" s="13"/>
      <c r="K31" s="23">
        <v>26</v>
      </c>
      <c r="L31" s="20">
        <v>8</v>
      </c>
      <c r="M31" s="20">
        <v>8</v>
      </c>
      <c r="N31" s="20">
        <v>10</v>
      </c>
      <c r="O31" s="9">
        <f t="shared" si="1"/>
        <v>26</v>
      </c>
      <c r="P31" s="11">
        <f t="shared" si="2"/>
        <v>0</v>
      </c>
    </row>
    <row r="32" spans="1:26" ht="18" customHeight="1" thickTop="1" thickBot="1" x14ac:dyDescent="0.35">
      <c r="A32" s="8">
        <v>27</v>
      </c>
      <c r="B32" s="24">
        <v>6426</v>
      </c>
      <c r="C32" s="24">
        <v>0</v>
      </c>
      <c r="D32" s="24">
        <v>1575</v>
      </c>
      <c r="E32" s="24">
        <v>276</v>
      </c>
      <c r="F32" s="24">
        <v>321</v>
      </c>
      <c r="G32" s="24">
        <v>395</v>
      </c>
      <c r="H32" s="9">
        <f t="shared" si="0"/>
        <v>8993</v>
      </c>
      <c r="I32" s="9">
        <v>0</v>
      </c>
      <c r="J32" s="9"/>
      <c r="K32" s="8">
        <v>27</v>
      </c>
      <c r="L32" s="24">
        <v>5</v>
      </c>
      <c r="M32" s="24">
        <v>15</v>
      </c>
      <c r="N32" s="24">
        <v>9</v>
      </c>
      <c r="O32" s="9">
        <f t="shared" si="1"/>
        <v>29</v>
      </c>
      <c r="P32" s="11">
        <f t="shared" si="2"/>
        <v>0</v>
      </c>
    </row>
    <row r="33" spans="1:16" ht="18" customHeight="1" thickTop="1" thickBot="1" x14ac:dyDescent="0.35">
      <c r="A33" s="8">
        <v>28</v>
      </c>
      <c r="B33" s="24">
        <v>7792</v>
      </c>
      <c r="C33" s="24">
        <v>0</v>
      </c>
      <c r="D33" s="24">
        <v>1206</v>
      </c>
      <c r="E33" s="24">
        <v>183</v>
      </c>
      <c r="F33" s="24">
        <v>185</v>
      </c>
      <c r="G33" s="24">
        <v>317</v>
      </c>
      <c r="H33" s="9">
        <f t="shared" si="0"/>
        <v>9683</v>
      </c>
      <c r="I33" s="9">
        <v>0</v>
      </c>
      <c r="J33" s="9"/>
      <c r="K33" s="8">
        <v>28</v>
      </c>
      <c r="L33" s="24">
        <v>1</v>
      </c>
      <c r="M33" s="24">
        <v>2</v>
      </c>
      <c r="N33" s="24">
        <v>3</v>
      </c>
      <c r="O33" s="9">
        <f t="shared" si="1"/>
        <v>6</v>
      </c>
      <c r="P33" s="11">
        <f t="shared" si="2"/>
        <v>0</v>
      </c>
    </row>
    <row r="34" spans="1:16" ht="18" customHeight="1" thickTop="1" thickBot="1" x14ac:dyDescent="0.35">
      <c r="A34" s="8">
        <v>29</v>
      </c>
      <c r="B34" s="24">
        <v>4116</v>
      </c>
      <c r="C34" s="24">
        <v>0</v>
      </c>
      <c r="D34" s="24">
        <v>1404</v>
      </c>
      <c r="E34" s="24">
        <v>348</v>
      </c>
      <c r="F34" s="24">
        <v>282</v>
      </c>
      <c r="G34" s="24">
        <v>458</v>
      </c>
      <c r="H34" s="9">
        <f t="shared" si="0"/>
        <v>6608</v>
      </c>
      <c r="I34" s="9">
        <v>0</v>
      </c>
      <c r="J34" s="9"/>
      <c r="K34" s="8">
        <v>29</v>
      </c>
      <c r="L34" s="24">
        <v>4</v>
      </c>
      <c r="M34" s="24">
        <v>23</v>
      </c>
      <c r="N34" s="24">
        <v>4</v>
      </c>
      <c r="O34" s="9">
        <f t="shared" si="1"/>
        <v>31</v>
      </c>
      <c r="P34" s="11">
        <f t="shared" si="2"/>
        <v>0</v>
      </c>
    </row>
    <row r="35" spans="1:16" ht="18" customHeight="1" thickTop="1" thickBot="1" x14ac:dyDescent="0.35">
      <c r="A35" s="8">
        <v>30</v>
      </c>
      <c r="B35" s="24">
        <v>3658</v>
      </c>
      <c r="C35" s="24">
        <v>0</v>
      </c>
      <c r="D35" s="24">
        <v>1660</v>
      </c>
      <c r="E35" s="24">
        <v>335</v>
      </c>
      <c r="F35" s="24">
        <v>336</v>
      </c>
      <c r="G35" s="24">
        <v>472</v>
      </c>
      <c r="H35" s="25">
        <f t="shared" si="0"/>
        <v>6461</v>
      </c>
      <c r="I35" s="25">
        <v>0</v>
      </c>
      <c r="J35" s="25"/>
      <c r="K35" s="26">
        <v>30</v>
      </c>
      <c r="L35" s="24">
        <v>1</v>
      </c>
      <c r="M35" s="24">
        <v>23</v>
      </c>
      <c r="N35" s="24">
        <v>4</v>
      </c>
      <c r="O35" s="9">
        <f t="shared" si="1"/>
        <v>28</v>
      </c>
      <c r="P35" s="11">
        <f t="shared" si="2"/>
        <v>0</v>
      </c>
    </row>
    <row r="36" spans="1:16" ht="18.75" customHeight="1" thickTop="1" thickBot="1" x14ac:dyDescent="0.35">
      <c r="A36" s="8">
        <v>31</v>
      </c>
      <c r="B36" s="24"/>
      <c r="C36" s="24"/>
      <c r="D36" s="24"/>
      <c r="E36" s="24"/>
      <c r="F36" s="24"/>
      <c r="G36" s="24"/>
      <c r="H36" s="25">
        <f t="shared" si="0"/>
        <v>0</v>
      </c>
      <c r="I36" s="9">
        <v>0</v>
      </c>
      <c r="J36" s="9"/>
      <c r="K36" s="8">
        <v>31</v>
      </c>
      <c r="L36" s="24">
        <v>0</v>
      </c>
      <c r="M36" s="24"/>
      <c r="N36" s="24"/>
      <c r="O36" s="9">
        <f t="shared" si="1"/>
        <v>0</v>
      </c>
      <c r="P36" s="11">
        <f t="shared" si="2"/>
        <v>0</v>
      </c>
    </row>
    <row r="37" spans="1:16" ht="18" customHeight="1" thickTop="1" x14ac:dyDescent="0.3">
      <c r="A37" s="5" t="s">
        <v>20</v>
      </c>
      <c r="B37" s="27">
        <f>SUM(B6:B36)</f>
        <v>144211</v>
      </c>
      <c r="C37" s="27">
        <f t="shared" ref="C37" si="3">SUM(C6:C36)</f>
        <v>0</v>
      </c>
      <c r="D37" s="27">
        <f>SUM(D6:D36)</f>
        <v>47170</v>
      </c>
      <c r="E37" s="27">
        <f>SUM(E6:E36)</f>
        <v>9158</v>
      </c>
      <c r="F37" s="27">
        <f>SUM(F6:F36)</f>
        <v>9414</v>
      </c>
      <c r="G37" s="27">
        <f>SUM(G6:G36)</f>
        <v>12724</v>
      </c>
      <c r="H37" s="27">
        <f>SUM(H6:H36)</f>
        <v>222677</v>
      </c>
      <c r="I37" s="27">
        <f>SUM(I6:I33)</f>
        <v>0</v>
      </c>
      <c r="J37" s="27"/>
      <c r="K37" s="27" t="s">
        <v>21</v>
      </c>
      <c r="L37" s="27">
        <f>SUM(L6:L36)</f>
        <v>109</v>
      </c>
      <c r="M37" s="27">
        <f>SUM(M6:M36)</f>
        <v>396</v>
      </c>
      <c r="N37" s="27">
        <f>SUM(N6:N36)</f>
        <v>162</v>
      </c>
      <c r="O37" s="8">
        <f t="shared" si="1"/>
        <v>667</v>
      </c>
      <c r="P37" s="27">
        <f>SUM(P6:P36)</f>
        <v>18405</v>
      </c>
    </row>
    <row r="38" spans="1:16" ht="18" customHeight="1" x14ac:dyDescent="0.3">
      <c r="A38" s="5" t="s">
        <v>20</v>
      </c>
      <c r="B38" s="39">
        <f>+B37+C37</f>
        <v>144211</v>
      </c>
      <c r="C38" s="39"/>
      <c r="D38" s="27">
        <f>+D37</f>
        <v>47170</v>
      </c>
      <c r="E38" s="27">
        <f>+E37</f>
        <v>9158</v>
      </c>
      <c r="F38" s="27">
        <f>+F37</f>
        <v>9414</v>
      </c>
      <c r="G38" s="27">
        <f>+G37</f>
        <v>12724</v>
      </c>
      <c r="H38" s="27">
        <f>SUM(B38:G38)</f>
        <v>222677</v>
      </c>
      <c r="I38" s="27">
        <v>0</v>
      </c>
      <c r="J38" s="28"/>
      <c r="K38" s="29"/>
      <c r="L38" s="29" t="s">
        <v>22</v>
      </c>
      <c r="M38" s="29" t="s">
        <v>23</v>
      </c>
      <c r="N38" s="29" t="s">
        <v>22</v>
      </c>
      <c r="O38" s="29"/>
    </row>
    <row r="39" spans="1:16" x14ac:dyDescent="0.3">
      <c r="A39" s="32"/>
      <c r="B39" s="33"/>
      <c r="C39" s="33"/>
      <c r="D39" s="33"/>
      <c r="E39" s="33"/>
      <c r="F39" s="33"/>
      <c r="G39" s="33"/>
      <c r="H39" s="33"/>
      <c r="I39" s="33"/>
      <c r="J39" s="31"/>
      <c r="K39" s="34"/>
      <c r="L39" s="35"/>
    </row>
    <row r="41" spans="1:16" x14ac:dyDescent="0.3">
      <c r="A41" s="36"/>
    </row>
    <row r="42" spans="1:16" x14ac:dyDescent="0.3">
      <c r="A42" s="36"/>
      <c r="B42" s="12"/>
      <c r="C42" s="12"/>
      <c r="D42" s="12"/>
      <c r="E42" s="12"/>
      <c r="F42" s="12"/>
      <c r="H42" s="12"/>
      <c r="I42" s="12"/>
      <c r="J42" s="12"/>
      <c r="K42" s="37"/>
      <c r="L42" s="12"/>
      <c r="M42" s="12"/>
      <c r="N42" s="12"/>
      <c r="O42" s="12"/>
    </row>
  </sheetData>
  <mergeCells count="13">
    <mergeCell ref="N4:N5"/>
    <mergeCell ref="O4:O5"/>
    <mergeCell ref="B38:C38"/>
    <mergeCell ref="A1:O1"/>
    <mergeCell ref="A2:O2"/>
    <mergeCell ref="A3:O3"/>
    <mergeCell ref="A4:A5"/>
    <mergeCell ref="B4:C4"/>
    <mergeCell ref="H4:H5"/>
    <mergeCell ref="I4:I5"/>
    <mergeCell ref="K4:K5"/>
    <mergeCell ref="L4:L5"/>
    <mergeCell ref="M4:M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1E939-47EC-4B5C-B82D-EB96532FEBB7}">
  <dimension ref="A1:Z42"/>
  <sheetViews>
    <sheetView workbookViewId="0">
      <selection activeCell="C14" sqref="C14"/>
    </sheetView>
  </sheetViews>
  <sheetFormatPr baseColWidth="10" defaultColWidth="11.44140625" defaultRowHeight="13.8" x14ac:dyDescent="0.3"/>
  <cols>
    <col min="1" max="1" width="15.33203125" style="6" customWidth="1"/>
    <col min="2" max="2" width="12.6640625" style="6" customWidth="1"/>
    <col min="3" max="3" width="9.6640625" style="6" customWidth="1"/>
    <col min="4" max="9" width="12.6640625" style="6" customWidth="1"/>
    <col min="10" max="10" width="4.6640625" style="6" customWidth="1"/>
    <col min="11" max="11" width="12.5546875" style="30" customWidth="1"/>
    <col min="12" max="15" width="12.5546875" style="6" customWidth="1"/>
    <col min="16" max="16" width="0" style="6" hidden="1" customWidth="1"/>
    <col min="17" max="16384" width="11.44140625" style="6"/>
  </cols>
  <sheetData>
    <row r="1" spans="1:19" s="1" customFormat="1" ht="15.6" x14ac:dyDescent="0.3">
      <c r="A1" s="40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</row>
    <row r="2" spans="1:19" s="1" customFormat="1" ht="15.6" x14ac:dyDescent="0.3">
      <c r="A2" s="40" t="s">
        <v>24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</row>
    <row r="3" spans="1:19" s="1" customFormat="1" ht="15.6" x14ac:dyDescent="0.3">
      <c r="A3" s="41" t="s">
        <v>34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</row>
    <row r="4" spans="1:19" ht="82.5" customHeight="1" x14ac:dyDescent="0.3">
      <c r="A4" s="42" t="s">
        <v>2</v>
      </c>
      <c r="B4" s="38" t="s">
        <v>3</v>
      </c>
      <c r="C4" s="38"/>
      <c r="D4" s="3" t="s">
        <v>4</v>
      </c>
      <c r="E4" s="3" t="s">
        <v>5</v>
      </c>
      <c r="F4" s="3" t="s">
        <v>6</v>
      </c>
      <c r="G4" s="3" t="s">
        <v>7</v>
      </c>
      <c r="H4" s="38" t="s">
        <v>8</v>
      </c>
      <c r="I4" s="38" t="s">
        <v>9</v>
      </c>
      <c r="J4" s="4"/>
      <c r="K4" s="44" t="s">
        <v>2</v>
      </c>
      <c r="L4" s="38" t="s">
        <v>10</v>
      </c>
      <c r="M4" s="38" t="s">
        <v>11</v>
      </c>
      <c r="N4" s="38" t="s">
        <v>12</v>
      </c>
      <c r="O4" s="38" t="s">
        <v>13</v>
      </c>
    </row>
    <row r="5" spans="1:19" ht="21" customHeight="1" x14ac:dyDescent="0.3">
      <c r="A5" s="43"/>
      <c r="B5" s="5" t="s">
        <v>14</v>
      </c>
      <c r="C5" s="5" t="s">
        <v>15</v>
      </c>
      <c r="D5" s="5" t="s">
        <v>16</v>
      </c>
      <c r="E5" s="5" t="s">
        <v>17</v>
      </c>
      <c r="F5" s="5" t="s">
        <v>18</v>
      </c>
      <c r="G5" s="5" t="s">
        <v>19</v>
      </c>
      <c r="H5" s="38"/>
      <c r="I5" s="38"/>
      <c r="J5" s="4"/>
      <c r="K5" s="44"/>
      <c r="L5" s="38"/>
      <c r="M5" s="38"/>
      <c r="N5" s="38"/>
      <c r="O5" s="38"/>
    </row>
    <row r="6" spans="1:19" ht="18" customHeight="1" thickBot="1" x14ac:dyDescent="0.35">
      <c r="A6" s="8">
        <v>1</v>
      </c>
      <c r="B6" s="9">
        <v>3676</v>
      </c>
      <c r="C6" s="9">
        <v>0</v>
      </c>
      <c r="D6" s="9">
        <v>1744</v>
      </c>
      <c r="E6" s="9">
        <v>374</v>
      </c>
      <c r="F6" s="9">
        <v>375</v>
      </c>
      <c r="G6" s="9">
        <v>494</v>
      </c>
      <c r="H6" s="9">
        <f>SUM(B6:G6)</f>
        <v>6663</v>
      </c>
      <c r="I6" s="9">
        <v>0</v>
      </c>
      <c r="J6" s="10"/>
      <c r="K6" s="8">
        <v>1</v>
      </c>
      <c r="L6" s="9">
        <v>4</v>
      </c>
      <c r="M6" s="9">
        <v>17</v>
      </c>
      <c r="N6" s="9">
        <v>7</v>
      </c>
      <c r="O6" s="9">
        <f>SUM(L6:N6)</f>
        <v>28</v>
      </c>
      <c r="P6" s="11">
        <v>6135</v>
      </c>
    </row>
    <row r="7" spans="1:19" ht="18" customHeight="1" thickTop="1" thickBot="1" x14ac:dyDescent="0.35">
      <c r="A7" s="8">
        <v>2</v>
      </c>
      <c r="B7" s="9">
        <v>3992</v>
      </c>
      <c r="C7" s="9">
        <v>0</v>
      </c>
      <c r="D7" s="9">
        <v>1773</v>
      </c>
      <c r="E7" s="9">
        <v>358</v>
      </c>
      <c r="F7" s="9">
        <v>361</v>
      </c>
      <c r="G7" s="9">
        <v>551</v>
      </c>
      <c r="H7" s="9">
        <f t="shared" ref="H7:H36" si="0">SUM(B7:G7)</f>
        <v>7035</v>
      </c>
      <c r="I7" s="9">
        <v>0</v>
      </c>
      <c r="J7" s="10"/>
      <c r="K7" s="8">
        <v>2</v>
      </c>
      <c r="L7" s="9">
        <v>5</v>
      </c>
      <c r="M7" s="9">
        <v>23</v>
      </c>
      <c r="N7" s="9">
        <v>4</v>
      </c>
      <c r="O7" s="9">
        <f t="shared" ref="O7:O37" si="1">SUM(L7:N7)</f>
        <v>32</v>
      </c>
      <c r="P7" s="11">
        <f>+P6</f>
        <v>6135</v>
      </c>
    </row>
    <row r="8" spans="1:19" ht="18" customHeight="1" thickTop="1" thickBot="1" x14ac:dyDescent="0.35">
      <c r="A8" s="8">
        <v>3</v>
      </c>
      <c r="B8" s="9">
        <v>5972</v>
      </c>
      <c r="C8" s="9">
        <v>0</v>
      </c>
      <c r="D8" s="9">
        <v>1702</v>
      </c>
      <c r="E8" s="9">
        <v>346</v>
      </c>
      <c r="F8" s="9">
        <v>334</v>
      </c>
      <c r="G8" s="9">
        <v>416</v>
      </c>
      <c r="H8" s="9">
        <f t="shared" si="0"/>
        <v>8770</v>
      </c>
      <c r="I8" s="9">
        <v>0</v>
      </c>
      <c r="J8" s="10"/>
      <c r="K8" s="8">
        <v>3</v>
      </c>
      <c r="L8" s="9">
        <v>7</v>
      </c>
      <c r="M8" s="9">
        <v>24</v>
      </c>
      <c r="N8" s="9">
        <v>3</v>
      </c>
      <c r="O8" s="9">
        <f t="shared" si="1"/>
        <v>34</v>
      </c>
      <c r="P8" s="11">
        <f t="shared" ref="P8:P36" si="2">+P7</f>
        <v>6135</v>
      </c>
      <c r="S8" s="12"/>
    </row>
    <row r="9" spans="1:19" ht="18" customHeight="1" thickTop="1" thickBot="1" x14ac:dyDescent="0.35">
      <c r="A9" s="8">
        <v>4</v>
      </c>
      <c r="B9" s="9">
        <v>7809</v>
      </c>
      <c r="C9" s="9">
        <v>0</v>
      </c>
      <c r="D9" s="9">
        <v>1389</v>
      </c>
      <c r="E9" s="9">
        <v>198</v>
      </c>
      <c r="F9" s="9">
        <v>336</v>
      </c>
      <c r="G9" s="9">
        <v>255</v>
      </c>
      <c r="H9" s="9">
        <f t="shared" si="0"/>
        <v>9987</v>
      </c>
      <c r="I9" s="9">
        <v>0</v>
      </c>
      <c r="J9" s="10"/>
      <c r="K9" s="8">
        <v>4</v>
      </c>
      <c r="L9" s="9">
        <v>2</v>
      </c>
      <c r="M9" s="9">
        <v>2</v>
      </c>
      <c r="N9" s="9">
        <v>2</v>
      </c>
      <c r="O9" s="9">
        <f t="shared" si="1"/>
        <v>6</v>
      </c>
      <c r="P9" s="11">
        <v>0</v>
      </c>
    </row>
    <row r="10" spans="1:19" ht="18" customHeight="1" thickTop="1" thickBot="1" x14ac:dyDescent="0.35">
      <c r="A10" s="8">
        <v>5</v>
      </c>
      <c r="B10" s="9">
        <v>8539</v>
      </c>
      <c r="C10" s="9">
        <v>0</v>
      </c>
      <c r="D10" s="9">
        <v>1125</v>
      </c>
      <c r="E10" s="9">
        <v>182</v>
      </c>
      <c r="F10" s="9">
        <v>163</v>
      </c>
      <c r="G10" s="9">
        <v>339</v>
      </c>
      <c r="H10" s="9">
        <f t="shared" si="0"/>
        <v>10348</v>
      </c>
      <c r="I10" s="9">
        <v>0</v>
      </c>
      <c r="J10" s="10"/>
      <c r="K10" s="8">
        <v>5</v>
      </c>
      <c r="L10" s="9">
        <v>2</v>
      </c>
      <c r="M10" s="9">
        <v>8</v>
      </c>
      <c r="N10" s="9">
        <v>1</v>
      </c>
      <c r="O10" s="9">
        <f t="shared" si="1"/>
        <v>11</v>
      </c>
      <c r="P10" s="11">
        <f t="shared" si="2"/>
        <v>0</v>
      </c>
    </row>
    <row r="11" spans="1:19" ht="18" customHeight="1" thickTop="1" thickBot="1" x14ac:dyDescent="0.35">
      <c r="A11" s="8">
        <v>6</v>
      </c>
      <c r="B11" s="9">
        <v>5364</v>
      </c>
      <c r="C11" s="9">
        <v>0</v>
      </c>
      <c r="D11" s="9">
        <v>1619</v>
      </c>
      <c r="E11" s="9">
        <v>397</v>
      </c>
      <c r="F11" s="9">
        <v>311</v>
      </c>
      <c r="G11" s="9">
        <v>495</v>
      </c>
      <c r="H11" s="9">
        <f t="shared" si="0"/>
        <v>8186</v>
      </c>
      <c r="I11" s="9">
        <v>0</v>
      </c>
      <c r="J11" s="10"/>
      <c r="K11" s="8">
        <v>6</v>
      </c>
      <c r="L11" s="9">
        <v>3</v>
      </c>
      <c r="M11" s="9">
        <v>10</v>
      </c>
      <c r="N11" s="9">
        <v>5</v>
      </c>
      <c r="O11" s="9">
        <f t="shared" si="1"/>
        <v>18</v>
      </c>
      <c r="P11" s="11">
        <f t="shared" si="2"/>
        <v>0</v>
      </c>
    </row>
    <row r="12" spans="1:19" ht="18" customHeight="1" thickTop="1" thickBot="1" x14ac:dyDescent="0.35">
      <c r="A12" s="8">
        <v>7</v>
      </c>
      <c r="B12" s="9">
        <v>5216</v>
      </c>
      <c r="C12" s="9">
        <v>0</v>
      </c>
      <c r="D12" s="9">
        <v>1729</v>
      </c>
      <c r="E12" s="9">
        <v>341</v>
      </c>
      <c r="F12" s="9">
        <v>372</v>
      </c>
      <c r="G12" s="9">
        <v>435</v>
      </c>
      <c r="H12" s="9">
        <f t="shared" si="0"/>
        <v>8093</v>
      </c>
      <c r="I12" s="9">
        <v>0</v>
      </c>
      <c r="J12" s="13"/>
      <c r="K12" s="8">
        <v>7</v>
      </c>
      <c r="L12" s="9">
        <v>1</v>
      </c>
      <c r="M12" s="9">
        <v>14</v>
      </c>
      <c r="N12" s="9">
        <v>2</v>
      </c>
      <c r="O12" s="9">
        <f t="shared" si="1"/>
        <v>17</v>
      </c>
      <c r="P12" s="11">
        <f t="shared" si="2"/>
        <v>0</v>
      </c>
    </row>
    <row r="13" spans="1:19" ht="18" customHeight="1" thickTop="1" thickBot="1" x14ac:dyDescent="0.35">
      <c r="A13" s="8">
        <v>8</v>
      </c>
      <c r="B13" s="9">
        <v>6035</v>
      </c>
      <c r="C13" s="9">
        <v>0</v>
      </c>
      <c r="D13" s="9">
        <v>1873</v>
      </c>
      <c r="E13" s="9">
        <v>397</v>
      </c>
      <c r="F13" s="9">
        <v>411</v>
      </c>
      <c r="G13" s="9">
        <v>485</v>
      </c>
      <c r="H13" s="9">
        <f t="shared" si="0"/>
        <v>9201</v>
      </c>
      <c r="I13" s="9">
        <v>0</v>
      </c>
      <c r="J13" s="13"/>
      <c r="K13" s="8">
        <v>8</v>
      </c>
      <c r="L13" s="9">
        <v>2</v>
      </c>
      <c r="M13" s="9">
        <v>19</v>
      </c>
      <c r="N13" s="9">
        <v>10</v>
      </c>
      <c r="O13" s="9">
        <f t="shared" si="1"/>
        <v>31</v>
      </c>
      <c r="P13" s="11">
        <f t="shared" si="2"/>
        <v>0</v>
      </c>
    </row>
    <row r="14" spans="1:19" s="15" customFormat="1" ht="18" customHeight="1" thickTop="1" thickBot="1" x14ac:dyDescent="0.35">
      <c r="A14" s="8">
        <v>9</v>
      </c>
      <c r="B14" s="9">
        <v>6941</v>
      </c>
      <c r="C14" s="9">
        <v>0</v>
      </c>
      <c r="D14" s="9">
        <v>1917</v>
      </c>
      <c r="E14" s="9">
        <v>384</v>
      </c>
      <c r="F14" s="9">
        <v>407</v>
      </c>
      <c r="G14" s="9">
        <v>556</v>
      </c>
      <c r="H14" s="9">
        <f t="shared" si="0"/>
        <v>10205</v>
      </c>
      <c r="I14" s="9">
        <v>0</v>
      </c>
      <c r="J14" s="13"/>
      <c r="K14" s="8">
        <v>9</v>
      </c>
      <c r="L14" s="9">
        <v>4</v>
      </c>
      <c r="M14" s="9">
        <v>7</v>
      </c>
      <c r="N14" s="9">
        <v>8</v>
      </c>
      <c r="O14" s="9">
        <f t="shared" si="1"/>
        <v>19</v>
      </c>
      <c r="P14" s="14">
        <f t="shared" si="2"/>
        <v>0</v>
      </c>
    </row>
    <row r="15" spans="1:19" ht="18" customHeight="1" thickTop="1" thickBot="1" x14ac:dyDescent="0.35">
      <c r="A15" s="8">
        <v>10</v>
      </c>
      <c r="B15" s="9">
        <v>10068</v>
      </c>
      <c r="C15" s="9">
        <v>0</v>
      </c>
      <c r="D15" s="9">
        <v>1841</v>
      </c>
      <c r="E15" s="9">
        <v>352</v>
      </c>
      <c r="F15" s="9">
        <v>373</v>
      </c>
      <c r="G15" s="9">
        <v>394</v>
      </c>
      <c r="H15" s="9">
        <f t="shared" si="0"/>
        <v>13028</v>
      </c>
      <c r="I15" s="9">
        <v>0</v>
      </c>
      <c r="J15" s="13"/>
      <c r="K15" s="8">
        <v>10</v>
      </c>
      <c r="L15" s="9">
        <v>2</v>
      </c>
      <c r="M15" s="9">
        <v>24</v>
      </c>
      <c r="N15" s="9">
        <v>5</v>
      </c>
      <c r="O15" s="9">
        <f t="shared" si="1"/>
        <v>31</v>
      </c>
      <c r="P15" s="11">
        <f t="shared" si="2"/>
        <v>0</v>
      </c>
    </row>
    <row r="16" spans="1:19" ht="18" customHeight="1" thickTop="1" thickBot="1" x14ac:dyDescent="0.35">
      <c r="A16" s="8">
        <v>11</v>
      </c>
      <c r="B16" s="9">
        <v>12517</v>
      </c>
      <c r="C16" s="9">
        <v>0</v>
      </c>
      <c r="D16" s="9">
        <v>1415</v>
      </c>
      <c r="E16" s="9">
        <v>172</v>
      </c>
      <c r="F16" s="9">
        <v>304</v>
      </c>
      <c r="G16" s="9">
        <v>303</v>
      </c>
      <c r="H16" s="9">
        <f t="shared" si="0"/>
        <v>14711</v>
      </c>
      <c r="I16" s="9">
        <v>0</v>
      </c>
      <c r="J16" s="13"/>
      <c r="K16" s="8">
        <v>11</v>
      </c>
      <c r="L16" s="9">
        <v>0</v>
      </c>
      <c r="M16" s="9">
        <v>2</v>
      </c>
      <c r="N16" s="9">
        <v>3</v>
      </c>
      <c r="O16" s="9">
        <f t="shared" si="1"/>
        <v>5</v>
      </c>
      <c r="P16" s="11">
        <f t="shared" si="2"/>
        <v>0</v>
      </c>
    </row>
    <row r="17" spans="1:26" ht="16.5" customHeight="1" thickTop="1" thickBot="1" x14ac:dyDescent="0.35">
      <c r="A17" s="8">
        <v>12</v>
      </c>
      <c r="B17" s="9">
        <v>11438</v>
      </c>
      <c r="C17" s="9">
        <v>0</v>
      </c>
      <c r="D17" s="9">
        <v>1169</v>
      </c>
      <c r="E17" s="9">
        <v>206</v>
      </c>
      <c r="F17" s="9">
        <v>205</v>
      </c>
      <c r="G17" s="9">
        <v>244</v>
      </c>
      <c r="H17" s="9">
        <f t="shared" si="0"/>
        <v>13262</v>
      </c>
      <c r="I17" s="9">
        <v>0</v>
      </c>
      <c r="J17" s="13"/>
      <c r="K17" s="8">
        <v>12</v>
      </c>
      <c r="L17" s="9">
        <v>0</v>
      </c>
      <c r="M17" s="9">
        <v>9</v>
      </c>
      <c r="N17" s="9">
        <v>6</v>
      </c>
      <c r="O17" s="9">
        <f t="shared" si="1"/>
        <v>15</v>
      </c>
      <c r="P17" s="11">
        <f t="shared" si="2"/>
        <v>0</v>
      </c>
    </row>
    <row r="18" spans="1:26" ht="18" customHeight="1" thickTop="1" thickBot="1" x14ac:dyDescent="0.35">
      <c r="A18" s="8">
        <v>13</v>
      </c>
      <c r="B18" s="9">
        <v>16486</v>
      </c>
      <c r="C18" s="9">
        <v>0</v>
      </c>
      <c r="D18" s="9">
        <v>1058</v>
      </c>
      <c r="E18" s="9">
        <v>108</v>
      </c>
      <c r="F18" s="9">
        <v>117</v>
      </c>
      <c r="G18" s="9">
        <v>172</v>
      </c>
      <c r="H18" s="9">
        <f t="shared" si="0"/>
        <v>17941</v>
      </c>
      <c r="I18" s="9">
        <v>0</v>
      </c>
      <c r="J18" s="13"/>
      <c r="K18" s="8">
        <v>13</v>
      </c>
      <c r="L18" s="9">
        <v>2</v>
      </c>
      <c r="M18" s="9">
        <v>6</v>
      </c>
      <c r="N18" s="9">
        <v>1</v>
      </c>
      <c r="O18" s="9">
        <f t="shared" si="1"/>
        <v>9</v>
      </c>
      <c r="P18" s="11">
        <f t="shared" si="2"/>
        <v>0</v>
      </c>
    </row>
    <row r="19" spans="1:26" ht="18" customHeight="1" thickTop="1" thickBot="1" x14ac:dyDescent="0.35">
      <c r="A19" s="8">
        <v>14</v>
      </c>
      <c r="B19" s="9">
        <v>5595</v>
      </c>
      <c r="C19" s="9">
        <v>0</v>
      </c>
      <c r="D19" s="9">
        <v>1613</v>
      </c>
      <c r="E19" s="9">
        <v>381</v>
      </c>
      <c r="F19" s="9">
        <v>324</v>
      </c>
      <c r="G19" s="9">
        <v>508</v>
      </c>
      <c r="H19" s="9">
        <f t="shared" si="0"/>
        <v>8421</v>
      </c>
      <c r="I19" s="9">
        <v>0</v>
      </c>
      <c r="J19" s="13"/>
      <c r="K19" s="8">
        <v>14</v>
      </c>
      <c r="L19" s="9">
        <v>2</v>
      </c>
      <c r="M19" s="9">
        <v>19</v>
      </c>
      <c r="N19" s="9">
        <v>8</v>
      </c>
      <c r="O19" s="9">
        <f t="shared" si="1"/>
        <v>29</v>
      </c>
      <c r="P19" s="11">
        <f t="shared" si="2"/>
        <v>0</v>
      </c>
    </row>
    <row r="20" spans="1:26" ht="18" customHeight="1" thickTop="1" thickBot="1" x14ac:dyDescent="0.35">
      <c r="A20" s="8">
        <v>15</v>
      </c>
      <c r="B20" s="9">
        <v>3859</v>
      </c>
      <c r="C20" s="9">
        <v>0</v>
      </c>
      <c r="D20" s="9">
        <v>1737</v>
      </c>
      <c r="E20" s="9">
        <v>333</v>
      </c>
      <c r="F20" s="9">
        <v>365</v>
      </c>
      <c r="G20" s="9">
        <v>477</v>
      </c>
      <c r="H20" s="9">
        <f t="shared" si="0"/>
        <v>6771</v>
      </c>
      <c r="I20" s="9">
        <v>0</v>
      </c>
      <c r="J20" s="13"/>
      <c r="K20" s="8">
        <v>15</v>
      </c>
      <c r="L20" s="9">
        <v>2</v>
      </c>
      <c r="M20" s="9">
        <v>24</v>
      </c>
      <c r="N20" s="9">
        <v>1</v>
      </c>
      <c r="O20" s="9">
        <f t="shared" si="1"/>
        <v>27</v>
      </c>
      <c r="P20" s="11">
        <f t="shared" si="2"/>
        <v>0</v>
      </c>
    </row>
    <row r="21" spans="1:26" ht="18" customHeight="1" thickTop="1" thickBot="1" x14ac:dyDescent="0.35">
      <c r="A21" s="8">
        <v>16</v>
      </c>
      <c r="B21" s="9">
        <v>3847</v>
      </c>
      <c r="C21" s="9">
        <v>0</v>
      </c>
      <c r="D21" s="9">
        <v>1813</v>
      </c>
      <c r="E21" s="9">
        <v>365</v>
      </c>
      <c r="F21" s="9">
        <v>438</v>
      </c>
      <c r="G21" s="9">
        <v>577</v>
      </c>
      <c r="H21" s="9">
        <f t="shared" si="0"/>
        <v>7040</v>
      </c>
      <c r="I21" s="9">
        <v>0</v>
      </c>
      <c r="J21" s="13"/>
      <c r="K21" s="8">
        <v>16</v>
      </c>
      <c r="L21" s="9">
        <v>1</v>
      </c>
      <c r="M21" s="9">
        <v>14</v>
      </c>
      <c r="N21" s="9">
        <v>3</v>
      </c>
      <c r="O21" s="9">
        <f t="shared" si="1"/>
        <v>18</v>
      </c>
      <c r="P21" s="11">
        <f>+P20</f>
        <v>0</v>
      </c>
    </row>
    <row r="22" spans="1:26" ht="18" customHeight="1" thickTop="1" thickBot="1" x14ac:dyDescent="0.35">
      <c r="A22" s="8">
        <v>17</v>
      </c>
      <c r="B22" s="9">
        <v>4815</v>
      </c>
      <c r="C22" s="9">
        <v>0</v>
      </c>
      <c r="D22" s="9">
        <v>1876</v>
      </c>
      <c r="E22" s="9">
        <v>389</v>
      </c>
      <c r="F22" s="9">
        <v>390</v>
      </c>
      <c r="G22" s="9">
        <v>631</v>
      </c>
      <c r="H22" s="9">
        <f t="shared" si="0"/>
        <v>8101</v>
      </c>
      <c r="I22" s="9">
        <v>0</v>
      </c>
      <c r="J22" s="13"/>
      <c r="K22" s="8">
        <v>17</v>
      </c>
      <c r="L22" s="9">
        <v>21</v>
      </c>
      <c r="M22" s="9">
        <v>24</v>
      </c>
      <c r="N22" s="9">
        <v>9</v>
      </c>
      <c r="O22" s="9">
        <f t="shared" si="1"/>
        <v>54</v>
      </c>
      <c r="P22" s="11">
        <f t="shared" si="2"/>
        <v>0</v>
      </c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18" customHeight="1" thickTop="1" thickBot="1" x14ac:dyDescent="0.35">
      <c r="A23" s="8">
        <v>18</v>
      </c>
      <c r="B23" s="9">
        <v>5781</v>
      </c>
      <c r="C23" s="9">
        <v>0</v>
      </c>
      <c r="D23" s="9">
        <v>1823</v>
      </c>
      <c r="E23" s="9">
        <v>385</v>
      </c>
      <c r="F23" s="9">
        <v>449</v>
      </c>
      <c r="G23" s="9">
        <v>498</v>
      </c>
      <c r="H23" s="9">
        <f t="shared" si="0"/>
        <v>8936</v>
      </c>
      <c r="I23" s="9">
        <v>0</v>
      </c>
      <c r="J23" s="13"/>
      <c r="K23" s="8">
        <v>18</v>
      </c>
      <c r="L23" s="9">
        <v>8</v>
      </c>
      <c r="M23" s="9">
        <v>14</v>
      </c>
      <c r="N23" s="9">
        <v>7</v>
      </c>
      <c r="O23" s="9">
        <f t="shared" si="1"/>
        <v>29</v>
      </c>
      <c r="P23" s="11">
        <f t="shared" si="2"/>
        <v>0</v>
      </c>
    </row>
    <row r="24" spans="1:26" ht="18" customHeight="1" thickTop="1" thickBot="1" x14ac:dyDescent="0.35">
      <c r="A24" s="8">
        <v>19</v>
      </c>
      <c r="B24" s="9">
        <v>6295</v>
      </c>
      <c r="C24" s="9">
        <v>0</v>
      </c>
      <c r="D24" s="9">
        <v>1196</v>
      </c>
      <c r="E24" s="9">
        <v>191</v>
      </c>
      <c r="F24" s="9">
        <v>218</v>
      </c>
      <c r="G24" s="9">
        <v>318</v>
      </c>
      <c r="H24" s="9">
        <f>SUM(B24:G24)</f>
        <v>8218</v>
      </c>
      <c r="I24" s="9">
        <v>0</v>
      </c>
      <c r="J24" s="13"/>
      <c r="K24" s="8">
        <v>19</v>
      </c>
      <c r="L24" s="9">
        <v>1</v>
      </c>
      <c r="M24" s="9">
        <v>2</v>
      </c>
      <c r="N24" s="9">
        <v>2</v>
      </c>
      <c r="O24" s="9">
        <f t="shared" si="1"/>
        <v>5</v>
      </c>
      <c r="P24" s="11">
        <f t="shared" si="2"/>
        <v>0</v>
      </c>
    </row>
    <row r="25" spans="1:26" ht="18" customHeight="1" thickTop="1" thickBot="1" x14ac:dyDescent="0.35">
      <c r="A25" s="8">
        <v>20</v>
      </c>
      <c r="B25" s="9">
        <v>3672</v>
      </c>
      <c r="C25" s="9">
        <v>0</v>
      </c>
      <c r="D25" s="9">
        <v>1428</v>
      </c>
      <c r="E25" s="9">
        <v>353</v>
      </c>
      <c r="F25" s="9">
        <v>338</v>
      </c>
      <c r="G25" s="9">
        <v>466</v>
      </c>
      <c r="H25" s="9">
        <f>SUM(B25:G25)</f>
        <v>6257</v>
      </c>
      <c r="I25" s="9">
        <v>0</v>
      </c>
      <c r="J25" s="13"/>
      <c r="K25" s="8">
        <v>20</v>
      </c>
      <c r="L25" s="9">
        <v>11</v>
      </c>
      <c r="M25" s="9">
        <v>21</v>
      </c>
      <c r="N25" s="9">
        <v>1</v>
      </c>
      <c r="O25" s="9">
        <f t="shared" si="1"/>
        <v>33</v>
      </c>
      <c r="P25" s="11">
        <f t="shared" si="2"/>
        <v>0</v>
      </c>
    </row>
    <row r="26" spans="1:26" ht="18" customHeight="1" thickTop="1" thickBot="1" x14ac:dyDescent="0.35">
      <c r="A26" s="8">
        <v>21</v>
      </c>
      <c r="B26" s="9">
        <v>3524</v>
      </c>
      <c r="C26" s="9">
        <v>0</v>
      </c>
      <c r="D26" s="9">
        <v>1696</v>
      </c>
      <c r="E26" s="9">
        <v>361</v>
      </c>
      <c r="F26" s="9">
        <v>353</v>
      </c>
      <c r="G26" s="9">
        <v>491</v>
      </c>
      <c r="H26" s="9">
        <f t="shared" si="0"/>
        <v>6425</v>
      </c>
      <c r="I26" s="9">
        <v>0</v>
      </c>
      <c r="J26" s="13"/>
      <c r="K26" s="8">
        <v>21</v>
      </c>
      <c r="L26" s="9">
        <v>3</v>
      </c>
      <c r="M26" s="9">
        <v>16</v>
      </c>
      <c r="N26" s="9">
        <v>2</v>
      </c>
      <c r="O26" s="9">
        <f t="shared" si="1"/>
        <v>21</v>
      </c>
      <c r="P26" s="11">
        <f t="shared" si="2"/>
        <v>0</v>
      </c>
    </row>
    <row r="27" spans="1:26" ht="18" customHeight="1" thickTop="1" thickBot="1" x14ac:dyDescent="0.35">
      <c r="A27" s="17">
        <v>22</v>
      </c>
      <c r="B27" s="18">
        <v>3507</v>
      </c>
      <c r="C27" s="18">
        <v>0</v>
      </c>
      <c r="D27" s="18">
        <v>1747</v>
      </c>
      <c r="E27" s="18">
        <v>390</v>
      </c>
      <c r="F27" s="18">
        <v>423</v>
      </c>
      <c r="G27" s="18">
        <v>497</v>
      </c>
      <c r="H27" s="18">
        <f t="shared" si="0"/>
        <v>6564</v>
      </c>
      <c r="I27" s="18">
        <v>0</v>
      </c>
      <c r="J27" s="19"/>
      <c r="K27" s="17">
        <v>22</v>
      </c>
      <c r="L27" s="18">
        <v>1</v>
      </c>
      <c r="M27" s="18">
        <v>15</v>
      </c>
      <c r="N27" s="18">
        <v>6</v>
      </c>
      <c r="O27" s="9">
        <f t="shared" si="1"/>
        <v>22</v>
      </c>
      <c r="P27" s="11">
        <f t="shared" si="2"/>
        <v>0</v>
      </c>
    </row>
    <row r="28" spans="1:26" ht="18" customHeight="1" thickTop="1" thickBot="1" x14ac:dyDescent="0.35">
      <c r="A28" s="8">
        <v>23</v>
      </c>
      <c r="B28" s="9">
        <v>3824</v>
      </c>
      <c r="C28" s="9">
        <v>0</v>
      </c>
      <c r="D28" s="9">
        <v>1858</v>
      </c>
      <c r="E28" s="9">
        <v>349</v>
      </c>
      <c r="F28" s="9">
        <v>378</v>
      </c>
      <c r="G28" s="9">
        <v>518</v>
      </c>
      <c r="H28" s="18">
        <f t="shared" si="0"/>
        <v>6927</v>
      </c>
      <c r="I28" s="9">
        <v>0</v>
      </c>
      <c r="J28" s="13"/>
      <c r="K28" s="8">
        <v>23</v>
      </c>
      <c r="L28" s="9">
        <v>6</v>
      </c>
      <c r="M28" s="9">
        <v>20</v>
      </c>
      <c r="N28" s="9">
        <v>7</v>
      </c>
      <c r="O28" s="9">
        <f t="shared" si="1"/>
        <v>33</v>
      </c>
      <c r="P28" s="11">
        <f t="shared" si="2"/>
        <v>0</v>
      </c>
    </row>
    <row r="29" spans="1:26" ht="18" customHeight="1" thickTop="1" thickBot="1" x14ac:dyDescent="0.35">
      <c r="A29" s="8">
        <v>24</v>
      </c>
      <c r="B29" s="9">
        <v>4947</v>
      </c>
      <c r="C29" s="9">
        <v>0</v>
      </c>
      <c r="D29" s="9">
        <v>1805</v>
      </c>
      <c r="E29" s="9">
        <v>356</v>
      </c>
      <c r="F29" s="9">
        <v>425</v>
      </c>
      <c r="G29" s="9">
        <v>494</v>
      </c>
      <c r="H29" s="9">
        <f t="shared" si="0"/>
        <v>8027</v>
      </c>
      <c r="I29" s="9">
        <v>0</v>
      </c>
      <c r="J29" s="13"/>
      <c r="K29" s="8">
        <v>24</v>
      </c>
      <c r="L29" s="9">
        <v>6</v>
      </c>
      <c r="M29" s="9">
        <v>22</v>
      </c>
      <c r="N29" s="9">
        <v>7</v>
      </c>
      <c r="O29" s="9">
        <f t="shared" si="1"/>
        <v>35</v>
      </c>
      <c r="P29" s="11">
        <f t="shared" si="2"/>
        <v>0</v>
      </c>
    </row>
    <row r="30" spans="1:26" ht="18" customHeight="1" thickTop="1" thickBot="1" x14ac:dyDescent="0.35">
      <c r="A30" s="8">
        <v>25</v>
      </c>
      <c r="B30" s="9">
        <v>5363</v>
      </c>
      <c r="C30" s="9">
        <v>0</v>
      </c>
      <c r="D30" s="9">
        <v>1586</v>
      </c>
      <c r="E30" s="9">
        <v>308</v>
      </c>
      <c r="F30" s="9">
        <v>363</v>
      </c>
      <c r="G30" s="9">
        <v>365</v>
      </c>
      <c r="H30" s="9">
        <f t="shared" si="0"/>
        <v>7985</v>
      </c>
      <c r="I30" s="9">
        <v>0</v>
      </c>
      <c r="J30" s="13"/>
      <c r="K30" s="8">
        <v>25</v>
      </c>
      <c r="L30" s="9">
        <v>2</v>
      </c>
      <c r="M30" s="9">
        <v>4</v>
      </c>
      <c r="N30" s="9">
        <v>6</v>
      </c>
      <c r="O30" s="9">
        <f t="shared" si="1"/>
        <v>12</v>
      </c>
      <c r="P30" s="11">
        <f t="shared" si="2"/>
        <v>0</v>
      </c>
    </row>
    <row r="31" spans="1:26" ht="18" customHeight="1" thickTop="1" thickBot="1" x14ac:dyDescent="0.35">
      <c r="A31" s="8">
        <v>26</v>
      </c>
      <c r="B31" s="20">
        <v>6173</v>
      </c>
      <c r="C31" s="20">
        <v>0</v>
      </c>
      <c r="D31" s="20">
        <v>1213</v>
      </c>
      <c r="E31" s="20">
        <v>217</v>
      </c>
      <c r="F31" s="21">
        <v>201</v>
      </c>
      <c r="G31" s="20">
        <v>344</v>
      </c>
      <c r="H31" s="22">
        <f t="shared" si="0"/>
        <v>8148</v>
      </c>
      <c r="I31" s="22">
        <v>0</v>
      </c>
      <c r="J31" s="13"/>
      <c r="K31" s="23">
        <v>26</v>
      </c>
      <c r="L31" s="20">
        <v>0</v>
      </c>
      <c r="M31" s="20">
        <v>7</v>
      </c>
      <c r="N31" s="20">
        <v>3</v>
      </c>
      <c r="O31" s="9">
        <f t="shared" si="1"/>
        <v>10</v>
      </c>
      <c r="P31" s="11">
        <f t="shared" si="2"/>
        <v>0</v>
      </c>
    </row>
    <row r="32" spans="1:26" ht="18" customHeight="1" thickTop="1" thickBot="1" x14ac:dyDescent="0.35">
      <c r="A32" s="8">
        <v>27</v>
      </c>
      <c r="B32" s="24">
        <v>3642</v>
      </c>
      <c r="C32" s="24">
        <v>0</v>
      </c>
      <c r="D32" s="24">
        <v>1430</v>
      </c>
      <c r="E32" s="24">
        <v>369</v>
      </c>
      <c r="F32" s="24">
        <v>332</v>
      </c>
      <c r="G32" s="24">
        <v>382</v>
      </c>
      <c r="H32" s="9">
        <f t="shared" si="0"/>
        <v>6155</v>
      </c>
      <c r="I32" s="9">
        <v>0</v>
      </c>
      <c r="J32" s="9"/>
      <c r="K32" s="8">
        <v>27</v>
      </c>
      <c r="L32" s="24">
        <v>4</v>
      </c>
      <c r="M32" s="24">
        <v>22</v>
      </c>
      <c r="N32" s="24">
        <v>4</v>
      </c>
      <c r="O32" s="9">
        <f t="shared" si="1"/>
        <v>30</v>
      </c>
      <c r="P32" s="11">
        <f t="shared" si="2"/>
        <v>0</v>
      </c>
    </row>
    <row r="33" spans="1:16" ht="18" customHeight="1" thickTop="1" thickBot="1" x14ac:dyDescent="0.35">
      <c r="A33" s="8">
        <v>28</v>
      </c>
      <c r="B33" s="24">
        <v>3594</v>
      </c>
      <c r="C33" s="24">
        <v>0</v>
      </c>
      <c r="D33" s="24">
        <v>1789</v>
      </c>
      <c r="E33" s="24">
        <v>379</v>
      </c>
      <c r="F33" s="24">
        <v>372</v>
      </c>
      <c r="G33" s="24">
        <v>454</v>
      </c>
      <c r="H33" s="9">
        <f t="shared" si="0"/>
        <v>6588</v>
      </c>
      <c r="I33" s="9">
        <v>0</v>
      </c>
      <c r="J33" s="9"/>
      <c r="K33" s="8">
        <v>28</v>
      </c>
      <c r="L33" s="24">
        <v>6</v>
      </c>
      <c r="M33" s="24">
        <v>20</v>
      </c>
      <c r="N33" s="24">
        <v>6</v>
      </c>
      <c r="O33" s="9">
        <f t="shared" si="1"/>
        <v>32</v>
      </c>
      <c r="P33" s="11">
        <f t="shared" si="2"/>
        <v>0</v>
      </c>
    </row>
    <row r="34" spans="1:16" ht="18" customHeight="1" thickTop="1" thickBot="1" x14ac:dyDescent="0.35">
      <c r="A34" s="8">
        <v>29</v>
      </c>
      <c r="B34" s="24">
        <v>3630</v>
      </c>
      <c r="C34" s="24">
        <v>0</v>
      </c>
      <c r="D34" s="24">
        <v>1934</v>
      </c>
      <c r="E34" s="24">
        <v>353</v>
      </c>
      <c r="F34" s="24">
        <v>396</v>
      </c>
      <c r="G34" s="24">
        <v>492</v>
      </c>
      <c r="H34" s="9">
        <f t="shared" si="0"/>
        <v>6805</v>
      </c>
      <c r="I34" s="9">
        <v>0</v>
      </c>
      <c r="J34" s="9"/>
      <c r="K34" s="8">
        <v>29</v>
      </c>
      <c r="L34" s="24">
        <v>2</v>
      </c>
      <c r="M34" s="24">
        <v>19</v>
      </c>
      <c r="N34" s="24">
        <v>6</v>
      </c>
      <c r="O34" s="9">
        <f t="shared" si="1"/>
        <v>27</v>
      </c>
      <c r="P34" s="11">
        <f t="shared" si="2"/>
        <v>0</v>
      </c>
    </row>
    <row r="35" spans="1:16" ht="18" customHeight="1" thickTop="1" thickBot="1" x14ac:dyDescent="0.35">
      <c r="A35" s="8">
        <v>30</v>
      </c>
      <c r="B35" s="24">
        <v>4694</v>
      </c>
      <c r="C35" s="24">
        <v>0</v>
      </c>
      <c r="D35" s="24">
        <v>2110</v>
      </c>
      <c r="E35" s="24">
        <v>416</v>
      </c>
      <c r="F35" s="24">
        <v>444</v>
      </c>
      <c r="G35" s="24">
        <v>510</v>
      </c>
      <c r="H35" s="25">
        <f t="shared" si="0"/>
        <v>8174</v>
      </c>
      <c r="I35" s="25">
        <v>0</v>
      </c>
      <c r="J35" s="25"/>
      <c r="K35" s="26">
        <v>30</v>
      </c>
      <c r="L35" s="24">
        <v>1</v>
      </c>
      <c r="M35" s="24">
        <v>21</v>
      </c>
      <c r="N35" s="24">
        <v>10</v>
      </c>
      <c r="O35" s="9">
        <f t="shared" si="1"/>
        <v>32</v>
      </c>
      <c r="P35" s="11">
        <f t="shared" si="2"/>
        <v>0</v>
      </c>
    </row>
    <row r="36" spans="1:16" ht="18.75" customHeight="1" thickTop="1" thickBot="1" x14ac:dyDescent="0.35">
      <c r="A36" s="8">
        <v>31</v>
      </c>
      <c r="B36" s="24">
        <v>6210</v>
      </c>
      <c r="C36" s="24">
        <v>0</v>
      </c>
      <c r="D36" s="24">
        <v>1874</v>
      </c>
      <c r="E36" s="24">
        <v>363</v>
      </c>
      <c r="F36" s="24">
        <v>369</v>
      </c>
      <c r="G36" s="24">
        <v>457</v>
      </c>
      <c r="H36" s="25">
        <f t="shared" si="0"/>
        <v>9273</v>
      </c>
      <c r="I36" s="9">
        <v>0</v>
      </c>
      <c r="J36" s="9"/>
      <c r="K36" s="8">
        <v>31</v>
      </c>
      <c r="L36" s="24">
        <v>5</v>
      </c>
      <c r="M36" s="24">
        <v>25</v>
      </c>
      <c r="N36" s="24">
        <v>7</v>
      </c>
      <c r="O36" s="9">
        <f t="shared" si="1"/>
        <v>37</v>
      </c>
      <c r="P36" s="11">
        <f t="shared" si="2"/>
        <v>0</v>
      </c>
    </row>
    <row r="37" spans="1:16" ht="18" customHeight="1" thickTop="1" x14ac:dyDescent="0.3">
      <c r="A37" s="5" t="s">
        <v>20</v>
      </c>
      <c r="B37" s="27">
        <f>SUM(B6:B36)</f>
        <v>187025</v>
      </c>
      <c r="C37" s="27">
        <f t="shared" ref="C37" si="3">SUM(C6:C36)</f>
        <v>0</v>
      </c>
      <c r="D37" s="27">
        <f>SUM(D6:D36)</f>
        <v>50882</v>
      </c>
      <c r="E37" s="27">
        <f>SUM(E6:E36)</f>
        <v>10073</v>
      </c>
      <c r="F37" s="27">
        <f>SUM(F6:F36)</f>
        <v>10647</v>
      </c>
      <c r="G37" s="27">
        <f>SUM(G6:G36)</f>
        <v>13618</v>
      </c>
      <c r="H37" s="27">
        <f>SUM(H6:H36)</f>
        <v>272245</v>
      </c>
      <c r="I37" s="27">
        <f>SUM(I6:I33)</f>
        <v>0</v>
      </c>
      <c r="J37" s="27"/>
      <c r="K37" s="27" t="s">
        <v>21</v>
      </c>
      <c r="L37" s="27">
        <f>SUM(L6:L36)</f>
        <v>116</v>
      </c>
      <c r="M37" s="27">
        <f>SUM(M6:M36)</f>
        <v>474</v>
      </c>
      <c r="N37" s="27">
        <f>SUM(N6:N36)</f>
        <v>152</v>
      </c>
      <c r="O37" s="8">
        <f t="shared" si="1"/>
        <v>742</v>
      </c>
      <c r="P37" s="27">
        <f>SUM(P6:P36)</f>
        <v>18405</v>
      </c>
    </row>
    <row r="38" spans="1:16" ht="18" customHeight="1" x14ac:dyDescent="0.3">
      <c r="A38" s="5" t="s">
        <v>20</v>
      </c>
      <c r="B38" s="39">
        <f>+B37+C37</f>
        <v>187025</v>
      </c>
      <c r="C38" s="39"/>
      <c r="D38" s="27">
        <f>+D37</f>
        <v>50882</v>
      </c>
      <c r="E38" s="27">
        <f>+E37</f>
        <v>10073</v>
      </c>
      <c r="F38" s="27">
        <f>+F37</f>
        <v>10647</v>
      </c>
      <c r="G38" s="27">
        <f>+G37</f>
        <v>13618</v>
      </c>
      <c r="H38" s="27">
        <f>SUM(B38:G38)</f>
        <v>272245</v>
      </c>
      <c r="I38" s="27">
        <v>0</v>
      </c>
      <c r="J38" s="28"/>
      <c r="K38" s="29"/>
      <c r="L38" s="29" t="s">
        <v>22</v>
      </c>
      <c r="M38" s="29" t="s">
        <v>23</v>
      </c>
      <c r="N38" s="29" t="s">
        <v>22</v>
      </c>
      <c r="O38" s="29"/>
    </row>
    <row r="39" spans="1:16" x14ac:dyDescent="0.3">
      <c r="A39" s="32"/>
      <c r="B39" s="33"/>
      <c r="C39" s="33"/>
      <c r="D39" s="33"/>
      <c r="E39" s="33"/>
      <c r="F39" s="33"/>
      <c r="G39" s="33"/>
      <c r="H39" s="33"/>
      <c r="I39" s="33"/>
      <c r="J39" s="31"/>
      <c r="K39" s="34"/>
      <c r="L39" s="35"/>
    </row>
    <row r="41" spans="1:16" x14ac:dyDescent="0.3">
      <c r="A41" s="36"/>
    </row>
    <row r="42" spans="1:16" x14ac:dyDescent="0.3">
      <c r="A42" s="36"/>
      <c r="B42" s="12"/>
      <c r="C42" s="12"/>
      <c r="D42" s="12"/>
      <c r="E42" s="12"/>
      <c r="F42" s="12"/>
      <c r="H42" s="12"/>
      <c r="I42" s="12"/>
      <c r="J42" s="12"/>
      <c r="K42" s="37"/>
      <c r="L42" s="12"/>
      <c r="M42" s="12"/>
      <c r="N42" s="12"/>
      <c r="O42" s="12"/>
    </row>
  </sheetData>
  <mergeCells count="13">
    <mergeCell ref="N4:N5"/>
    <mergeCell ref="O4:O5"/>
    <mergeCell ref="B38:C38"/>
    <mergeCell ref="A1:O1"/>
    <mergeCell ref="A2:O2"/>
    <mergeCell ref="A3:O3"/>
    <mergeCell ref="A4:A5"/>
    <mergeCell ref="B4:C4"/>
    <mergeCell ref="H4:H5"/>
    <mergeCell ref="I4:I5"/>
    <mergeCell ref="K4:K5"/>
    <mergeCell ref="L4:L5"/>
    <mergeCell ref="M4:M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78689-1489-4EF2-91EC-D4DE59D1A5C6}">
  <dimension ref="A1:Z42"/>
  <sheetViews>
    <sheetView workbookViewId="0">
      <selection activeCell="C43" sqref="C43"/>
    </sheetView>
  </sheetViews>
  <sheetFormatPr baseColWidth="10" defaultColWidth="11.44140625" defaultRowHeight="13.8" x14ac:dyDescent="0.3"/>
  <cols>
    <col min="1" max="1" width="15.33203125" style="6" customWidth="1"/>
    <col min="2" max="2" width="12.6640625" style="6" customWidth="1"/>
    <col min="3" max="3" width="9.6640625" style="6" customWidth="1"/>
    <col min="4" max="9" width="12.6640625" style="6" customWidth="1"/>
    <col min="10" max="10" width="4.6640625" style="6" customWidth="1"/>
    <col min="11" max="11" width="12.5546875" style="30" customWidth="1"/>
    <col min="12" max="15" width="12.5546875" style="6" customWidth="1"/>
    <col min="16" max="16" width="0" style="6" hidden="1" customWidth="1"/>
    <col min="17" max="16384" width="11.44140625" style="6"/>
  </cols>
  <sheetData>
    <row r="1" spans="1:19" s="1" customFormat="1" ht="15.6" x14ac:dyDescent="0.3">
      <c r="A1" s="40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</row>
    <row r="2" spans="1:19" s="1" customFormat="1" ht="15.6" x14ac:dyDescent="0.3">
      <c r="A2" s="40" t="s">
        <v>28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</row>
    <row r="3" spans="1:19" s="1" customFormat="1" ht="15.6" x14ac:dyDescent="0.3">
      <c r="A3" s="41" t="s">
        <v>35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</row>
    <row r="4" spans="1:19" ht="82.5" customHeight="1" x14ac:dyDescent="0.3">
      <c r="A4" s="42" t="s">
        <v>2</v>
      </c>
      <c r="B4" s="38" t="s">
        <v>3</v>
      </c>
      <c r="C4" s="38"/>
      <c r="D4" s="3" t="s">
        <v>4</v>
      </c>
      <c r="E4" s="3" t="s">
        <v>5</v>
      </c>
      <c r="F4" s="3" t="s">
        <v>6</v>
      </c>
      <c r="G4" s="3" t="s">
        <v>7</v>
      </c>
      <c r="H4" s="38" t="s">
        <v>8</v>
      </c>
      <c r="I4" s="38" t="s">
        <v>9</v>
      </c>
      <c r="J4" s="4"/>
      <c r="K4" s="44" t="s">
        <v>2</v>
      </c>
      <c r="L4" s="38" t="s">
        <v>10</v>
      </c>
      <c r="M4" s="38" t="s">
        <v>11</v>
      </c>
      <c r="N4" s="38" t="s">
        <v>12</v>
      </c>
      <c r="O4" s="38" t="s">
        <v>13</v>
      </c>
    </row>
    <row r="5" spans="1:19" ht="21" customHeight="1" x14ac:dyDescent="0.3">
      <c r="A5" s="43"/>
      <c r="B5" s="5" t="s">
        <v>14</v>
      </c>
      <c r="C5" s="5" t="s">
        <v>15</v>
      </c>
      <c r="D5" s="5" t="s">
        <v>16</v>
      </c>
      <c r="E5" s="5" t="s">
        <v>17</v>
      </c>
      <c r="F5" s="5" t="s">
        <v>18</v>
      </c>
      <c r="G5" s="5" t="s">
        <v>19</v>
      </c>
      <c r="H5" s="38"/>
      <c r="I5" s="38"/>
      <c r="J5" s="4"/>
      <c r="K5" s="44"/>
      <c r="L5" s="38"/>
      <c r="M5" s="38"/>
      <c r="N5" s="38"/>
      <c r="O5" s="38"/>
    </row>
    <row r="6" spans="1:19" ht="18" customHeight="1" thickBot="1" x14ac:dyDescent="0.35">
      <c r="A6" s="8">
        <v>1</v>
      </c>
      <c r="B6" s="9">
        <v>9623</v>
      </c>
      <c r="C6" s="9">
        <v>0</v>
      </c>
      <c r="D6" s="9">
        <v>1500</v>
      </c>
      <c r="E6" s="9">
        <v>197</v>
      </c>
      <c r="F6" s="9">
        <v>357</v>
      </c>
      <c r="G6" s="9">
        <v>343</v>
      </c>
      <c r="H6" s="9">
        <f>SUM(B6:G6)</f>
        <v>12020</v>
      </c>
      <c r="I6" s="9">
        <v>0</v>
      </c>
      <c r="J6" s="10"/>
      <c r="K6" s="8">
        <v>1</v>
      </c>
      <c r="L6" s="9">
        <v>2</v>
      </c>
      <c r="M6" s="9">
        <v>8</v>
      </c>
      <c r="N6" s="9">
        <v>7</v>
      </c>
      <c r="O6" s="9">
        <f>SUM(L6:N6)</f>
        <v>17</v>
      </c>
      <c r="P6" s="11">
        <v>6135</v>
      </c>
    </row>
    <row r="7" spans="1:19" ht="18" customHeight="1" thickTop="1" thickBot="1" x14ac:dyDescent="0.35">
      <c r="A7" s="8">
        <v>2</v>
      </c>
      <c r="B7" s="9">
        <v>7465</v>
      </c>
      <c r="C7" s="9">
        <v>0</v>
      </c>
      <c r="D7" s="9">
        <v>1269</v>
      </c>
      <c r="E7" s="9">
        <v>229</v>
      </c>
      <c r="F7" s="9">
        <v>275</v>
      </c>
      <c r="G7" s="9">
        <v>332</v>
      </c>
      <c r="H7" s="9">
        <f t="shared" ref="H7:H36" si="0">SUM(B7:G7)</f>
        <v>9570</v>
      </c>
      <c r="I7" s="9">
        <v>0</v>
      </c>
      <c r="J7" s="10"/>
      <c r="K7" s="8">
        <v>2</v>
      </c>
      <c r="L7" s="9">
        <v>3</v>
      </c>
      <c r="M7" s="9">
        <v>6</v>
      </c>
      <c r="N7" s="9">
        <v>2</v>
      </c>
      <c r="O7" s="9">
        <f t="shared" ref="O7:O37" si="1">SUM(L7:N7)</f>
        <v>11</v>
      </c>
      <c r="P7" s="11">
        <f>+P6</f>
        <v>6135</v>
      </c>
    </row>
    <row r="8" spans="1:19" ht="18" customHeight="1" thickTop="1" thickBot="1" x14ac:dyDescent="0.35">
      <c r="A8" s="8">
        <v>3</v>
      </c>
      <c r="B8" s="9">
        <v>11520</v>
      </c>
      <c r="C8" s="9">
        <v>0</v>
      </c>
      <c r="D8" s="9">
        <v>883</v>
      </c>
      <c r="E8" s="9">
        <v>83</v>
      </c>
      <c r="F8" s="9">
        <v>117</v>
      </c>
      <c r="G8" s="9">
        <v>128</v>
      </c>
      <c r="H8" s="9">
        <f t="shared" si="0"/>
        <v>12731</v>
      </c>
      <c r="I8" s="9">
        <v>0</v>
      </c>
      <c r="J8" s="10"/>
      <c r="K8" s="8">
        <v>3</v>
      </c>
      <c r="L8" s="9">
        <v>0</v>
      </c>
      <c r="M8" s="9">
        <v>3</v>
      </c>
      <c r="N8" s="9">
        <v>1</v>
      </c>
      <c r="O8" s="9">
        <f t="shared" si="1"/>
        <v>4</v>
      </c>
      <c r="P8" s="11">
        <f t="shared" ref="P8:P36" si="2">+P7</f>
        <v>6135</v>
      </c>
      <c r="S8" s="12"/>
    </row>
    <row r="9" spans="1:19" ht="18" customHeight="1" thickTop="1" thickBot="1" x14ac:dyDescent="0.35">
      <c r="A9" s="8">
        <v>4</v>
      </c>
      <c r="B9" s="9">
        <v>4702</v>
      </c>
      <c r="C9" s="9">
        <v>0</v>
      </c>
      <c r="D9" s="9">
        <v>1622</v>
      </c>
      <c r="E9" s="9">
        <v>364</v>
      </c>
      <c r="F9" s="9">
        <v>325</v>
      </c>
      <c r="G9" s="9">
        <v>459</v>
      </c>
      <c r="H9" s="9">
        <f t="shared" si="0"/>
        <v>7472</v>
      </c>
      <c r="I9" s="9">
        <v>0</v>
      </c>
      <c r="J9" s="10"/>
      <c r="K9" s="8">
        <v>4</v>
      </c>
      <c r="L9" s="9">
        <v>3</v>
      </c>
      <c r="M9" s="9">
        <v>10</v>
      </c>
      <c r="N9" s="9">
        <v>8</v>
      </c>
      <c r="O9" s="9">
        <f t="shared" si="1"/>
        <v>21</v>
      </c>
      <c r="P9" s="11">
        <v>0</v>
      </c>
    </row>
    <row r="10" spans="1:19" ht="18" customHeight="1" thickTop="1" thickBot="1" x14ac:dyDescent="0.35">
      <c r="A10" s="8">
        <v>5</v>
      </c>
      <c r="B10" s="9">
        <v>3972</v>
      </c>
      <c r="C10" s="9">
        <v>0</v>
      </c>
      <c r="D10" s="9">
        <v>1952</v>
      </c>
      <c r="E10" s="9">
        <v>369</v>
      </c>
      <c r="F10" s="9">
        <v>387</v>
      </c>
      <c r="G10" s="9">
        <v>496</v>
      </c>
      <c r="H10" s="9">
        <f t="shared" si="0"/>
        <v>7176</v>
      </c>
      <c r="I10" s="9">
        <v>0</v>
      </c>
      <c r="J10" s="10"/>
      <c r="K10" s="8">
        <v>5</v>
      </c>
      <c r="L10" s="9">
        <v>4</v>
      </c>
      <c r="M10" s="9">
        <v>23</v>
      </c>
      <c r="N10" s="9">
        <v>12</v>
      </c>
      <c r="O10" s="9">
        <f t="shared" si="1"/>
        <v>39</v>
      </c>
      <c r="P10" s="11">
        <f t="shared" si="2"/>
        <v>0</v>
      </c>
    </row>
    <row r="11" spans="1:19" ht="18" customHeight="1" thickTop="1" thickBot="1" x14ac:dyDescent="0.35">
      <c r="A11" s="8">
        <v>6</v>
      </c>
      <c r="B11" s="9">
        <v>3863</v>
      </c>
      <c r="C11" s="9">
        <v>0</v>
      </c>
      <c r="D11" s="9">
        <v>1943</v>
      </c>
      <c r="E11" s="9">
        <v>399</v>
      </c>
      <c r="F11" s="9">
        <v>427</v>
      </c>
      <c r="G11" s="9">
        <v>547</v>
      </c>
      <c r="H11" s="9">
        <f t="shared" si="0"/>
        <v>7179</v>
      </c>
      <c r="I11" s="9">
        <v>0</v>
      </c>
      <c r="J11" s="10"/>
      <c r="K11" s="8">
        <v>6</v>
      </c>
      <c r="L11" s="9">
        <v>3</v>
      </c>
      <c r="M11" s="9">
        <v>16</v>
      </c>
      <c r="N11" s="9">
        <v>5</v>
      </c>
      <c r="O11" s="9">
        <f t="shared" si="1"/>
        <v>24</v>
      </c>
      <c r="P11" s="11">
        <f t="shared" si="2"/>
        <v>0</v>
      </c>
    </row>
    <row r="12" spans="1:19" ht="18" customHeight="1" thickTop="1" thickBot="1" x14ac:dyDescent="0.35">
      <c r="A12" s="8">
        <v>7</v>
      </c>
      <c r="B12" s="9">
        <v>4750</v>
      </c>
      <c r="C12" s="9">
        <v>0</v>
      </c>
      <c r="D12" s="9">
        <v>1891</v>
      </c>
      <c r="E12" s="9">
        <v>389</v>
      </c>
      <c r="F12" s="9">
        <v>410</v>
      </c>
      <c r="G12" s="9">
        <v>546</v>
      </c>
      <c r="H12" s="9">
        <f t="shared" si="0"/>
        <v>7986</v>
      </c>
      <c r="I12" s="9">
        <v>0</v>
      </c>
      <c r="J12" s="13"/>
      <c r="K12" s="8">
        <v>7</v>
      </c>
      <c r="L12" s="9">
        <v>2</v>
      </c>
      <c r="M12" s="9">
        <v>22</v>
      </c>
      <c r="N12" s="9">
        <v>8</v>
      </c>
      <c r="O12" s="9">
        <f t="shared" si="1"/>
        <v>32</v>
      </c>
      <c r="P12" s="11">
        <f t="shared" si="2"/>
        <v>0</v>
      </c>
    </row>
    <row r="13" spans="1:19" ht="18" customHeight="1" thickTop="1" thickBot="1" x14ac:dyDescent="0.35">
      <c r="A13" s="8">
        <v>8</v>
      </c>
      <c r="B13" s="9">
        <v>5622</v>
      </c>
      <c r="C13" s="9">
        <v>0</v>
      </c>
      <c r="D13" s="9">
        <v>1603</v>
      </c>
      <c r="E13" s="9">
        <v>286</v>
      </c>
      <c r="F13" s="9">
        <v>407</v>
      </c>
      <c r="G13" s="9">
        <v>401</v>
      </c>
      <c r="H13" s="9">
        <f t="shared" si="0"/>
        <v>8319</v>
      </c>
      <c r="I13" s="9">
        <v>0</v>
      </c>
      <c r="J13" s="13"/>
      <c r="K13" s="8">
        <v>8</v>
      </c>
      <c r="L13" s="9">
        <v>4</v>
      </c>
      <c r="M13" s="9">
        <v>9</v>
      </c>
      <c r="N13" s="9">
        <v>3</v>
      </c>
      <c r="O13" s="9">
        <f t="shared" si="1"/>
        <v>16</v>
      </c>
      <c r="P13" s="11">
        <f t="shared" si="2"/>
        <v>0</v>
      </c>
    </row>
    <row r="14" spans="1:19" s="15" customFormat="1" ht="18" customHeight="1" thickTop="1" thickBot="1" x14ac:dyDescent="0.35">
      <c r="A14" s="8">
        <v>9</v>
      </c>
      <c r="B14" s="9">
        <v>6079</v>
      </c>
      <c r="C14" s="9">
        <v>0</v>
      </c>
      <c r="D14" s="9">
        <v>1294</v>
      </c>
      <c r="E14" s="9">
        <v>231</v>
      </c>
      <c r="F14" s="9">
        <v>236</v>
      </c>
      <c r="G14" s="9">
        <v>332</v>
      </c>
      <c r="H14" s="9">
        <f t="shared" si="0"/>
        <v>8172</v>
      </c>
      <c r="I14" s="9">
        <v>0</v>
      </c>
      <c r="J14" s="13"/>
      <c r="K14" s="8">
        <v>9</v>
      </c>
      <c r="L14" s="9">
        <v>3</v>
      </c>
      <c r="M14" s="9">
        <v>9</v>
      </c>
      <c r="N14" s="9">
        <v>5</v>
      </c>
      <c r="O14" s="9">
        <f t="shared" si="1"/>
        <v>17</v>
      </c>
      <c r="P14" s="14">
        <f t="shared" si="2"/>
        <v>0</v>
      </c>
    </row>
    <row r="15" spans="1:19" ht="18" customHeight="1" thickTop="1" thickBot="1" x14ac:dyDescent="0.35">
      <c r="A15" s="8">
        <v>10</v>
      </c>
      <c r="B15" s="9">
        <v>3693</v>
      </c>
      <c r="C15" s="9">
        <v>0</v>
      </c>
      <c r="D15" s="9">
        <v>1517</v>
      </c>
      <c r="E15" s="9">
        <v>409</v>
      </c>
      <c r="F15" s="9">
        <v>329</v>
      </c>
      <c r="G15" s="9">
        <v>506</v>
      </c>
      <c r="H15" s="9">
        <f t="shared" si="0"/>
        <v>6454</v>
      </c>
      <c r="I15" s="9">
        <v>0</v>
      </c>
      <c r="J15" s="13"/>
      <c r="K15" s="8">
        <v>10</v>
      </c>
      <c r="L15" s="9">
        <v>7</v>
      </c>
      <c r="M15" s="9">
        <v>17</v>
      </c>
      <c r="N15" s="9">
        <v>4</v>
      </c>
      <c r="O15" s="9">
        <f t="shared" si="1"/>
        <v>28</v>
      </c>
      <c r="P15" s="11">
        <f t="shared" si="2"/>
        <v>0</v>
      </c>
    </row>
    <row r="16" spans="1:19" ht="18" customHeight="1" thickTop="1" thickBot="1" x14ac:dyDescent="0.35">
      <c r="A16" s="8">
        <v>11</v>
      </c>
      <c r="B16" s="9">
        <v>3697</v>
      </c>
      <c r="C16" s="9">
        <v>0</v>
      </c>
      <c r="D16" s="9">
        <v>1770</v>
      </c>
      <c r="E16" s="9">
        <v>385</v>
      </c>
      <c r="F16" s="9">
        <v>367</v>
      </c>
      <c r="G16" s="9">
        <v>472</v>
      </c>
      <c r="H16" s="9">
        <f t="shared" si="0"/>
        <v>6691</v>
      </c>
      <c r="I16" s="9">
        <v>0</v>
      </c>
      <c r="J16" s="13"/>
      <c r="K16" s="8">
        <v>11</v>
      </c>
      <c r="L16" s="9">
        <v>0</v>
      </c>
      <c r="M16" s="9">
        <v>22</v>
      </c>
      <c r="N16" s="9">
        <v>5</v>
      </c>
      <c r="O16" s="9">
        <f t="shared" si="1"/>
        <v>27</v>
      </c>
      <c r="P16" s="11">
        <f t="shared" si="2"/>
        <v>0</v>
      </c>
    </row>
    <row r="17" spans="1:26" ht="16.5" customHeight="1" thickTop="1" thickBot="1" x14ac:dyDescent="0.35">
      <c r="A17" s="8">
        <v>12</v>
      </c>
      <c r="B17" s="9">
        <v>3968</v>
      </c>
      <c r="C17" s="9">
        <v>0</v>
      </c>
      <c r="D17" s="9">
        <v>2059</v>
      </c>
      <c r="E17" s="9">
        <v>407</v>
      </c>
      <c r="F17" s="9">
        <v>408</v>
      </c>
      <c r="G17" s="9">
        <v>540</v>
      </c>
      <c r="H17" s="9">
        <f t="shared" si="0"/>
        <v>7382</v>
      </c>
      <c r="I17" s="9">
        <v>0</v>
      </c>
      <c r="J17" s="13"/>
      <c r="K17" s="8">
        <v>12</v>
      </c>
      <c r="L17" s="9">
        <v>1</v>
      </c>
      <c r="M17" s="9">
        <v>23</v>
      </c>
      <c r="N17" s="9">
        <v>6</v>
      </c>
      <c r="O17" s="9">
        <f t="shared" si="1"/>
        <v>30</v>
      </c>
      <c r="P17" s="11">
        <f t="shared" si="2"/>
        <v>0</v>
      </c>
    </row>
    <row r="18" spans="1:26" ht="18" customHeight="1" thickTop="1" thickBot="1" x14ac:dyDescent="0.35">
      <c r="A18" s="8">
        <v>13</v>
      </c>
      <c r="B18" s="9">
        <v>4396</v>
      </c>
      <c r="C18" s="9">
        <v>0</v>
      </c>
      <c r="D18" s="9">
        <v>2036</v>
      </c>
      <c r="E18" s="9">
        <v>424</v>
      </c>
      <c r="F18" s="9">
        <v>441</v>
      </c>
      <c r="G18" s="9">
        <v>533</v>
      </c>
      <c r="H18" s="9">
        <f t="shared" si="0"/>
        <v>7830</v>
      </c>
      <c r="I18" s="9">
        <v>0</v>
      </c>
      <c r="J18" s="13"/>
      <c r="K18" s="8">
        <v>13</v>
      </c>
      <c r="L18" s="9">
        <v>5</v>
      </c>
      <c r="M18" s="9">
        <v>18</v>
      </c>
      <c r="N18" s="9">
        <v>4</v>
      </c>
      <c r="O18" s="9">
        <f t="shared" si="1"/>
        <v>27</v>
      </c>
      <c r="P18" s="11">
        <f t="shared" si="2"/>
        <v>0</v>
      </c>
    </row>
    <row r="19" spans="1:26" ht="18" customHeight="1" thickTop="1" thickBot="1" x14ac:dyDescent="0.35">
      <c r="A19" s="8">
        <v>14</v>
      </c>
      <c r="B19" s="9">
        <v>7652</v>
      </c>
      <c r="C19" s="9">
        <v>0</v>
      </c>
      <c r="D19" s="9">
        <v>1993</v>
      </c>
      <c r="E19" s="9">
        <v>385</v>
      </c>
      <c r="F19" s="9">
        <v>426</v>
      </c>
      <c r="G19" s="9">
        <v>450</v>
      </c>
      <c r="H19" s="9">
        <f t="shared" si="0"/>
        <v>10906</v>
      </c>
      <c r="I19" s="9">
        <v>0</v>
      </c>
      <c r="J19" s="13"/>
      <c r="K19" s="8">
        <v>14</v>
      </c>
      <c r="L19" s="9">
        <v>20</v>
      </c>
      <c r="M19" s="9">
        <v>13</v>
      </c>
      <c r="N19" s="9">
        <v>13</v>
      </c>
      <c r="O19" s="9">
        <f t="shared" si="1"/>
        <v>46</v>
      </c>
      <c r="P19" s="11">
        <f t="shared" si="2"/>
        <v>0</v>
      </c>
    </row>
    <row r="20" spans="1:26" ht="18" customHeight="1" thickTop="1" thickBot="1" x14ac:dyDescent="0.35">
      <c r="A20" s="8">
        <v>15</v>
      </c>
      <c r="B20" s="9">
        <v>10629</v>
      </c>
      <c r="C20" s="9">
        <v>0</v>
      </c>
      <c r="D20" s="9">
        <v>1544</v>
      </c>
      <c r="E20" s="9">
        <v>241</v>
      </c>
      <c r="F20" s="9">
        <v>367</v>
      </c>
      <c r="G20" s="9">
        <v>308</v>
      </c>
      <c r="H20" s="9">
        <f t="shared" si="0"/>
        <v>13089</v>
      </c>
      <c r="I20" s="9">
        <v>0</v>
      </c>
      <c r="J20" s="13"/>
      <c r="K20" s="8">
        <v>15</v>
      </c>
      <c r="L20" s="9">
        <v>0</v>
      </c>
      <c r="M20" s="9">
        <v>9</v>
      </c>
      <c r="N20" s="9">
        <v>11</v>
      </c>
      <c r="O20" s="9">
        <f t="shared" si="1"/>
        <v>20</v>
      </c>
      <c r="P20" s="11">
        <f t="shared" si="2"/>
        <v>0</v>
      </c>
    </row>
    <row r="21" spans="1:26" ht="18" customHeight="1" thickTop="1" thickBot="1" x14ac:dyDescent="0.35">
      <c r="A21" s="8">
        <v>16</v>
      </c>
      <c r="B21" s="9">
        <v>6859</v>
      </c>
      <c r="C21" s="9">
        <v>0</v>
      </c>
      <c r="D21" s="9">
        <v>1117</v>
      </c>
      <c r="E21" s="9">
        <v>192</v>
      </c>
      <c r="F21" s="9">
        <v>238</v>
      </c>
      <c r="G21" s="9">
        <v>333</v>
      </c>
      <c r="H21" s="9">
        <f t="shared" si="0"/>
        <v>8739</v>
      </c>
      <c r="I21" s="9">
        <v>0</v>
      </c>
      <c r="J21" s="13"/>
      <c r="K21" s="8">
        <v>16</v>
      </c>
      <c r="L21" s="9">
        <v>2</v>
      </c>
      <c r="M21" s="9">
        <v>19</v>
      </c>
      <c r="N21" s="9">
        <v>5</v>
      </c>
      <c r="O21" s="9">
        <f t="shared" si="1"/>
        <v>26</v>
      </c>
      <c r="P21" s="11">
        <f>+P20</f>
        <v>0</v>
      </c>
    </row>
    <row r="22" spans="1:26" ht="18" customHeight="1" thickTop="1" thickBot="1" x14ac:dyDescent="0.35">
      <c r="A22" s="8">
        <v>17</v>
      </c>
      <c r="B22" s="9">
        <v>11480</v>
      </c>
      <c r="C22" s="9">
        <v>0</v>
      </c>
      <c r="D22" s="9">
        <v>827</v>
      </c>
      <c r="E22" s="9">
        <v>85</v>
      </c>
      <c r="F22" s="9">
        <v>113</v>
      </c>
      <c r="G22" s="9">
        <v>159</v>
      </c>
      <c r="H22" s="9">
        <f t="shared" si="0"/>
        <v>12664</v>
      </c>
      <c r="I22" s="9">
        <v>0</v>
      </c>
      <c r="J22" s="13"/>
      <c r="K22" s="8">
        <v>17</v>
      </c>
      <c r="L22" s="9">
        <v>1</v>
      </c>
      <c r="M22" s="9">
        <v>6</v>
      </c>
      <c r="N22" s="9">
        <v>0</v>
      </c>
      <c r="O22" s="9">
        <f t="shared" si="1"/>
        <v>7</v>
      </c>
      <c r="P22" s="11">
        <f t="shared" si="2"/>
        <v>0</v>
      </c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18" customHeight="1" thickTop="1" thickBot="1" x14ac:dyDescent="0.35">
      <c r="A23" s="8">
        <v>18</v>
      </c>
      <c r="B23" s="9">
        <v>4665</v>
      </c>
      <c r="C23" s="9">
        <v>0</v>
      </c>
      <c r="D23" s="9">
        <v>1719</v>
      </c>
      <c r="E23" s="9">
        <v>403</v>
      </c>
      <c r="F23" s="9">
        <v>303</v>
      </c>
      <c r="G23" s="9">
        <v>508</v>
      </c>
      <c r="H23" s="9">
        <f t="shared" si="0"/>
        <v>7598</v>
      </c>
      <c r="I23" s="9">
        <v>0</v>
      </c>
      <c r="J23" s="13"/>
      <c r="K23" s="8">
        <v>18</v>
      </c>
      <c r="L23" s="9">
        <v>6</v>
      </c>
      <c r="M23" s="9">
        <v>26</v>
      </c>
      <c r="N23" s="9">
        <v>1</v>
      </c>
      <c r="O23" s="9">
        <f t="shared" si="1"/>
        <v>33</v>
      </c>
      <c r="P23" s="11">
        <f t="shared" si="2"/>
        <v>0</v>
      </c>
    </row>
    <row r="24" spans="1:26" ht="18" customHeight="1" thickTop="1" thickBot="1" x14ac:dyDescent="0.35">
      <c r="A24" s="8">
        <v>19</v>
      </c>
      <c r="B24" s="9">
        <v>3840</v>
      </c>
      <c r="C24" s="9">
        <v>0</v>
      </c>
      <c r="D24" s="9">
        <v>1908</v>
      </c>
      <c r="E24" s="9">
        <v>408</v>
      </c>
      <c r="F24" s="9">
        <v>404</v>
      </c>
      <c r="G24" s="9">
        <v>489</v>
      </c>
      <c r="H24" s="9">
        <f>SUM(B24:G24)</f>
        <v>7049</v>
      </c>
      <c r="I24" s="9">
        <v>0</v>
      </c>
      <c r="J24" s="13"/>
      <c r="K24" s="8">
        <v>19</v>
      </c>
      <c r="L24" s="9">
        <v>0</v>
      </c>
      <c r="M24" s="9">
        <v>29</v>
      </c>
      <c r="N24" s="9">
        <v>13</v>
      </c>
      <c r="O24" s="9">
        <f t="shared" si="1"/>
        <v>42</v>
      </c>
      <c r="P24" s="11">
        <f t="shared" si="2"/>
        <v>0</v>
      </c>
    </row>
    <row r="25" spans="1:26" ht="18" customHeight="1" thickTop="1" thickBot="1" x14ac:dyDescent="0.35">
      <c r="A25" s="8">
        <v>20</v>
      </c>
      <c r="B25" s="9">
        <v>4070</v>
      </c>
      <c r="C25" s="9">
        <v>0</v>
      </c>
      <c r="D25" s="9">
        <v>2133</v>
      </c>
      <c r="E25" s="9">
        <v>408</v>
      </c>
      <c r="F25" s="9">
        <v>457</v>
      </c>
      <c r="G25" s="9">
        <v>550</v>
      </c>
      <c r="H25" s="9">
        <f>SUM(B25:G25)</f>
        <v>7618</v>
      </c>
      <c r="I25" s="9">
        <v>0</v>
      </c>
      <c r="J25" s="13"/>
      <c r="K25" s="8">
        <v>20</v>
      </c>
      <c r="L25" s="9">
        <v>6</v>
      </c>
      <c r="M25" s="9">
        <v>16</v>
      </c>
      <c r="N25" s="9">
        <v>6</v>
      </c>
      <c r="O25" s="9">
        <f t="shared" si="1"/>
        <v>28</v>
      </c>
      <c r="P25" s="11">
        <f t="shared" si="2"/>
        <v>0</v>
      </c>
    </row>
    <row r="26" spans="1:26" ht="18" customHeight="1" thickTop="1" thickBot="1" x14ac:dyDescent="0.35">
      <c r="A26" s="8">
        <v>21</v>
      </c>
      <c r="B26" s="9">
        <v>5068</v>
      </c>
      <c r="C26" s="9">
        <v>0</v>
      </c>
      <c r="D26" s="9">
        <v>1932</v>
      </c>
      <c r="E26" s="9">
        <v>377</v>
      </c>
      <c r="F26" s="9">
        <v>390</v>
      </c>
      <c r="G26" s="9">
        <v>496</v>
      </c>
      <c r="H26" s="9">
        <f t="shared" si="0"/>
        <v>8263</v>
      </c>
      <c r="I26" s="9">
        <v>0</v>
      </c>
      <c r="J26" s="13"/>
      <c r="K26" s="8">
        <v>21</v>
      </c>
      <c r="L26" s="9">
        <v>4</v>
      </c>
      <c r="M26" s="9">
        <v>15</v>
      </c>
      <c r="N26" s="9">
        <v>6</v>
      </c>
      <c r="O26" s="9">
        <f t="shared" si="1"/>
        <v>25</v>
      </c>
      <c r="P26" s="11">
        <f t="shared" si="2"/>
        <v>0</v>
      </c>
    </row>
    <row r="27" spans="1:26" ht="18" customHeight="1" thickTop="1" thickBot="1" x14ac:dyDescent="0.35">
      <c r="A27" s="17">
        <v>22</v>
      </c>
      <c r="B27" s="18">
        <v>5739</v>
      </c>
      <c r="C27" s="18">
        <v>0</v>
      </c>
      <c r="D27" s="18">
        <v>1773</v>
      </c>
      <c r="E27" s="18">
        <v>314</v>
      </c>
      <c r="F27" s="18">
        <v>397</v>
      </c>
      <c r="G27" s="18">
        <v>436</v>
      </c>
      <c r="H27" s="18">
        <f t="shared" si="0"/>
        <v>8659</v>
      </c>
      <c r="I27" s="18">
        <v>0</v>
      </c>
      <c r="J27" s="19"/>
      <c r="K27" s="17">
        <v>22</v>
      </c>
      <c r="L27" s="18">
        <v>0</v>
      </c>
      <c r="M27" s="18">
        <v>17</v>
      </c>
      <c r="N27" s="18">
        <v>6</v>
      </c>
      <c r="O27" s="9">
        <f t="shared" si="1"/>
        <v>23</v>
      </c>
      <c r="P27" s="11">
        <f t="shared" si="2"/>
        <v>0</v>
      </c>
    </row>
    <row r="28" spans="1:26" ht="18" customHeight="1" thickTop="1" thickBot="1" x14ac:dyDescent="0.35">
      <c r="A28" s="8">
        <v>23</v>
      </c>
      <c r="B28" s="9">
        <v>6415</v>
      </c>
      <c r="C28" s="9">
        <v>0</v>
      </c>
      <c r="D28" s="9">
        <v>1431</v>
      </c>
      <c r="E28" s="9">
        <v>223</v>
      </c>
      <c r="F28" s="9">
        <v>245</v>
      </c>
      <c r="G28" s="9">
        <v>350</v>
      </c>
      <c r="H28" s="18">
        <f t="shared" si="0"/>
        <v>8664</v>
      </c>
      <c r="I28" s="9">
        <v>0</v>
      </c>
      <c r="J28" s="13"/>
      <c r="K28" s="8">
        <v>23</v>
      </c>
      <c r="L28" s="9">
        <v>2</v>
      </c>
      <c r="M28" s="9">
        <v>8</v>
      </c>
      <c r="N28" s="9">
        <v>2</v>
      </c>
      <c r="O28" s="9">
        <f t="shared" si="1"/>
        <v>12</v>
      </c>
      <c r="P28" s="11">
        <f t="shared" si="2"/>
        <v>0</v>
      </c>
    </row>
    <row r="29" spans="1:26" ht="18" customHeight="1" thickTop="1" thickBot="1" x14ac:dyDescent="0.35">
      <c r="A29" s="8">
        <v>24</v>
      </c>
      <c r="B29" s="9">
        <v>4082</v>
      </c>
      <c r="C29" s="9">
        <v>0</v>
      </c>
      <c r="D29" s="9">
        <v>1520</v>
      </c>
      <c r="E29" s="9">
        <v>381</v>
      </c>
      <c r="F29" s="9">
        <v>356</v>
      </c>
      <c r="G29" s="9">
        <v>484</v>
      </c>
      <c r="H29" s="9">
        <f t="shared" si="0"/>
        <v>6823</v>
      </c>
      <c r="I29" s="9">
        <v>0</v>
      </c>
      <c r="J29" s="13"/>
      <c r="K29" s="8">
        <v>24</v>
      </c>
      <c r="L29" s="9">
        <v>2</v>
      </c>
      <c r="M29" s="9">
        <v>20</v>
      </c>
      <c r="N29" s="9">
        <v>4</v>
      </c>
      <c r="O29" s="9">
        <f t="shared" si="1"/>
        <v>26</v>
      </c>
      <c r="P29" s="11">
        <f t="shared" si="2"/>
        <v>0</v>
      </c>
    </row>
    <row r="30" spans="1:26" ht="18" customHeight="1" thickTop="1" thickBot="1" x14ac:dyDescent="0.35">
      <c r="A30" s="8">
        <v>25</v>
      </c>
      <c r="B30" s="9">
        <v>3867</v>
      </c>
      <c r="C30" s="9">
        <v>0</v>
      </c>
      <c r="D30" s="9">
        <v>1918</v>
      </c>
      <c r="E30" s="9">
        <v>363</v>
      </c>
      <c r="F30" s="9">
        <v>367</v>
      </c>
      <c r="G30" s="9">
        <v>478</v>
      </c>
      <c r="H30" s="9">
        <f t="shared" si="0"/>
        <v>6993</v>
      </c>
      <c r="I30" s="9">
        <v>0</v>
      </c>
      <c r="J30" s="13"/>
      <c r="K30" s="8">
        <v>25</v>
      </c>
      <c r="L30" s="9">
        <v>0</v>
      </c>
      <c r="M30" s="9">
        <v>6</v>
      </c>
      <c r="N30" s="9">
        <v>5</v>
      </c>
      <c r="O30" s="9">
        <f t="shared" si="1"/>
        <v>11</v>
      </c>
      <c r="P30" s="11">
        <f t="shared" si="2"/>
        <v>0</v>
      </c>
    </row>
    <row r="31" spans="1:26" ht="18" customHeight="1" thickTop="1" thickBot="1" x14ac:dyDescent="0.35">
      <c r="A31" s="8">
        <v>26</v>
      </c>
      <c r="B31" s="20">
        <v>4020</v>
      </c>
      <c r="C31" s="20">
        <v>0</v>
      </c>
      <c r="D31" s="20">
        <v>2091</v>
      </c>
      <c r="E31" s="20">
        <v>407</v>
      </c>
      <c r="F31" s="21">
        <v>449</v>
      </c>
      <c r="G31" s="20">
        <v>529</v>
      </c>
      <c r="H31" s="22">
        <f t="shared" si="0"/>
        <v>7496</v>
      </c>
      <c r="I31" s="22">
        <v>0</v>
      </c>
      <c r="J31" s="13"/>
      <c r="K31" s="23">
        <v>26</v>
      </c>
      <c r="L31" s="20">
        <v>1</v>
      </c>
      <c r="M31" s="20">
        <v>26</v>
      </c>
      <c r="N31" s="20">
        <v>3</v>
      </c>
      <c r="O31" s="9">
        <f t="shared" si="1"/>
        <v>30</v>
      </c>
      <c r="P31" s="11">
        <f t="shared" si="2"/>
        <v>0</v>
      </c>
    </row>
    <row r="32" spans="1:26" ht="18" customHeight="1" thickTop="1" thickBot="1" x14ac:dyDescent="0.35">
      <c r="A32" s="8">
        <v>27</v>
      </c>
      <c r="B32" s="24">
        <v>4593</v>
      </c>
      <c r="C32" s="24">
        <v>0</v>
      </c>
      <c r="D32" s="24">
        <v>2059</v>
      </c>
      <c r="E32" s="24">
        <v>388</v>
      </c>
      <c r="F32" s="24">
        <v>412</v>
      </c>
      <c r="G32" s="24">
        <v>543</v>
      </c>
      <c r="H32" s="9">
        <f t="shared" si="0"/>
        <v>7995</v>
      </c>
      <c r="I32" s="9">
        <v>0</v>
      </c>
      <c r="J32" s="9"/>
      <c r="K32" s="8">
        <v>27</v>
      </c>
      <c r="L32" s="24">
        <v>0</v>
      </c>
      <c r="M32" s="24">
        <v>29</v>
      </c>
      <c r="N32" s="24">
        <v>7</v>
      </c>
      <c r="O32" s="9">
        <f t="shared" si="1"/>
        <v>36</v>
      </c>
      <c r="P32" s="11">
        <f t="shared" si="2"/>
        <v>0</v>
      </c>
    </row>
    <row r="33" spans="1:16" ht="18" customHeight="1" thickTop="1" thickBot="1" x14ac:dyDescent="0.35">
      <c r="A33" s="8">
        <v>28</v>
      </c>
      <c r="B33" s="24">
        <v>5490</v>
      </c>
      <c r="C33" s="24">
        <v>0</v>
      </c>
      <c r="D33" s="24">
        <v>1922</v>
      </c>
      <c r="E33" s="24">
        <v>399</v>
      </c>
      <c r="F33" s="24">
        <v>413</v>
      </c>
      <c r="G33" s="24">
        <v>518</v>
      </c>
      <c r="H33" s="9">
        <f t="shared" si="0"/>
        <v>8742</v>
      </c>
      <c r="I33" s="9">
        <v>0</v>
      </c>
      <c r="J33" s="9"/>
      <c r="K33" s="8">
        <v>28</v>
      </c>
      <c r="L33" s="24">
        <v>11</v>
      </c>
      <c r="M33" s="24">
        <v>24</v>
      </c>
      <c r="N33" s="24">
        <v>3</v>
      </c>
      <c r="O33" s="9">
        <f t="shared" si="1"/>
        <v>38</v>
      </c>
      <c r="P33" s="11">
        <f t="shared" si="2"/>
        <v>0</v>
      </c>
    </row>
    <row r="34" spans="1:16" ht="18" customHeight="1" thickTop="1" thickBot="1" x14ac:dyDescent="0.35">
      <c r="A34" s="8">
        <v>29</v>
      </c>
      <c r="B34" s="24">
        <v>6192</v>
      </c>
      <c r="C34" s="24">
        <v>0</v>
      </c>
      <c r="D34" s="24">
        <v>1696</v>
      </c>
      <c r="E34" s="24">
        <v>303</v>
      </c>
      <c r="F34" s="24">
        <v>408</v>
      </c>
      <c r="G34" s="24">
        <v>436</v>
      </c>
      <c r="H34" s="9">
        <f t="shared" si="0"/>
        <v>9035</v>
      </c>
      <c r="I34" s="9">
        <v>0</v>
      </c>
      <c r="J34" s="9"/>
      <c r="K34" s="8">
        <v>29</v>
      </c>
      <c r="L34" s="24">
        <v>2</v>
      </c>
      <c r="M34" s="24">
        <v>9</v>
      </c>
      <c r="N34" s="24">
        <v>4</v>
      </c>
      <c r="O34" s="9">
        <f t="shared" si="1"/>
        <v>15</v>
      </c>
      <c r="P34" s="11">
        <f t="shared" si="2"/>
        <v>0</v>
      </c>
    </row>
    <row r="35" spans="1:16" ht="18" customHeight="1" thickTop="1" thickBot="1" x14ac:dyDescent="0.35">
      <c r="A35" s="8">
        <v>30</v>
      </c>
      <c r="B35" s="24">
        <v>7224</v>
      </c>
      <c r="C35" s="24">
        <v>0</v>
      </c>
      <c r="D35" s="24">
        <v>1424</v>
      </c>
      <c r="E35" s="24">
        <v>239</v>
      </c>
      <c r="F35" s="24">
        <v>273</v>
      </c>
      <c r="G35" s="24">
        <v>358</v>
      </c>
      <c r="H35" s="25">
        <f t="shared" si="0"/>
        <v>9518</v>
      </c>
      <c r="I35" s="25">
        <v>0</v>
      </c>
      <c r="J35" s="25"/>
      <c r="K35" s="26">
        <v>30</v>
      </c>
      <c r="L35" s="24">
        <v>3</v>
      </c>
      <c r="M35" s="24">
        <v>5</v>
      </c>
      <c r="N35" s="24">
        <v>3</v>
      </c>
      <c r="O35" s="9">
        <f t="shared" si="1"/>
        <v>11</v>
      </c>
      <c r="P35" s="11">
        <f t="shared" si="2"/>
        <v>0</v>
      </c>
    </row>
    <row r="36" spans="1:16" ht="18.75" customHeight="1" thickTop="1" thickBot="1" x14ac:dyDescent="0.35">
      <c r="A36" s="8">
        <v>31</v>
      </c>
      <c r="B36" s="24"/>
      <c r="C36" s="24"/>
      <c r="D36" s="24"/>
      <c r="E36" s="24"/>
      <c r="F36" s="24"/>
      <c r="G36" s="24"/>
      <c r="H36" s="25">
        <f t="shared" si="0"/>
        <v>0</v>
      </c>
      <c r="I36" s="9">
        <v>0</v>
      </c>
      <c r="J36" s="9"/>
      <c r="K36" s="8">
        <v>31</v>
      </c>
      <c r="L36" s="24"/>
      <c r="M36" s="24"/>
      <c r="N36" s="24"/>
      <c r="O36" s="9">
        <f t="shared" si="1"/>
        <v>0</v>
      </c>
      <c r="P36" s="11">
        <f t="shared" si="2"/>
        <v>0</v>
      </c>
    </row>
    <row r="37" spans="1:16" ht="18" customHeight="1" thickTop="1" x14ac:dyDescent="0.3">
      <c r="A37" s="5" t="s">
        <v>20</v>
      </c>
      <c r="B37" s="27">
        <f>SUM(B6:B36)</f>
        <v>175235</v>
      </c>
      <c r="C37" s="27">
        <f t="shared" ref="C37" si="3">SUM(C6:C36)</f>
        <v>0</v>
      </c>
      <c r="D37" s="27">
        <f>SUM(D6:D36)</f>
        <v>50346</v>
      </c>
      <c r="E37" s="27">
        <f>SUM(E6:E36)</f>
        <v>9688</v>
      </c>
      <c r="F37" s="27">
        <f>SUM(F6:F36)</f>
        <v>10504</v>
      </c>
      <c r="G37" s="27">
        <f>SUM(G6:G36)</f>
        <v>13060</v>
      </c>
      <c r="H37" s="27">
        <f>SUM(H6:H36)</f>
        <v>258833</v>
      </c>
      <c r="I37" s="27">
        <f>SUM(I6:I33)</f>
        <v>0</v>
      </c>
      <c r="J37" s="27"/>
      <c r="K37" s="27" t="s">
        <v>21</v>
      </c>
      <c r="L37" s="27">
        <f>SUM(L6:L36)</f>
        <v>97</v>
      </c>
      <c r="M37" s="27">
        <f>SUM(M6:M36)</f>
        <v>463</v>
      </c>
      <c r="N37" s="27">
        <f>SUM(N6:N36)</f>
        <v>162</v>
      </c>
      <c r="O37" s="8">
        <f t="shared" si="1"/>
        <v>722</v>
      </c>
      <c r="P37" s="27">
        <f>SUM(P6:P36)</f>
        <v>18405</v>
      </c>
    </row>
    <row r="38" spans="1:16" ht="18" customHeight="1" x14ac:dyDescent="0.3">
      <c r="A38" s="5" t="s">
        <v>20</v>
      </c>
      <c r="B38" s="39">
        <f>+B37+C37</f>
        <v>175235</v>
      </c>
      <c r="C38" s="39"/>
      <c r="D38" s="27">
        <f>+D37</f>
        <v>50346</v>
      </c>
      <c r="E38" s="27">
        <f>+E37</f>
        <v>9688</v>
      </c>
      <c r="F38" s="27">
        <f>+F37</f>
        <v>10504</v>
      </c>
      <c r="G38" s="27">
        <f>+G37</f>
        <v>13060</v>
      </c>
      <c r="H38" s="27">
        <f>SUM(B38:G38)</f>
        <v>258833</v>
      </c>
      <c r="I38" s="27">
        <v>0</v>
      </c>
      <c r="J38" s="28"/>
      <c r="K38" s="29"/>
      <c r="L38" s="29" t="s">
        <v>22</v>
      </c>
      <c r="M38" s="29" t="s">
        <v>23</v>
      </c>
      <c r="N38" s="29" t="s">
        <v>22</v>
      </c>
      <c r="O38" s="29"/>
    </row>
    <row r="39" spans="1:16" x14ac:dyDescent="0.3">
      <c r="A39" s="32"/>
      <c r="B39" s="33"/>
      <c r="C39" s="33"/>
      <c r="D39" s="33"/>
      <c r="E39" s="33"/>
      <c r="F39" s="33"/>
      <c r="G39" s="33"/>
      <c r="H39" s="33"/>
      <c r="I39" s="33"/>
      <c r="J39" s="31"/>
      <c r="K39" s="34"/>
      <c r="L39" s="35"/>
    </row>
    <row r="41" spans="1:16" x14ac:dyDescent="0.3">
      <c r="A41" s="36"/>
    </row>
    <row r="42" spans="1:16" x14ac:dyDescent="0.3">
      <c r="A42" s="36"/>
      <c r="B42" s="12"/>
      <c r="C42" s="12"/>
      <c r="D42" s="12"/>
      <c r="E42" s="12"/>
      <c r="F42" s="12"/>
      <c r="H42" s="12"/>
      <c r="I42" s="12"/>
      <c r="J42" s="12"/>
      <c r="K42" s="37"/>
      <c r="L42" s="12"/>
      <c r="M42" s="12"/>
      <c r="N42" s="12"/>
      <c r="O42" s="12"/>
    </row>
  </sheetData>
  <mergeCells count="13">
    <mergeCell ref="N4:N5"/>
    <mergeCell ref="O4:O5"/>
    <mergeCell ref="B38:C38"/>
    <mergeCell ref="A1:O1"/>
    <mergeCell ref="A2:O2"/>
    <mergeCell ref="A3:O3"/>
    <mergeCell ref="A4:A5"/>
    <mergeCell ref="B4:C4"/>
    <mergeCell ref="H4:H5"/>
    <mergeCell ref="I4:I5"/>
    <mergeCell ref="K4:K5"/>
    <mergeCell ref="L4:L5"/>
    <mergeCell ref="M4:M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4F208-2E90-4500-BF7B-4DF3C583C6D9}">
  <dimension ref="A1:Z42"/>
  <sheetViews>
    <sheetView tabSelected="1" workbookViewId="0">
      <selection activeCell="C11" sqref="C11"/>
    </sheetView>
  </sheetViews>
  <sheetFormatPr baseColWidth="10" defaultColWidth="11.44140625" defaultRowHeight="13.8" x14ac:dyDescent="0.3"/>
  <cols>
    <col min="1" max="1" width="15.33203125" style="6" customWidth="1"/>
    <col min="2" max="2" width="12.6640625" style="6" customWidth="1"/>
    <col min="3" max="3" width="9.6640625" style="6" customWidth="1"/>
    <col min="4" max="9" width="12.6640625" style="6" customWidth="1"/>
    <col min="10" max="10" width="4.6640625" style="6" customWidth="1"/>
    <col min="11" max="11" width="12.5546875" style="30" customWidth="1"/>
    <col min="12" max="15" width="12.5546875" style="6" customWidth="1"/>
    <col min="16" max="16" width="0" style="6" hidden="1" customWidth="1"/>
    <col min="17" max="16384" width="11.44140625" style="6"/>
  </cols>
  <sheetData>
    <row r="1" spans="1:19" s="1" customFormat="1" ht="15.6" x14ac:dyDescent="0.3">
      <c r="A1" s="40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</row>
    <row r="2" spans="1:19" s="1" customFormat="1" ht="15.6" x14ac:dyDescent="0.3">
      <c r="A2" s="40" t="s">
        <v>24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</row>
    <row r="3" spans="1:19" s="1" customFormat="1" ht="15.6" x14ac:dyDescent="0.3">
      <c r="A3" s="41" t="s">
        <v>36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</row>
    <row r="4" spans="1:19" ht="82.5" customHeight="1" x14ac:dyDescent="0.3">
      <c r="A4" s="42" t="s">
        <v>2</v>
      </c>
      <c r="B4" s="38" t="s">
        <v>3</v>
      </c>
      <c r="C4" s="38"/>
      <c r="D4" s="3" t="s">
        <v>4</v>
      </c>
      <c r="E4" s="3" t="s">
        <v>5</v>
      </c>
      <c r="F4" s="3" t="s">
        <v>6</v>
      </c>
      <c r="G4" s="3" t="s">
        <v>7</v>
      </c>
      <c r="H4" s="38" t="s">
        <v>8</v>
      </c>
      <c r="I4" s="38" t="s">
        <v>9</v>
      </c>
      <c r="J4" s="4"/>
      <c r="K4" s="44" t="s">
        <v>2</v>
      </c>
      <c r="L4" s="38" t="s">
        <v>10</v>
      </c>
      <c r="M4" s="38" t="s">
        <v>11</v>
      </c>
      <c r="N4" s="38" t="s">
        <v>12</v>
      </c>
      <c r="O4" s="38" t="s">
        <v>13</v>
      </c>
    </row>
    <row r="5" spans="1:19" ht="21" customHeight="1" x14ac:dyDescent="0.3">
      <c r="A5" s="43"/>
      <c r="B5" s="5" t="s">
        <v>14</v>
      </c>
      <c r="C5" s="5" t="s">
        <v>15</v>
      </c>
      <c r="D5" s="5" t="s">
        <v>16</v>
      </c>
      <c r="E5" s="5" t="s">
        <v>17</v>
      </c>
      <c r="F5" s="5" t="s">
        <v>18</v>
      </c>
      <c r="G5" s="5" t="s">
        <v>19</v>
      </c>
      <c r="H5" s="38"/>
      <c r="I5" s="38"/>
      <c r="J5" s="4"/>
      <c r="K5" s="44"/>
      <c r="L5" s="38"/>
      <c r="M5" s="38"/>
      <c r="N5" s="38"/>
      <c r="O5" s="38"/>
    </row>
    <row r="6" spans="1:19" ht="18" customHeight="1" thickBot="1" x14ac:dyDescent="0.35">
      <c r="A6" s="8">
        <v>1</v>
      </c>
      <c r="B6" s="9">
        <v>4478</v>
      </c>
      <c r="C6" s="9">
        <v>0</v>
      </c>
      <c r="D6" s="9">
        <v>1560</v>
      </c>
      <c r="E6" s="9">
        <v>407</v>
      </c>
      <c r="F6" s="9">
        <v>311</v>
      </c>
      <c r="G6" s="9">
        <v>464</v>
      </c>
      <c r="H6" s="9">
        <v>7220</v>
      </c>
      <c r="I6" s="9">
        <v>0</v>
      </c>
      <c r="J6" s="10"/>
      <c r="K6" s="8">
        <v>1</v>
      </c>
      <c r="L6" s="9">
        <v>2</v>
      </c>
      <c r="M6" s="9">
        <v>23</v>
      </c>
      <c r="N6" s="9">
        <v>7</v>
      </c>
      <c r="O6" s="9">
        <f>SUM(L6:N6)</f>
        <v>32</v>
      </c>
      <c r="P6" s="11">
        <v>6135</v>
      </c>
    </row>
    <row r="7" spans="1:19" ht="18" customHeight="1" thickTop="1" thickBot="1" x14ac:dyDescent="0.35">
      <c r="A7" s="8">
        <v>2</v>
      </c>
      <c r="B7" s="9">
        <v>4411</v>
      </c>
      <c r="C7" s="9">
        <v>0</v>
      </c>
      <c r="D7" s="9">
        <v>1979</v>
      </c>
      <c r="E7" s="9">
        <v>413</v>
      </c>
      <c r="F7" s="9">
        <v>421</v>
      </c>
      <c r="G7" s="9">
        <v>483</v>
      </c>
      <c r="H7" s="9">
        <f t="shared" ref="H7:H36" si="0">SUM(B7:G7)</f>
        <v>7707</v>
      </c>
      <c r="I7" s="9">
        <v>0</v>
      </c>
      <c r="J7" s="10"/>
      <c r="K7" s="8">
        <v>2</v>
      </c>
      <c r="L7" s="9">
        <v>4</v>
      </c>
      <c r="M7" s="9">
        <v>29</v>
      </c>
      <c r="N7" s="9">
        <v>2</v>
      </c>
      <c r="O7" s="9">
        <f t="shared" ref="O7:O37" si="1">SUM(L7:N7)</f>
        <v>35</v>
      </c>
      <c r="P7" s="11">
        <f>+P6</f>
        <v>6135</v>
      </c>
    </row>
    <row r="8" spans="1:19" ht="18" customHeight="1" thickTop="1" thickBot="1" x14ac:dyDescent="0.35">
      <c r="A8" s="8">
        <v>3</v>
      </c>
      <c r="B8" s="9">
        <v>4591</v>
      </c>
      <c r="C8" s="9">
        <v>0</v>
      </c>
      <c r="D8" s="9">
        <v>2081</v>
      </c>
      <c r="E8" s="9">
        <v>453</v>
      </c>
      <c r="F8" s="9">
        <v>424</v>
      </c>
      <c r="G8" s="9">
        <v>509</v>
      </c>
      <c r="H8" s="9">
        <f t="shared" si="0"/>
        <v>8058</v>
      </c>
      <c r="I8" s="9">
        <v>0</v>
      </c>
      <c r="J8" s="10"/>
      <c r="K8" s="8">
        <v>3</v>
      </c>
      <c r="L8" s="9">
        <v>1</v>
      </c>
      <c r="M8" s="9">
        <v>27</v>
      </c>
      <c r="N8" s="9">
        <v>9</v>
      </c>
      <c r="O8" s="9">
        <f t="shared" si="1"/>
        <v>37</v>
      </c>
      <c r="P8" s="11">
        <f t="shared" ref="P8:P36" si="2">+P7</f>
        <v>6135</v>
      </c>
      <c r="S8" s="12"/>
    </row>
    <row r="9" spans="1:19" ht="18" customHeight="1" thickTop="1" thickBot="1" x14ac:dyDescent="0.35">
      <c r="A9" s="8">
        <v>4</v>
      </c>
      <c r="B9" s="9">
        <v>5373</v>
      </c>
      <c r="C9" s="9">
        <v>0</v>
      </c>
      <c r="D9" s="9">
        <v>2103</v>
      </c>
      <c r="E9" s="9">
        <v>393</v>
      </c>
      <c r="F9" s="9">
        <v>416</v>
      </c>
      <c r="G9" s="9">
        <v>563</v>
      </c>
      <c r="H9" s="9">
        <f t="shared" si="0"/>
        <v>8848</v>
      </c>
      <c r="I9" s="9">
        <v>0</v>
      </c>
      <c r="J9" s="10"/>
      <c r="K9" s="8">
        <v>4</v>
      </c>
      <c r="L9" s="9">
        <v>0</v>
      </c>
      <c r="M9" s="9">
        <v>31</v>
      </c>
      <c r="N9" s="9">
        <v>6</v>
      </c>
      <c r="O9" s="9">
        <f t="shared" si="1"/>
        <v>37</v>
      </c>
      <c r="P9" s="11">
        <v>0</v>
      </c>
    </row>
    <row r="10" spans="1:19" ht="18" customHeight="1" thickTop="1" thickBot="1" x14ac:dyDescent="0.35">
      <c r="A10" s="8">
        <v>5</v>
      </c>
      <c r="B10" s="9">
        <f>7203+260</f>
        <v>7463</v>
      </c>
      <c r="C10" s="9">
        <v>0</v>
      </c>
      <c r="D10" s="9">
        <v>1984</v>
      </c>
      <c r="E10" s="9">
        <v>363</v>
      </c>
      <c r="F10" s="9">
        <v>393</v>
      </c>
      <c r="G10" s="9">
        <v>457</v>
      </c>
      <c r="H10" s="9">
        <f t="shared" si="0"/>
        <v>10660</v>
      </c>
      <c r="I10" s="9">
        <v>0</v>
      </c>
      <c r="J10" s="10"/>
      <c r="K10" s="8">
        <v>5</v>
      </c>
      <c r="L10" s="9">
        <v>3</v>
      </c>
      <c r="M10" s="9">
        <v>19</v>
      </c>
      <c r="N10" s="9">
        <v>12</v>
      </c>
      <c r="O10" s="9">
        <f t="shared" si="1"/>
        <v>34</v>
      </c>
      <c r="P10" s="11">
        <f t="shared" si="2"/>
        <v>0</v>
      </c>
    </row>
    <row r="11" spans="1:19" ht="18" customHeight="1" thickTop="1" thickBot="1" x14ac:dyDescent="0.35">
      <c r="A11" s="8">
        <v>6</v>
      </c>
      <c r="B11" s="9">
        <f>9075+905</f>
        <v>9980</v>
      </c>
      <c r="C11" s="9">
        <v>0</v>
      </c>
      <c r="D11" s="9">
        <v>1542</v>
      </c>
      <c r="E11" s="9">
        <v>214</v>
      </c>
      <c r="F11" s="9">
        <v>360</v>
      </c>
      <c r="G11" s="9">
        <v>291</v>
      </c>
      <c r="H11" s="9">
        <f t="shared" si="0"/>
        <v>12387</v>
      </c>
      <c r="I11" s="9">
        <v>0</v>
      </c>
      <c r="J11" s="10"/>
      <c r="K11" s="8">
        <v>6</v>
      </c>
      <c r="L11" s="9">
        <v>0</v>
      </c>
      <c r="M11" s="9">
        <v>8</v>
      </c>
      <c r="N11" s="9">
        <v>4</v>
      </c>
      <c r="O11" s="9">
        <f t="shared" si="1"/>
        <v>12</v>
      </c>
      <c r="P11" s="11">
        <f t="shared" si="2"/>
        <v>0</v>
      </c>
    </row>
    <row r="12" spans="1:19" ht="18" customHeight="1" thickTop="1" thickBot="1" x14ac:dyDescent="0.35">
      <c r="A12" s="8">
        <v>7</v>
      </c>
      <c r="B12" s="9">
        <f>4935+375</f>
        <v>5310</v>
      </c>
      <c r="C12" s="9">
        <v>0</v>
      </c>
      <c r="D12" s="9">
        <v>1257</v>
      </c>
      <c r="E12" s="9">
        <v>236</v>
      </c>
      <c r="F12" s="9">
        <v>282</v>
      </c>
      <c r="G12" s="9">
        <v>341</v>
      </c>
      <c r="H12" s="9">
        <f t="shared" si="0"/>
        <v>7426</v>
      </c>
      <c r="I12" s="9">
        <v>0</v>
      </c>
      <c r="J12" s="13"/>
      <c r="K12" s="8">
        <v>7</v>
      </c>
      <c r="L12" s="9">
        <v>3</v>
      </c>
      <c r="M12" s="9">
        <v>15</v>
      </c>
      <c r="N12" s="9">
        <v>4</v>
      </c>
      <c r="O12" s="9">
        <f t="shared" si="1"/>
        <v>22</v>
      </c>
      <c r="P12" s="11">
        <f t="shared" si="2"/>
        <v>0</v>
      </c>
    </row>
    <row r="13" spans="1:19" ht="18" customHeight="1" thickTop="1" thickBot="1" x14ac:dyDescent="0.35">
      <c r="A13" s="8">
        <v>8</v>
      </c>
      <c r="B13" s="9">
        <f>8489+1830</f>
        <v>10319</v>
      </c>
      <c r="C13" s="9">
        <v>0</v>
      </c>
      <c r="D13" s="9">
        <v>803</v>
      </c>
      <c r="E13" s="9">
        <v>72</v>
      </c>
      <c r="F13" s="9">
        <v>123</v>
      </c>
      <c r="G13" s="9">
        <v>118</v>
      </c>
      <c r="H13" s="9">
        <f t="shared" si="0"/>
        <v>11435</v>
      </c>
      <c r="I13" s="9">
        <v>0</v>
      </c>
      <c r="J13" s="13"/>
      <c r="K13" s="8">
        <v>8</v>
      </c>
      <c r="L13" s="9">
        <v>0</v>
      </c>
      <c r="M13" s="9">
        <v>1</v>
      </c>
      <c r="N13" s="9">
        <v>0</v>
      </c>
      <c r="O13" s="9">
        <f t="shared" si="1"/>
        <v>1</v>
      </c>
      <c r="P13" s="11">
        <f t="shared" si="2"/>
        <v>0</v>
      </c>
    </row>
    <row r="14" spans="1:19" s="15" customFormat="1" ht="18" customHeight="1" thickTop="1" thickBot="1" x14ac:dyDescent="0.35">
      <c r="A14" s="8">
        <v>9</v>
      </c>
      <c r="B14" s="9">
        <v>5613</v>
      </c>
      <c r="C14" s="9">
        <v>0</v>
      </c>
      <c r="D14" s="9">
        <v>1783</v>
      </c>
      <c r="E14" s="9">
        <v>403</v>
      </c>
      <c r="F14" s="9">
        <v>337</v>
      </c>
      <c r="G14" s="9">
        <v>533</v>
      </c>
      <c r="H14" s="9">
        <f t="shared" si="0"/>
        <v>8669</v>
      </c>
      <c r="I14" s="9">
        <v>0</v>
      </c>
      <c r="J14" s="13"/>
      <c r="K14" s="8">
        <v>9</v>
      </c>
      <c r="L14" s="9">
        <v>3</v>
      </c>
      <c r="M14" s="9">
        <v>2</v>
      </c>
      <c r="N14" s="9">
        <v>4</v>
      </c>
      <c r="O14" s="9">
        <f t="shared" si="1"/>
        <v>9</v>
      </c>
      <c r="P14" s="14">
        <f t="shared" si="2"/>
        <v>0</v>
      </c>
    </row>
    <row r="15" spans="1:19" ht="18" customHeight="1" thickTop="1" thickBot="1" x14ac:dyDescent="0.35">
      <c r="A15" s="8">
        <v>10</v>
      </c>
      <c r="B15" s="9">
        <v>4897</v>
      </c>
      <c r="C15" s="9">
        <v>0</v>
      </c>
      <c r="D15" s="9">
        <v>2084</v>
      </c>
      <c r="E15" s="9">
        <v>420</v>
      </c>
      <c r="F15" s="9">
        <v>422</v>
      </c>
      <c r="G15" s="9">
        <v>475</v>
      </c>
      <c r="H15" s="9">
        <f t="shared" si="0"/>
        <v>8298</v>
      </c>
      <c r="I15" s="9">
        <v>0</v>
      </c>
      <c r="J15" s="13"/>
      <c r="K15" s="8">
        <v>10</v>
      </c>
      <c r="L15" s="9">
        <v>0</v>
      </c>
      <c r="M15" s="9">
        <v>19</v>
      </c>
      <c r="N15" s="9">
        <v>8</v>
      </c>
      <c r="O15" s="9">
        <f t="shared" si="1"/>
        <v>27</v>
      </c>
      <c r="P15" s="11">
        <f t="shared" si="2"/>
        <v>0</v>
      </c>
    </row>
    <row r="16" spans="1:19" ht="18" customHeight="1" thickTop="1" thickBot="1" x14ac:dyDescent="0.35">
      <c r="A16" s="8">
        <v>11</v>
      </c>
      <c r="B16" s="9">
        <v>5186</v>
      </c>
      <c r="C16" s="9">
        <v>0</v>
      </c>
      <c r="D16" s="9">
        <v>2113</v>
      </c>
      <c r="E16" s="9">
        <v>418</v>
      </c>
      <c r="F16" s="9">
        <v>432</v>
      </c>
      <c r="G16" s="9">
        <v>593</v>
      </c>
      <c r="H16" s="9">
        <f t="shared" si="0"/>
        <v>8742</v>
      </c>
      <c r="I16" s="9">
        <v>0</v>
      </c>
      <c r="J16" s="13"/>
      <c r="K16" s="8">
        <v>11</v>
      </c>
      <c r="L16" s="9">
        <v>1</v>
      </c>
      <c r="M16" s="9">
        <v>18</v>
      </c>
      <c r="N16" s="9">
        <v>10</v>
      </c>
      <c r="O16" s="9">
        <f t="shared" si="1"/>
        <v>29</v>
      </c>
      <c r="P16" s="11">
        <f t="shared" si="2"/>
        <v>0</v>
      </c>
    </row>
    <row r="17" spans="1:26" ht="16.5" customHeight="1" thickTop="1" thickBot="1" x14ac:dyDescent="0.35">
      <c r="A17" s="8">
        <v>12</v>
      </c>
      <c r="B17" s="9">
        <v>5982</v>
      </c>
      <c r="C17" s="9">
        <v>0</v>
      </c>
      <c r="D17" s="9">
        <v>2164</v>
      </c>
      <c r="E17" s="9">
        <v>391</v>
      </c>
      <c r="F17" s="9">
        <v>409</v>
      </c>
      <c r="G17" s="9">
        <v>499</v>
      </c>
      <c r="H17" s="9">
        <f t="shared" si="0"/>
        <v>9445</v>
      </c>
      <c r="I17" s="9">
        <v>0</v>
      </c>
      <c r="J17" s="13"/>
      <c r="K17" s="8">
        <v>12</v>
      </c>
      <c r="L17" s="9">
        <v>0</v>
      </c>
      <c r="M17" s="9">
        <v>16</v>
      </c>
      <c r="N17" s="9">
        <v>3</v>
      </c>
      <c r="O17" s="9">
        <f t="shared" si="1"/>
        <v>19</v>
      </c>
      <c r="P17" s="11">
        <f t="shared" si="2"/>
        <v>0</v>
      </c>
    </row>
    <row r="18" spans="1:26" ht="18" customHeight="1" thickTop="1" thickBot="1" x14ac:dyDescent="0.35">
      <c r="A18" s="8">
        <v>13</v>
      </c>
      <c r="B18" s="9">
        <f>6725+351</f>
        <v>7076</v>
      </c>
      <c r="C18" s="9">
        <v>0</v>
      </c>
      <c r="D18" s="9">
        <v>1982</v>
      </c>
      <c r="E18" s="9">
        <v>307</v>
      </c>
      <c r="F18" s="9">
        <v>417</v>
      </c>
      <c r="G18" s="9">
        <v>418</v>
      </c>
      <c r="H18" s="9">
        <f t="shared" si="0"/>
        <v>10200</v>
      </c>
      <c r="I18" s="9">
        <v>0</v>
      </c>
      <c r="J18" s="13"/>
      <c r="K18" s="8">
        <v>13</v>
      </c>
      <c r="L18" s="9">
        <v>1</v>
      </c>
      <c r="M18" s="9">
        <v>10</v>
      </c>
      <c r="N18" s="9">
        <v>7</v>
      </c>
      <c r="O18" s="9">
        <f t="shared" si="1"/>
        <v>18</v>
      </c>
      <c r="P18" s="11">
        <f t="shared" si="2"/>
        <v>0</v>
      </c>
    </row>
    <row r="19" spans="1:26" ht="18" customHeight="1" thickTop="1" thickBot="1" x14ac:dyDescent="0.35">
      <c r="A19" s="8">
        <v>14</v>
      </c>
      <c r="B19" s="9">
        <f>6297+745</f>
        <v>7042</v>
      </c>
      <c r="C19" s="9">
        <v>0</v>
      </c>
      <c r="D19" s="9">
        <v>1457</v>
      </c>
      <c r="E19" s="9">
        <v>197</v>
      </c>
      <c r="F19" s="9">
        <v>248</v>
      </c>
      <c r="G19" s="9">
        <v>332</v>
      </c>
      <c r="H19" s="9">
        <f t="shared" si="0"/>
        <v>9276</v>
      </c>
      <c r="I19" s="9">
        <v>0</v>
      </c>
      <c r="J19" s="13"/>
      <c r="K19" s="8">
        <v>14</v>
      </c>
      <c r="L19" s="9">
        <v>6</v>
      </c>
      <c r="M19" s="9">
        <v>9</v>
      </c>
      <c r="N19" s="9">
        <v>8</v>
      </c>
      <c r="O19" s="9">
        <f t="shared" si="1"/>
        <v>23</v>
      </c>
      <c r="P19" s="11">
        <f t="shared" si="2"/>
        <v>0</v>
      </c>
    </row>
    <row r="20" spans="1:26" ht="18" customHeight="1" thickTop="1" thickBot="1" x14ac:dyDescent="0.35">
      <c r="A20" s="8">
        <v>15</v>
      </c>
      <c r="B20" s="9">
        <v>4436</v>
      </c>
      <c r="C20" s="9">
        <v>0</v>
      </c>
      <c r="D20" s="9">
        <v>1505</v>
      </c>
      <c r="E20" s="9">
        <v>330</v>
      </c>
      <c r="F20" s="9">
        <v>304</v>
      </c>
      <c r="G20" s="9">
        <v>446</v>
      </c>
      <c r="H20" s="9">
        <f t="shared" si="0"/>
        <v>7021</v>
      </c>
      <c r="I20" s="9">
        <v>0</v>
      </c>
      <c r="J20" s="13"/>
      <c r="K20" s="8">
        <v>15</v>
      </c>
      <c r="L20" s="9">
        <v>3</v>
      </c>
      <c r="M20" s="9">
        <v>10</v>
      </c>
      <c r="N20" s="9">
        <v>7</v>
      </c>
      <c r="O20" s="9">
        <f t="shared" si="1"/>
        <v>20</v>
      </c>
      <c r="P20" s="11">
        <f t="shared" si="2"/>
        <v>0</v>
      </c>
    </row>
    <row r="21" spans="1:26" ht="18" customHeight="1" thickTop="1" thickBot="1" x14ac:dyDescent="0.35">
      <c r="A21" s="8">
        <v>16</v>
      </c>
      <c r="B21" s="9">
        <v>4301</v>
      </c>
      <c r="C21" s="9">
        <v>0</v>
      </c>
      <c r="D21" s="9">
        <v>1820</v>
      </c>
      <c r="E21" s="9">
        <v>404</v>
      </c>
      <c r="F21" s="9">
        <v>417</v>
      </c>
      <c r="G21" s="9">
        <v>512</v>
      </c>
      <c r="H21" s="9">
        <f t="shared" si="0"/>
        <v>7454</v>
      </c>
      <c r="I21" s="9">
        <v>0</v>
      </c>
      <c r="J21" s="13"/>
      <c r="K21" s="8">
        <v>16</v>
      </c>
      <c r="L21" s="9">
        <v>4</v>
      </c>
      <c r="M21" s="9">
        <v>21</v>
      </c>
      <c r="N21" s="9">
        <v>6</v>
      </c>
      <c r="O21" s="9">
        <f t="shared" si="1"/>
        <v>31</v>
      </c>
      <c r="P21" s="11">
        <f>+P20</f>
        <v>0</v>
      </c>
    </row>
    <row r="22" spans="1:26" ht="18" customHeight="1" thickTop="1" thickBot="1" x14ac:dyDescent="0.35">
      <c r="A22" s="8">
        <v>17</v>
      </c>
      <c r="B22" s="9">
        <v>5241</v>
      </c>
      <c r="C22" s="9">
        <v>0</v>
      </c>
      <c r="D22" s="9">
        <v>2119</v>
      </c>
      <c r="E22" s="9">
        <v>383</v>
      </c>
      <c r="F22" s="9">
        <v>430</v>
      </c>
      <c r="G22" s="9">
        <v>539</v>
      </c>
      <c r="H22" s="9">
        <f t="shared" si="0"/>
        <v>8712</v>
      </c>
      <c r="I22" s="9">
        <v>0</v>
      </c>
      <c r="J22" s="13"/>
      <c r="K22" s="8">
        <v>17</v>
      </c>
      <c r="L22" s="9">
        <v>3</v>
      </c>
      <c r="M22" s="9">
        <v>9</v>
      </c>
      <c r="N22" s="9">
        <v>10</v>
      </c>
      <c r="O22" s="9">
        <f t="shared" si="1"/>
        <v>22</v>
      </c>
      <c r="P22" s="11">
        <f t="shared" si="2"/>
        <v>0</v>
      </c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18" customHeight="1" thickTop="1" thickBot="1" x14ac:dyDescent="0.35">
      <c r="A23" s="8">
        <v>18</v>
      </c>
      <c r="B23" s="9">
        <v>5657</v>
      </c>
      <c r="C23" s="9">
        <v>0</v>
      </c>
      <c r="D23" s="9">
        <v>2226</v>
      </c>
      <c r="E23" s="9">
        <v>406</v>
      </c>
      <c r="F23" s="9">
        <v>449</v>
      </c>
      <c r="G23" s="9">
        <v>558</v>
      </c>
      <c r="H23" s="9">
        <f t="shared" si="0"/>
        <v>9296</v>
      </c>
      <c r="I23" s="9">
        <v>0</v>
      </c>
      <c r="J23" s="13"/>
      <c r="K23" s="8">
        <v>18</v>
      </c>
      <c r="L23" s="9">
        <v>3</v>
      </c>
      <c r="M23" s="9">
        <v>15</v>
      </c>
      <c r="N23" s="9">
        <v>8</v>
      </c>
      <c r="O23" s="9">
        <f t="shared" si="1"/>
        <v>26</v>
      </c>
      <c r="P23" s="11">
        <f t="shared" si="2"/>
        <v>0</v>
      </c>
    </row>
    <row r="24" spans="1:26" ht="18" customHeight="1" thickTop="1" thickBot="1" x14ac:dyDescent="0.35">
      <c r="A24" s="8">
        <v>19</v>
      </c>
      <c r="B24" s="9">
        <f>6561+450</f>
        <v>7011</v>
      </c>
      <c r="C24" s="9">
        <v>0</v>
      </c>
      <c r="D24" s="9">
        <v>2248</v>
      </c>
      <c r="E24" s="9">
        <v>427</v>
      </c>
      <c r="F24" s="9">
        <v>449</v>
      </c>
      <c r="G24" s="9">
        <v>568</v>
      </c>
      <c r="H24" s="9">
        <f>SUM(B24:G24)</f>
        <v>10703</v>
      </c>
      <c r="I24" s="9">
        <v>0</v>
      </c>
      <c r="J24" s="13"/>
      <c r="K24" s="8">
        <v>19</v>
      </c>
      <c r="L24" s="9">
        <v>3</v>
      </c>
      <c r="M24" s="9">
        <v>13</v>
      </c>
      <c r="N24" s="9">
        <v>7</v>
      </c>
      <c r="O24" s="9">
        <f t="shared" si="1"/>
        <v>23</v>
      </c>
      <c r="P24" s="11">
        <f t="shared" si="2"/>
        <v>0</v>
      </c>
    </row>
    <row r="25" spans="1:26" ht="18" customHeight="1" thickTop="1" thickBot="1" x14ac:dyDescent="0.35">
      <c r="A25" s="8">
        <v>20</v>
      </c>
      <c r="B25" s="9">
        <f>8845+995</f>
        <v>9840</v>
      </c>
      <c r="C25" s="9">
        <v>0</v>
      </c>
      <c r="D25" s="9">
        <v>2071</v>
      </c>
      <c r="E25" s="9">
        <v>307</v>
      </c>
      <c r="F25" s="9">
        <v>435</v>
      </c>
      <c r="G25" s="9">
        <v>477</v>
      </c>
      <c r="H25" s="9">
        <f>SUM(B25:G25)</f>
        <v>13130</v>
      </c>
      <c r="I25" s="9">
        <v>0</v>
      </c>
      <c r="J25" s="13"/>
      <c r="K25" s="8">
        <v>20</v>
      </c>
      <c r="L25" s="9">
        <v>6</v>
      </c>
      <c r="M25" s="9">
        <v>29</v>
      </c>
      <c r="N25" s="9">
        <v>3</v>
      </c>
      <c r="O25" s="9">
        <f t="shared" si="1"/>
        <v>38</v>
      </c>
      <c r="P25" s="11">
        <f t="shared" si="2"/>
        <v>0</v>
      </c>
    </row>
    <row r="26" spans="1:26" ht="18" customHeight="1" thickTop="1" thickBot="1" x14ac:dyDescent="0.35">
      <c r="A26" s="8">
        <v>21</v>
      </c>
      <c r="B26" s="9">
        <f>8342+789</f>
        <v>9131</v>
      </c>
      <c r="C26" s="9">
        <v>0</v>
      </c>
      <c r="D26" s="9">
        <v>1693</v>
      </c>
      <c r="E26" s="9">
        <v>238</v>
      </c>
      <c r="F26" s="9">
        <v>258</v>
      </c>
      <c r="G26" s="9">
        <v>370</v>
      </c>
      <c r="H26" s="9">
        <f t="shared" si="0"/>
        <v>11690</v>
      </c>
      <c r="I26" s="9">
        <v>0</v>
      </c>
      <c r="J26" s="13"/>
      <c r="K26" s="8">
        <v>21</v>
      </c>
      <c r="L26" s="9">
        <v>4</v>
      </c>
      <c r="M26" s="9">
        <v>12</v>
      </c>
      <c r="N26" s="9">
        <v>4</v>
      </c>
      <c r="O26" s="9">
        <f t="shared" si="1"/>
        <v>20</v>
      </c>
      <c r="P26" s="11">
        <f t="shared" si="2"/>
        <v>0</v>
      </c>
    </row>
    <row r="27" spans="1:26" ht="18" customHeight="1" thickTop="1" thickBot="1" x14ac:dyDescent="0.35">
      <c r="A27" s="17">
        <v>22</v>
      </c>
      <c r="B27" s="18">
        <f>6689+605</f>
        <v>7294</v>
      </c>
      <c r="C27" s="18">
        <v>0</v>
      </c>
      <c r="D27" s="18">
        <v>2187</v>
      </c>
      <c r="E27" s="18">
        <v>401</v>
      </c>
      <c r="F27" s="18">
        <v>322</v>
      </c>
      <c r="G27" s="18">
        <v>508</v>
      </c>
      <c r="H27" s="18">
        <f t="shared" si="0"/>
        <v>10712</v>
      </c>
      <c r="I27" s="18">
        <v>0</v>
      </c>
      <c r="J27" s="19"/>
      <c r="K27" s="17">
        <v>22</v>
      </c>
      <c r="L27" s="18">
        <v>6</v>
      </c>
      <c r="M27" s="18">
        <v>21</v>
      </c>
      <c r="N27" s="18">
        <v>2</v>
      </c>
      <c r="O27" s="9">
        <f t="shared" si="1"/>
        <v>29</v>
      </c>
      <c r="P27" s="11">
        <f t="shared" si="2"/>
        <v>0</v>
      </c>
    </row>
    <row r="28" spans="1:26" ht="18" customHeight="1" thickTop="1" thickBot="1" x14ac:dyDescent="0.35">
      <c r="A28" s="8">
        <v>23</v>
      </c>
      <c r="B28" s="9">
        <f>8716+648</f>
        <v>9364</v>
      </c>
      <c r="C28" s="9">
        <v>0</v>
      </c>
      <c r="D28" s="9">
        <v>2182</v>
      </c>
      <c r="E28" s="9">
        <v>303</v>
      </c>
      <c r="F28" s="9">
        <v>325</v>
      </c>
      <c r="G28" s="9">
        <v>408</v>
      </c>
      <c r="H28" s="18">
        <f t="shared" si="0"/>
        <v>12582</v>
      </c>
      <c r="I28" s="9">
        <v>0</v>
      </c>
      <c r="J28" s="13"/>
      <c r="K28" s="8">
        <v>23</v>
      </c>
      <c r="L28" s="9">
        <v>1</v>
      </c>
      <c r="M28" s="9">
        <v>22</v>
      </c>
      <c r="N28" s="9">
        <v>8</v>
      </c>
      <c r="O28" s="9">
        <f t="shared" si="1"/>
        <v>31</v>
      </c>
      <c r="P28" s="11">
        <f t="shared" si="2"/>
        <v>0</v>
      </c>
    </row>
    <row r="29" spans="1:26" ht="18" customHeight="1" thickTop="1" thickBot="1" x14ac:dyDescent="0.35">
      <c r="A29" s="8">
        <v>24</v>
      </c>
      <c r="B29" s="9">
        <f>7000+490</f>
        <v>7490</v>
      </c>
      <c r="C29" s="9">
        <v>0</v>
      </c>
      <c r="D29" s="9">
        <v>1517</v>
      </c>
      <c r="E29" s="9">
        <v>138</v>
      </c>
      <c r="F29" s="9">
        <v>244</v>
      </c>
      <c r="G29" s="9">
        <v>192</v>
      </c>
      <c r="H29" s="9">
        <f t="shared" si="0"/>
        <v>9581</v>
      </c>
      <c r="I29" s="9">
        <v>0</v>
      </c>
      <c r="J29" s="13"/>
      <c r="K29" s="8">
        <v>24</v>
      </c>
      <c r="L29" s="9">
        <v>7</v>
      </c>
      <c r="M29" s="9">
        <v>3</v>
      </c>
      <c r="N29" s="9">
        <v>5</v>
      </c>
      <c r="O29" s="9">
        <f t="shared" si="1"/>
        <v>15</v>
      </c>
      <c r="P29" s="11">
        <f t="shared" si="2"/>
        <v>0</v>
      </c>
    </row>
    <row r="30" spans="1:26" ht="18" customHeight="1" thickTop="1" thickBot="1" x14ac:dyDescent="0.35">
      <c r="A30" s="8">
        <v>25</v>
      </c>
      <c r="B30" s="9">
        <v>7458</v>
      </c>
      <c r="C30" s="9">
        <v>0</v>
      </c>
      <c r="D30" s="9">
        <v>619</v>
      </c>
      <c r="E30" s="9">
        <v>90</v>
      </c>
      <c r="F30" s="9">
        <v>106</v>
      </c>
      <c r="G30" s="9">
        <v>107</v>
      </c>
      <c r="H30" s="9">
        <f t="shared" si="0"/>
        <v>8380</v>
      </c>
      <c r="I30" s="9">
        <v>0</v>
      </c>
      <c r="J30" s="13"/>
      <c r="K30" s="8">
        <v>25</v>
      </c>
      <c r="L30" s="9">
        <v>1</v>
      </c>
      <c r="M30" s="9">
        <v>6</v>
      </c>
      <c r="N30" s="9">
        <v>1</v>
      </c>
      <c r="O30" s="9">
        <f t="shared" si="1"/>
        <v>8</v>
      </c>
      <c r="P30" s="11">
        <f t="shared" si="2"/>
        <v>0</v>
      </c>
    </row>
    <row r="31" spans="1:26" ht="18" customHeight="1" thickTop="1" thickBot="1" x14ac:dyDescent="0.35">
      <c r="A31" s="8">
        <v>26</v>
      </c>
      <c r="B31" s="20">
        <v>11286</v>
      </c>
      <c r="C31" s="20">
        <v>0</v>
      </c>
      <c r="D31" s="20">
        <v>1561</v>
      </c>
      <c r="E31" s="20">
        <v>273</v>
      </c>
      <c r="F31" s="21">
        <v>278</v>
      </c>
      <c r="G31" s="20">
        <v>487</v>
      </c>
      <c r="H31" s="22">
        <f t="shared" si="0"/>
        <v>13885</v>
      </c>
      <c r="I31" s="22">
        <v>0</v>
      </c>
      <c r="J31" s="13"/>
      <c r="K31" s="23">
        <v>26</v>
      </c>
      <c r="L31" s="20">
        <v>4</v>
      </c>
      <c r="M31" s="20">
        <v>14</v>
      </c>
      <c r="N31" s="20">
        <v>5</v>
      </c>
      <c r="O31" s="9">
        <f t="shared" si="1"/>
        <v>23</v>
      </c>
      <c r="P31" s="11">
        <f t="shared" si="2"/>
        <v>0</v>
      </c>
    </row>
    <row r="32" spans="1:26" ht="18" customHeight="1" thickTop="1" thickBot="1" x14ac:dyDescent="0.35">
      <c r="A32" s="8">
        <v>27</v>
      </c>
      <c r="B32" s="24">
        <f>11845+2185</f>
        <v>14030</v>
      </c>
      <c r="C32" s="24">
        <v>0</v>
      </c>
      <c r="D32" s="24">
        <v>1812</v>
      </c>
      <c r="E32" s="24">
        <v>223</v>
      </c>
      <c r="F32" s="24">
        <v>370</v>
      </c>
      <c r="G32" s="24">
        <v>383</v>
      </c>
      <c r="H32" s="9">
        <f t="shared" si="0"/>
        <v>16818</v>
      </c>
      <c r="I32" s="9">
        <v>0</v>
      </c>
      <c r="J32" s="9"/>
      <c r="K32" s="8">
        <v>27</v>
      </c>
      <c r="L32" s="24">
        <v>13</v>
      </c>
      <c r="M32" s="24">
        <v>12</v>
      </c>
      <c r="N32" s="24">
        <v>1</v>
      </c>
      <c r="O32" s="9">
        <f t="shared" si="1"/>
        <v>26</v>
      </c>
      <c r="P32" s="11">
        <f t="shared" si="2"/>
        <v>0</v>
      </c>
    </row>
    <row r="33" spans="1:16" ht="18" customHeight="1" thickTop="1" thickBot="1" x14ac:dyDescent="0.35">
      <c r="A33" s="8">
        <v>28</v>
      </c>
      <c r="B33" s="24">
        <v>14129</v>
      </c>
      <c r="C33" s="24">
        <v>0</v>
      </c>
      <c r="D33" s="24">
        <v>1686</v>
      </c>
      <c r="E33" s="24">
        <v>181</v>
      </c>
      <c r="F33" s="24">
        <v>223</v>
      </c>
      <c r="G33" s="24">
        <v>294</v>
      </c>
      <c r="H33" s="9">
        <f t="shared" si="0"/>
        <v>16513</v>
      </c>
      <c r="I33" s="9">
        <v>0</v>
      </c>
      <c r="J33" s="9"/>
      <c r="K33" s="8">
        <v>28</v>
      </c>
      <c r="L33" s="24">
        <v>0</v>
      </c>
      <c r="M33" s="24">
        <v>11</v>
      </c>
      <c r="N33" s="24">
        <v>7</v>
      </c>
      <c r="O33" s="9">
        <f t="shared" si="1"/>
        <v>18</v>
      </c>
      <c r="P33" s="11">
        <f t="shared" si="2"/>
        <v>0</v>
      </c>
    </row>
    <row r="34" spans="1:16" ht="18" customHeight="1" thickTop="1" thickBot="1" x14ac:dyDescent="0.35">
      <c r="A34" s="8">
        <v>29</v>
      </c>
      <c r="B34" s="24">
        <v>10878</v>
      </c>
      <c r="C34" s="24">
        <v>0</v>
      </c>
      <c r="D34" s="24">
        <v>1749</v>
      </c>
      <c r="E34" s="24">
        <v>249</v>
      </c>
      <c r="F34" s="24">
        <v>240</v>
      </c>
      <c r="G34" s="24">
        <v>323</v>
      </c>
      <c r="H34" s="9">
        <f t="shared" si="0"/>
        <v>13439</v>
      </c>
      <c r="I34" s="9">
        <v>0</v>
      </c>
      <c r="J34" s="9"/>
      <c r="K34" s="8">
        <v>29</v>
      </c>
      <c r="L34" s="24">
        <v>5</v>
      </c>
      <c r="M34" s="24">
        <v>18</v>
      </c>
      <c r="N34" s="24">
        <v>4</v>
      </c>
      <c r="O34" s="9">
        <f t="shared" si="1"/>
        <v>27</v>
      </c>
      <c r="P34" s="11">
        <f t="shared" si="2"/>
        <v>0</v>
      </c>
    </row>
    <row r="35" spans="1:16" ht="18" customHeight="1" thickTop="1" thickBot="1" x14ac:dyDescent="0.35">
      <c r="A35" s="8">
        <v>30</v>
      </c>
      <c r="B35" s="24">
        <v>15642</v>
      </c>
      <c r="C35" s="24">
        <v>0</v>
      </c>
      <c r="D35" s="24">
        <v>1748</v>
      </c>
      <c r="E35" s="24">
        <v>227</v>
      </c>
      <c r="F35" s="24">
        <v>265</v>
      </c>
      <c r="G35" s="24">
        <v>275</v>
      </c>
      <c r="H35" s="25">
        <f t="shared" si="0"/>
        <v>18157</v>
      </c>
      <c r="I35" s="25">
        <v>0</v>
      </c>
      <c r="J35" s="25"/>
      <c r="K35" s="26">
        <v>30</v>
      </c>
      <c r="L35" s="24">
        <v>0</v>
      </c>
      <c r="M35" s="24">
        <v>12</v>
      </c>
      <c r="N35" s="24">
        <v>5</v>
      </c>
      <c r="O35" s="9">
        <f t="shared" si="1"/>
        <v>17</v>
      </c>
      <c r="P35" s="11">
        <f t="shared" si="2"/>
        <v>0</v>
      </c>
    </row>
    <row r="36" spans="1:16" ht="18.75" customHeight="1" thickTop="1" thickBot="1" x14ac:dyDescent="0.35">
      <c r="A36" s="8">
        <v>31</v>
      </c>
      <c r="B36" s="24">
        <v>11952</v>
      </c>
      <c r="C36" s="24">
        <v>0</v>
      </c>
      <c r="D36" s="24">
        <v>1066</v>
      </c>
      <c r="E36" s="24">
        <v>112</v>
      </c>
      <c r="F36" s="24">
        <v>167</v>
      </c>
      <c r="G36" s="24">
        <v>105</v>
      </c>
      <c r="H36" s="25">
        <f t="shared" si="0"/>
        <v>13402</v>
      </c>
      <c r="I36" s="9">
        <v>0</v>
      </c>
      <c r="J36" s="9"/>
      <c r="K36" s="8">
        <v>31</v>
      </c>
      <c r="L36" s="24">
        <v>1</v>
      </c>
      <c r="M36" s="24">
        <v>8</v>
      </c>
      <c r="N36" s="24">
        <v>5</v>
      </c>
      <c r="O36" s="9">
        <f t="shared" si="1"/>
        <v>14</v>
      </c>
      <c r="P36" s="11">
        <f t="shared" si="2"/>
        <v>0</v>
      </c>
    </row>
    <row r="37" spans="1:16" ht="18" customHeight="1" thickTop="1" x14ac:dyDescent="0.3">
      <c r="A37" s="5" t="s">
        <v>20</v>
      </c>
      <c r="B37" s="27">
        <f>SUM(B6:B36)</f>
        <v>242861</v>
      </c>
      <c r="C37" s="27">
        <f t="shared" ref="C37" si="3">SUM(C6:C36)</f>
        <v>0</v>
      </c>
      <c r="D37" s="27">
        <f>SUM(D6:D36)</f>
        <v>54701</v>
      </c>
      <c r="E37" s="27">
        <f>SUM(E6:E36)</f>
        <v>9379</v>
      </c>
      <c r="F37" s="27">
        <f>SUM(F6:F36)</f>
        <v>10277</v>
      </c>
      <c r="G37" s="27">
        <f>SUM(G6:G36)</f>
        <v>12628</v>
      </c>
      <c r="H37" s="27">
        <f>SUM(H6:H36)</f>
        <v>329846</v>
      </c>
      <c r="I37" s="27">
        <f>SUM(I6:I33)</f>
        <v>0</v>
      </c>
      <c r="J37" s="27"/>
      <c r="K37" s="27" t="s">
        <v>21</v>
      </c>
      <c r="L37" s="27">
        <f>SUM(L6:L36)</f>
        <v>88</v>
      </c>
      <c r="M37" s="27">
        <f>SUM(M6:M36)</f>
        <v>463</v>
      </c>
      <c r="N37" s="27">
        <f>SUM(N6:N36)</f>
        <v>172</v>
      </c>
      <c r="O37" s="8">
        <f t="shared" si="1"/>
        <v>723</v>
      </c>
      <c r="P37" s="27">
        <f>SUM(P6:P36)</f>
        <v>18405</v>
      </c>
    </row>
    <row r="38" spans="1:16" ht="18" customHeight="1" x14ac:dyDescent="0.3">
      <c r="A38" s="5" t="s">
        <v>20</v>
      </c>
      <c r="B38" s="39">
        <f>+B37+C37</f>
        <v>242861</v>
      </c>
      <c r="C38" s="39"/>
      <c r="D38" s="27">
        <f>+D37</f>
        <v>54701</v>
      </c>
      <c r="E38" s="27">
        <f>+E37</f>
        <v>9379</v>
      </c>
      <c r="F38" s="27">
        <f>+F37</f>
        <v>10277</v>
      </c>
      <c r="G38" s="27">
        <f>+G37</f>
        <v>12628</v>
      </c>
      <c r="H38" s="27">
        <f>SUM(B38:G38)</f>
        <v>329846</v>
      </c>
      <c r="I38" s="27">
        <v>0</v>
      </c>
      <c r="J38" s="28"/>
      <c r="K38" s="29"/>
      <c r="L38" s="29" t="s">
        <v>22</v>
      </c>
      <c r="M38" s="29" t="s">
        <v>23</v>
      </c>
      <c r="N38" s="29" t="s">
        <v>22</v>
      </c>
      <c r="O38" s="29"/>
    </row>
    <row r="39" spans="1:16" x14ac:dyDescent="0.3">
      <c r="A39" s="32"/>
      <c r="B39" s="33"/>
      <c r="C39" s="33"/>
      <c r="D39" s="33"/>
      <c r="E39" s="33"/>
      <c r="F39" s="33"/>
      <c r="G39" s="33"/>
      <c r="H39" s="33"/>
      <c r="I39" s="33"/>
      <c r="J39" s="31"/>
      <c r="K39" s="34"/>
      <c r="L39" s="35"/>
    </row>
    <row r="41" spans="1:16" x14ac:dyDescent="0.3">
      <c r="A41" s="36"/>
    </row>
    <row r="42" spans="1:16" x14ac:dyDescent="0.3">
      <c r="A42" s="36"/>
      <c r="B42" s="12"/>
      <c r="C42" s="12"/>
      <c r="D42" s="12"/>
      <c r="E42" s="12"/>
      <c r="F42" s="12"/>
      <c r="H42" s="12"/>
      <c r="I42" s="12"/>
      <c r="J42" s="12"/>
      <c r="K42" s="37"/>
      <c r="L42" s="12"/>
      <c r="M42" s="12"/>
      <c r="N42" s="12"/>
      <c r="O42" s="12"/>
    </row>
  </sheetData>
  <mergeCells count="13">
    <mergeCell ref="N4:N5"/>
    <mergeCell ref="O4:O5"/>
    <mergeCell ref="B38:C38"/>
    <mergeCell ref="A1:O1"/>
    <mergeCell ref="A2:O2"/>
    <mergeCell ref="A3:O3"/>
    <mergeCell ref="A4:A5"/>
    <mergeCell ref="B4:C4"/>
    <mergeCell ref="H4:H5"/>
    <mergeCell ref="I4:I5"/>
    <mergeCell ref="K4:K5"/>
    <mergeCell ref="L4:L5"/>
    <mergeCell ref="M4:M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ENERO 2025</vt:lpstr>
      <vt:lpstr>FEBRERO 2025</vt:lpstr>
      <vt:lpstr>MARZO 2025</vt:lpstr>
      <vt:lpstr>ABRIL 2025</vt:lpstr>
      <vt:lpstr>MAYO 2025</vt:lpstr>
      <vt:lpstr>JUNIO 2025</vt:lpstr>
      <vt:lpstr>JULIO 2025</vt:lpstr>
      <vt:lpstr>AGOSTO 2025</vt:lpstr>
      <vt:lpstr>SEPTIEMBRE 2025</vt:lpstr>
      <vt:lpstr>OCTUBRE 2025</vt:lpstr>
      <vt:lpstr>NOVIEMBRE 2025</vt:lpstr>
      <vt:lpstr>DICIEMBRE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Gonzalez</dc:creator>
  <cp:lastModifiedBy>ANDREA CAROLINA BUSTOS FUENTES</cp:lastModifiedBy>
  <dcterms:created xsi:type="dcterms:W3CDTF">2026-01-14T21:56:14Z</dcterms:created>
  <dcterms:modified xsi:type="dcterms:W3CDTF">2026-01-28T00:02:21Z</dcterms:modified>
</cp:coreProperties>
</file>