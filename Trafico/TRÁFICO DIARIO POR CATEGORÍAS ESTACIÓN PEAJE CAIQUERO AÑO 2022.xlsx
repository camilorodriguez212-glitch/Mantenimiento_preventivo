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TRAFICO DIARIO\"/>
    </mc:Choice>
  </mc:AlternateContent>
  <xr:revisionPtr revIDLastSave="0" documentId="13_ncr:1_{6761C7FA-A7F1-4498-BADA-CE353CE117D5}" xr6:coauthVersionLast="47" xr6:coauthVersionMax="47" xr10:uidLastSave="{00000000-0000-0000-0000-000000000000}"/>
  <bookViews>
    <workbookView xWindow="-108" yWindow="-108" windowWidth="23256" windowHeight="12456" firstSheet="7" activeTab="11" xr2:uid="{E18F91E4-889C-492C-A335-4C402A148D5B}"/>
  </bookViews>
  <sheets>
    <sheet name="ENERO 2022" sheetId="1" r:id="rId1"/>
    <sheet name="FEBRERO 2022" sheetId="2" r:id="rId2"/>
    <sheet name="MARZO 2022" sheetId="3" r:id="rId3"/>
    <sheet name="ABRIL 2022" sheetId="4" r:id="rId4"/>
    <sheet name="MAYO 2022" sheetId="5" r:id="rId5"/>
    <sheet name="JUNIO 2022" sheetId="6" r:id="rId6"/>
    <sheet name="JULIO 2022" sheetId="7" r:id="rId7"/>
    <sheet name="AGOSTO 2022" sheetId="8" r:id="rId8"/>
    <sheet name="SEPTIEMBRE 2022" sheetId="9" r:id="rId9"/>
    <sheet name="OCTUBRE 2022" sheetId="10" r:id="rId10"/>
    <sheet name="NOVIEMBRE  2022" sheetId="11" r:id="rId11"/>
    <sheet name="DICIEMBRE 202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5" l="1"/>
  <c r="M37" i="5"/>
  <c r="L37" i="5"/>
  <c r="I37" i="5"/>
  <c r="G37" i="5"/>
  <c r="G38" i="5" s="1"/>
  <c r="F37" i="5"/>
  <c r="F38" i="5" s="1"/>
  <c r="E37" i="5"/>
  <c r="E38" i="5" s="1"/>
  <c r="D37" i="5"/>
  <c r="D38" i="5" s="1"/>
  <c r="C37" i="5"/>
  <c r="B37" i="5"/>
  <c r="B38" i="5" s="1"/>
  <c r="O36" i="5"/>
  <c r="H36" i="5"/>
  <c r="O35" i="5"/>
  <c r="H35" i="5"/>
  <c r="O34" i="5"/>
  <c r="H34" i="5"/>
  <c r="O33" i="5"/>
  <c r="H33" i="5"/>
  <c r="O32" i="5"/>
  <c r="H32" i="5"/>
  <c r="O31" i="5"/>
  <c r="H31" i="5"/>
  <c r="O30" i="5"/>
  <c r="H30" i="5"/>
  <c r="O29" i="5"/>
  <c r="H29" i="5"/>
  <c r="O28" i="5"/>
  <c r="H28" i="5"/>
  <c r="O27" i="5"/>
  <c r="H27" i="5"/>
  <c r="O26" i="5"/>
  <c r="H26" i="5"/>
  <c r="O25" i="5"/>
  <c r="H25" i="5"/>
  <c r="O24" i="5"/>
  <c r="H24" i="5"/>
  <c r="O23" i="5"/>
  <c r="H23" i="5"/>
  <c r="O22" i="5"/>
  <c r="H22" i="5"/>
  <c r="O21" i="5"/>
  <c r="H21" i="5"/>
  <c r="O20" i="5"/>
  <c r="H20" i="5"/>
  <c r="O19" i="5"/>
  <c r="H19" i="5"/>
  <c r="O18" i="5"/>
  <c r="H18" i="5"/>
  <c r="O17" i="5"/>
  <c r="H17" i="5"/>
  <c r="O16" i="5"/>
  <c r="H16" i="5"/>
  <c r="O15" i="5"/>
  <c r="H15" i="5"/>
  <c r="O14" i="5"/>
  <c r="H14" i="5"/>
  <c r="O13" i="5"/>
  <c r="H13" i="5"/>
  <c r="O12" i="5"/>
  <c r="H12" i="5"/>
  <c r="O11" i="5"/>
  <c r="H11" i="5"/>
  <c r="O10" i="5"/>
  <c r="H10" i="5"/>
  <c r="O9" i="5"/>
  <c r="H9" i="5"/>
  <c r="O8" i="5"/>
  <c r="H8" i="5"/>
  <c r="P7" i="5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O7" i="5"/>
  <c r="H7" i="5"/>
  <c r="O6" i="5"/>
  <c r="O37" i="5" s="1"/>
  <c r="H6" i="5"/>
  <c r="H37" i="5" l="1"/>
  <c r="H38" i="5" s="1"/>
  <c r="P37" i="5"/>
</calcChain>
</file>

<file path=xl/sharedStrings.xml><?xml version="1.0" encoding="utf-8"?>
<sst xmlns="http://schemas.openxmlformats.org/spreadsheetml/2006/main" count="344" uniqueCount="37">
  <si>
    <t>ENERO 2022</t>
  </si>
  <si>
    <t xml:space="preserve">FECHA </t>
  </si>
  <si>
    <t>AUTOMOVILES, CAMPEROS Y CAMIONETAS.</t>
  </si>
  <si>
    <t>BUSES, BUSETAS, CAMIONES PEQUEÑOS Y GRANDES DE 2 EJES</t>
  </si>
  <si>
    <t>CAMIONES DE 3 Y 4 EJES</t>
  </si>
  <si>
    <t>CAMIONES DE 5 EJES</t>
  </si>
  <si>
    <t>CAMIONES DE 6 O MAS EJES</t>
  </si>
  <si>
    <t>TOTALES</t>
  </si>
  <si>
    <t>EVASORES</t>
  </si>
  <si>
    <t>EJE ADICIONAL</t>
  </si>
  <si>
    <t>EJE REMOLQUE</t>
  </si>
  <si>
    <t>EJE GRUA</t>
  </si>
  <si>
    <t>TOTAL EJES</t>
  </si>
  <si>
    <t>I</t>
  </si>
  <si>
    <t>IE</t>
  </si>
  <si>
    <t>II</t>
  </si>
  <si>
    <t>III</t>
  </si>
  <si>
    <t>IV</t>
  </si>
  <si>
    <t>V</t>
  </si>
  <si>
    <t>TOTAL</t>
  </si>
  <si>
    <t>NOTA (1):  EL TRAFICO ASOCIADO A ESTOS EJES , SE ENCUENTRA INCLUIDO DENTRO DEL TRAFICO DEL PEAJE DE CAIQUERO</t>
  </si>
  <si>
    <t>,</t>
  </si>
  <si>
    <t>FEBRERO 2022</t>
  </si>
  <si>
    <t xml:space="preserve">  </t>
  </si>
  <si>
    <t xml:space="preserve"> </t>
  </si>
  <si>
    <t>MARZO 2022</t>
  </si>
  <si>
    <t xml:space="preserve"> ABRIL 2022</t>
  </si>
  <si>
    <t xml:space="preserve"> MAYO 2022</t>
  </si>
  <si>
    <t xml:space="preserve"> JUNIO 2022</t>
  </si>
  <si>
    <t xml:space="preserve"> JULIO 2022</t>
  </si>
  <si>
    <t xml:space="preserve"> AGOSTO  2022</t>
  </si>
  <si>
    <t xml:space="preserve"> SEPTIEMBRE   2022</t>
  </si>
  <si>
    <t xml:space="preserve"> OCTUBRE    2022</t>
  </si>
  <si>
    <t xml:space="preserve"> NOVIEMBRE   2022</t>
  </si>
  <si>
    <t xml:space="preserve"> DICIEMBRE    2022</t>
  </si>
  <si>
    <t>CONCESIÓN SABANA DE OCCIDENTE S.A.S.</t>
  </si>
  <si>
    <t>TRÁFICO POR CATEGORÍAS, ESTACIÓN DE PEAJE CAIQUERO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</si>
</sst>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&quot;$&quot;* #,##0_-;\-&quot;$&quot;* #,##0_-;_-&quot;$&quot;* &quot;-&quot;_-;_-@_-"/>
    <numFmt numFmtId="165" formatCode="_(&quot;N$&quot;* #,##0.00_);_(&quot;N$&quot;* \(#,##0.00\);_(&quot;N$&quot;* &quot;-&quot;??_);_(@_)"/>
    <numFmt numFmtId="166" formatCode="_(* #,##0_);_(* \(#,##0\);_(* &quot;-&quot;??_);_(@_)"/>
    <numFmt numFmtId="167" formatCode="#,##0_ ;\-#,##0\ "/>
    <numFmt numFmtId="168" formatCode="_([$$-240A]\ * #,##0_);_([$$-240A]\ * \(#,##0\);_([$$-240A]\ * &quot;-&quot;??_);_(@_)"/>
    <numFmt numFmtId="169" formatCode="_ [$$-240A]\ * #,##0_ ;_ [$$-240A]\ * \-#,##0_ ;_ [$$-240A]\ * &quot;-&quot;_ ;_ @_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2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3">
    <xf numFmtId="0" fontId="0" fillId="0" borderId="0"/>
    <xf numFmtId="43" fontId="1" fillId="0" borderId="0" applyFont="0" applyFill="0" applyBorder="0" applyAlignment="0" applyProtection="0"/>
    <xf numFmtId="168" fontId="2" fillId="0" borderId="0">
      <alignment vertical="top"/>
    </xf>
    <xf numFmtId="168" fontId="2" fillId="0" borderId="0"/>
    <xf numFmtId="168" fontId="2" fillId="0" borderId="0"/>
    <xf numFmtId="168" fontId="3" fillId="0" borderId="0">
      <alignment vertical="top"/>
    </xf>
    <xf numFmtId="168" fontId="4" fillId="0" borderId="0"/>
    <xf numFmtId="168" fontId="4" fillId="0" borderId="0"/>
    <xf numFmtId="168" fontId="3" fillId="0" borderId="0">
      <alignment vertical="top"/>
    </xf>
    <xf numFmtId="168" fontId="3" fillId="0" borderId="0">
      <alignment vertical="top"/>
    </xf>
    <xf numFmtId="168" fontId="3" fillId="0" borderId="0">
      <alignment vertical="top"/>
    </xf>
    <xf numFmtId="168" fontId="3" fillId="0" borderId="0">
      <alignment vertical="top"/>
    </xf>
    <xf numFmtId="168" fontId="2" fillId="0" borderId="0"/>
    <xf numFmtId="168" fontId="4" fillId="2" borderId="0" applyNumberFormat="0" applyBorder="0" applyAlignment="0" applyProtection="0"/>
    <xf numFmtId="168" fontId="4" fillId="3" borderId="0" applyNumberFormat="0" applyBorder="0" applyAlignment="0" applyProtection="0"/>
    <xf numFmtId="168" fontId="4" fillId="4" borderId="0" applyNumberFormat="0" applyBorder="0" applyAlignment="0" applyProtection="0"/>
    <xf numFmtId="168" fontId="4" fillId="5" borderId="0" applyNumberFormat="0" applyBorder="0" applyAlignment="0" applyProtection="0"/>
    <xf numFmtId="168" fontId="4" fillId="6" borderId="0" applyNumberFormat="0" applyBorder="0" applyAlignment="0" applyProtection="0"/>
    <xf numFmtId="168" fontId="4" fillId="7" borderId="0" applyNumberFormat="0" applyBorder="0" applyAlignment="0" applyProtection="0"/>
    <xf numFmtId="168" fontId="4" fillId="8" borderId="0" applyNumberFormat="0" applyBorder="0" applyAlignment="0" applyProtection="0"/>
    <xf numFmtId="168" fontId="4" fillId="9" borderId="0" applyNumberFormat="0" applyBorder="0" applyAlignment="0" applyProtection="0"/>
    <xf numFmtId="168" fontId="4" fillId="10" borderId="0" applyNumberFormat="0" applyBorder="0" applyAlignment="0" applyProtection="0"/>
    <xf numFmtId="168" fontId="4" fillId="5" borderId="0" applyNumberFormat="0" applyBorder="0" applyAlignment="0" applyProtection="0"/>
    <xf numFmtId="168" fontId="4" fillId="8" borderId="0" applyNumberFormat="0" applyBorder="0" applyAlignment="0" applyProtection="0"/>
    <xf numFmtId="168" fontId="4" fillId="11" borderId="0" applyNumberFormat="0" applyBorder="0" applyAlignment="0" applyProtection="0"/>
    <xf numFmtId="168" fontId="5" fillId="12" borderId="0" applyNumberFormat="0" applyBorder="0" applyAlignment="0" applyProtection="0"/>
    <xf numFmtId="168" fontId="5" fillId="9" borderId="0" applyNumberFormat="0" applyBorder="0" applyAlignment="0" applyProtection="0"/>
    <xf numFmtId="168" fontId="5" fillId="10" borderId="0" applyNumberFormat="0" applyBorder="0" applyAlignment="0" applyProtection="0"/>
    <xf numFmtId="168" fontId="5" fillId="13" borderId="0" applyNumberFormat="0" applyBorder="0" applyAlignment="0" applyProtection="0"/>
    <xf numFmtId="168" fontId="5" fillId="14" borderId="0" applyNumberFormat="0" applyBorder="0" applyAlignment="0" applyProtection="0"/>
    <xf numFmtId="168" fontId="5" fillId="15" borderId="0" applyNumberFormat="0" applyBorder="0" applyAlignment="0" applyProtection="0"/>
    <xf numFmtId="168" fontId="6" fillId="4" borderId="0" applyNumberFormat="0" applyBorder="0" applyAlignment="0" applyProtection="0"/>
    <xf numFmtId="168" fontId="7" fillId="7" borderId="1" applyNumberFormat="0" applyAlignment="0" applyProtection="0"/>
    <xf numFmtId="168" fontId="8" fillId="16" borderId="2" applyNumberFormat="0" applyAlignment="0" applyProtection="0"/>
    <xf numFmtId="168" fontId="9" fillId="0" borderId="3" applyNumberFormat="0" applyFill="0" applyAlignment="0" applyProtection="0"/>
    <xf numFmtId="168" fontId="10" fillId="0" borderId="0" applyNumberFormat="0" applyFill="0" applyBorder="0" applyAlignment="0" applyProtection="0"/>
    <xf numFmtId="168" fontId="5" fillId="17" borderId="0" applyNumberFormat="0" applyBorder="0" applyAlignment="0" applyProtection="0"/>
    <xf numFmtId="168" fontId="5" fillId="18" borderId="0" applyNumberFormat="0" applyBorder="0" applyAlignment="0" applyProtection="0"/>
    <xf numFmtId="168" fontId="5" fillId="19" borderId="0" applyNumberFormat="0" applyBorder="0" applyAlignment="0" applyProtection="0"/>
    <xf numFmtId="168" fontId="5" fillId="13" borderId="0" applyNumberFormat="0" applyBorder="0" applyAlignment="0" applyProtection="0"/>
    <xf numFmtId="168" fontId="5" fillId="14" borderId="0" applyNumberFormat="0" applyBorder="0" applyAlignment="0" applyProtection="0"/>
    <xf numFmtId="168" fontId="5" fillId="20" borderId="0" applyNumberFormat="0" applyBorder="0" applyAlignment="0" applyProtection="0"/>
    <xf numFmtId="168" fontId="11" fillId="7" borderId="1" applyNumberFormat="0" applyAlignment="0" applyProtection="0"/>
    <xf numFmtId="168" fontId="2" fillId="0" borderId="0" applyFont="0" applyFill="0" applyBorder="0" applyAlignment="0" applyProtection="0"/>
    <xf numFmtId="168" fontId="12" fillId="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13" fillId="21" borderId="0" applyNumberFormat="0" applyBorder="0" applyAlignment="0" applyProtection="0"/>
    <xf numFmtId="168" fontId="4" fillId="22" borderId="4" applyNumberFormat="0" applyFont="0" applyAlignment="0" applyProtection="0"/>
    <xf numFmtId="9" fontId="2" fillId="0" borderId="0" applyFont="0" applyFill="0" applyBorder="0" applyAlignment="0" applyProtection="0"/>
    <xf numFmtId="168" fontId="14" fillId="7" borderId="5" applyNumberFormat="0" applyAlignment="0" applyProtection="0"/>
    <xf numFmtId="168" fontId="15" fillId="0" borderId="0" applyNumberFormat="0" applyFill="0" applyBorder="0" applyAlignment="0" applyProtection="0"/>
    <xf numFmtId="168" fontId="16" fillId="0" borderId="0" applyNumberFormat="0" applyFill="0" applyBorder="0" applyAlignment="0" applyProtection="0"/>
    <xf numFmtId="168" fontId="17" fillId="0" borderId="0" applyNumberFormat="0" applyFill="0" applyBorder="0" applyAlignment="0" applyProtection="0"/>
    <xf numFmtId="168" fontId="18" fillId="0" borderId="6" applyNumberFormat="0" applyFill="0" applyAlignment="0" applyProtection="0"/>
    <xf numFmtId="168" fontId="19" fillId="0" borderId="7" applyNumberFormat="0" applyFill="0" applyAlignment="0" applyProtection="0"/>
    <xf numFmtId="168" fontId="10" fillId="0" borderId="8" applyNumberFormat="0" applyFill="0" applyAlignment="0" applyProtection="0"/>
    <xf numFmtId="168" fontId="20" fillId="0" borderId="9" applyNumberFormat="0" applyFill="0" applyAlignment="0" applyProtection="0"/>
    <xf numFmtId="169" fontId="2" fillId="0" borderId="0">
      <alignment vertical="top"/>
    </xf>
    <xf numFmtId="169" fontId="2" fillId="0" borderId="0"/>
    <xf numFmtId="169" fontId="2" fillId="0" borderId="0"/>
    <xf numFmtId="169" fontId="3" fillId="0" borderId="0">
      <alignment vertical="top"/>
    </xf>
    <xf numFmtId="169" fontId="4" fillId="0" borderId="0"/>
    <xf numFmtId="169" fontId="4" fillId="0" borderId="0"/>
    <xf numFmtId="169" fontId="3" fillId="0" borderId="0">
      <alignment vertical="top"/>
    </xf>
    <xf numFmtId="169" fontId="3" fillId="0" borderId="0">
      <alignment vertical="top"/>
    </xf>
    <xf numFmtId="169" fontId="3" fillId="0" borderId="0">
      <alignment vertical="top"/>
    </xf>
    <xf numFmtId="169" fontId="3" fillId="0" borderId="0">
      <alignment vertical="top"/>
    </xf>
    <xf numFmtId="169" fontId="2" fillId="0" borderId="0"/>
    <xf numFmtId="169" fontId="4" fillId="2" borderId="0" applyNumberFormat="0" applyBorder="0" applyAlignment="0" applyProtection="0"/>
    <xf numFmtId="169" fontId="4" fillId="3" borderId="0" applyNumberFormat="0" applyBorder="0" applyAlignment="0" applyProtection="0"/>
    <xf numFmtId="169" fontId="4" fillId="4" borderId="0" applyNumberFormat="0" applyBorder="0" applyAlignment="0" applyProtection="0"/>
    <xf numFmtId="169" fontId="4" fillId="5" borderId="0" applyNumberFormat="0" applyBorder="0" applyAlignment="0" applyProtection="0"/>
    <xf numFmtId="169" fontId="4" fillId="6" borderId="0" applyNumberFormat="0" applyBorder="0" applyAlignment="0" applyProtection="0"/>
    <xf numFmtId="169" fontId="4" fillId="7" borderId="0" applyNumberFormat="0" applyBorder="0" applyAlignment="0" applyProtection="0"/>
    <xf numFmtId="169" fontId="4" fillId="8" borderId="0" applyNumberFormat="0" applyBorder="0" applyAlignment="0" applyProtection="0"/>
    <xf numFmtId="169" fontId="4" fillId="9" borderId="0" applyNumberFormat="0" applyBorder="0" applyAlignment="0" applyProtection="0"/>
    <xf numFmtId="169" fontId="4" fillId="10" borderId="0" applyNumberFormat="0" applyBorder="0" applyAlignment="0" applyProtection="0"/>
    <xf numFmtId="169" fontId="4" fillId="5" borderId="0" applyNumberFormat="0" applyBorder="0" applyAlignment="0" applyProtection="0"/>
    <xf numFmtId="169" fontId="4" fillId="8" borderId="0" applyNumberFormat="0" applyBorder="0" applyAlignment="0" applyProtection="0"/>
    <xf numFmtId="169" fontId="4" fillId="11" borderId="0" applyNumberFormat="0" applyBorder="0" applyAlignment="0" applyProtection="0"/>
    <xf numFmtId="169" fontId="5" fillId="12" borderId="0" applyNumberFormat="0" applyBorder="0" applyAlignment="0" applyProtection="0"/>
    <xf numFmtId="169" fontId="5" fillId="9" borderId="0" applyNumberFormat="0" applyBorder="0" applyAlignment="0" applyProtection="0"/>
    <xf numFmtId="169" fontId="5" fillId="10" borderId="0" applyNumberFormat="0" applyBorder="0" applyAlignment="0" applyProtection="0"/>
    <xf numFmtId="169" fontId="5" fillId="13" borderId="0" applyNumberFormat="0" applyBorder="0" applyAlignment="0" applyProtection="0"/>
    <xf numFmtId="169" fontId="5" fillId="14" borderId="0" applyNumberFormat="0" applyBorder="0" applyAlignment="0" applyProtection="0"/>
    <xf numFmtId="169" fontId="5" fillId="15" borderId="0" applyNumberFormat="0" applyBorder="0" applyAlignment="0" applyProtection="0"/>
    <xf numFmtId="169" fontId="6" fillId="4" borderId="0" applyNumberFormat="0" applyBorder="0" applyAlignment="0" applyProtection="0"/>
    <xf numFmtId="169" fontId="7" fillId="7" borderId="1" applyNumberFormat="0" applyAlignment="0" applyProtection="0"/>
    <xf numFmtId="169" fontId="8" fillId="16" borderId="2" applyNumberFormat="0" applyAlignment="0" applyProtection="0"/>
    <xf numFmtId="169" fontId="9" fillId="0" borderId="3" applyNumberFormat="0" applyFill="0" applyAlignment="0" applyProtection="0"/>
    <xf numFmtId="169" fontId="10" fillId="0" borderId="0" applyNumberFormat="0" applyFill="0" applyBorder="0" applyAlignment="0" applyProtection="0"/>
    <xf numFmtId="169" fontId="5" fillId="17" borderId="0" applyNumberFormat="0" applyBorder="0" applyAlignment="0" applyProtection="0"/>
    <xf numFmtId="169" fontId="5" fillId="18" borderId="0" applyNumberFormat="0" applyBorder="0" applyAlignment="0" applyProtection="0"/>
    <xf numFmtId="169" fontId="5" fillId="19" borderId="0" applyNumberFormat="0" applyBorder="0" applyAlignment="0" applyProtection="0"/>
    <xf numFmtId="169" fontId="5" fillId="13" borderId="0" applyNumberFormat="0" applyBorder="0" applyAlignment="0" applyProtection="0"/>
    <xf numFmtId="169" fontId="5" fillId="14" borderId="0" applyNumberFormat="0" applyBorder="0" applyAlignment="0" applyProtection="0"/>
    <xf numFmtId="169" fontId="5" fillId="20" borderId="0" applyNumberFormat="0" applyBorder="0" applyAlignment="0" applyProtection="0"/>
    <xf numFmtId="169" fontId="11" fillId="7" borderId="1" applyNumberFormat="0" applyAlignment="0" applyProtection="0"/>
    <xf numFmtId="169" fontId="2" fillId="0" borderId="0" applyFont="0" applyFill="0" applyBorder="0" applyAlignment="0" applyProtection="0"/>
    <xf numFmtId="169" fontId="12" fillId="3" borderId="0" applyNumberFormat="0" applyBorder="0" applyAlignment="0" applyProtection="0"/>
    <xf numFmtId="43" fontId="2" fillId="0" borderId="0" applyFont="0" applyFill="0" applyBorder="0" applyAlignment="0" applyProtection="0"/>
    <xf numFmtId="169" fontId="13" fillId="21" borderId="0" applyNumberFormat="0" applyBorder="0" applyAlignment="0" applyProtection="0"/>
    <xf numFmtId="169" fontId="4" fillId="22" borderId="4" applyNumberFormat="0" applyFont="0" applyAlignment="0" applyProtection="0"/>
    <xf numFmtId="169" fontId="14" fillId="7" borderId="5" applyNumberFormat="0" applyAlignment="0" applyProtection="0"/>
    <xf numFmtId="169" fontId="15" fillId="0" borderId="0" applyNumberFormat="0" applyFill="0" applyBorder="0" applyAlignment="0" applyProtection="0"/>
    <xf numFmtId="169" fontId="16" fillId="0" borderId="0" applyNumberFormat="0" applyFill="0" applyBorder="0" applyAlignment="0" applyProtection="0"/>
    <xf numFmtId="169" fontId="17" fillId="0" borderId="0" applyNumberFormat="0" applyFill="0" applyBorder="0" applyAlignment="0" applyProtection="0"/>
    <xf numFmtId="169" fontId="18" fillId="0" borderId="6" applyNumberFormat="0" applyFill="0" applyAlignment="0" applyProtection="0"/>
    <xf numFmtId="169" fontId="19" fillId="0" borderId="7" applyNumberFormat="0" applyFill="0" applyAlignment="0" applyProtection="0"/>
    <xf numFmtId="169" fontId="10" fillId="0" borderId="8" applyNumberFormat="0" applyFill="0" applyAlignment="0" applyProtection="0"/>
    <xf numFmtId="169" fontId="20" fillId="0" borderId="9" applyNumberFormat="0" applyFill="0" applyAlignment="0" applyProtection="0"/>
    <xf numFmtId="0" fontId="1" fillId="0" borderId="0"/>
    <xf numFmtId="168" fontId="2" fillId="0" borderId="0">
      <alignment vertical="top"/>
    </xf>
    <xf numFmtId="0" fontId="1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74">
    <xf numFmtId="0" fontId="0" fillId="0" borderId="0" xfId="0"/>
    <xf numFmtId="168" fontId="2" fillId="0" borderId="0" xfId="2" applyAlignment="1"/>
    <xf numFmtId="168" fontId="2" fillId="23" borderId="0" xfId="2" applyFill="1" applyAlignment="1"/>
    <xf numFmtId="168" fontId="22" fillId="0" borderId="0" xfId="2" applyFont="1" applyAlignment="1">
      <alignment horizontal="center" vertical="center" wrapText="1"/>
    </xf>
    <xf numFmtId="37" fontId="22" fillId="0" borderId="10" xfId="45" applyNumberFormat="1" applyFont="1" applyFill="1" applyBorder="1" applyAlignment="1" applyProtection="1">
      <alignment horizontal="center" vertical="center"/>
    </xf>
    <xf numFmtId="37" fontId="23" fillId="0" borderId="10" xfId="45" applyNumberFormat="1" applyFont="1" applyFill="1" applyBorder="1" applyAlignment="1" applyProtection="1">
      <alignment horizontal="center" vertical="center"/>
    </xf>
    <xf numFmtId="37" fontId="23" fillId="0" borderId="0" xfId="45" applyNumberFormat="1" applyFont="1" applyFill="1" applyBorder="1" applyAlignment="1" applyProtection="1">
      <alignment horizontal="center" vertical="center" wrapText="1"/>
    </xf>
    <xf numFmtId="37" fontId="23" fillId="0" borderId="0" xfId="45" applyNumberFormat="1" applyFont="1" applyFill="1" applyBorder="1" applyAlignment="1" applyProtection="1">
      <alignment horizontal="center" vertical="center"/>
    </xf>
    <xf numFmtId="168" fontId="22" fillId="0" borderId="0" xfId="2" applyFont="1" applyAlignment="1">
      <alignment horizontal="left" vertical="center"/>
    </xf>
    <xf numFmtId="168" fontId="22" fillId="0" borderId="10" xfId="2" applyFont="1" applyBorder="1" applyAlignment="1">
      <alignment horizontal="center" vertical="center" wrapText="1"/>
    </xf>
    <xf numFmtId="168" fontId="22" fillId="0" borderId="10" xfId="2" applyFont="1" applyBorder="1" applyAlignment="1">
      <alignment horizontal="center" vertical="center"/>
    </xf>
    <xf numFmtId="3" fontId="22" fillId="0" borderId="10" xfId="2" applyNumberFormat="1" applyFont="1" applyBorder="1" applyAlignment="1">
      <alignment horizontal="center" vertical="center"/>
    </xf>
    <xf numFmtId="3" fontId="23" fillId="0" borderId="0" xfId="2" applyNumberFormat="1" applyFont="1" applyAlignment="1"/>
    <xf numFmtId="168" fontId="22" fillId="0" borderId="0" xfId="2" applyFont="1" applyAlignment="1">
      <alignment horizontal="center"/>
    </xf>
    <xf numFmtId="168" fontId="24" fillId="0" borderId="0" xfId="2" applyFont="1" applyAlignment="1"/>
    <xf numFmtId="168" fontId="23" fillId="23" borderId="0" xfId="2" applyFont="1" applyFill="1" applyAlignment="1"/>
    <xf numFmtId="3" fontId="23" fillId="0" borderId="0" xfId="2" applyNumberFormat="1" applyFont="1" applyAlignment="1">
      <alignment horizontal="right"/>
    </xf>
    <xf numFmtId="3" fontId="22" fillId="0" borderId="0" xfId="2" applyNumberFormat="1" applyFont="1" applyAlignment="1"/>
    <xf numFmtId="168" fontId="23" fillId="0" borderId="0" xfId="46" applyNumberFormat="1" applyFont="1" applyFill="1" applyProtection="1"/>
    <xf numFmtId="17" fontId="23" fillId="0" borderId="0" xfId="2" applyNumberFormat="1" applyFont="1" applyAlignment="1"/>
    <xf numFmtId="168" fontId="22" fillId="0" borderId="0" xfId="2" applyFont="1" applyAlignment="1">
      <alignment horizontal="left"/>
    </xf>
    <xf numFmtId="168" fontId="23" fillId="0" borderId="0" xfId="2" applyFont="1" applyAlignment="1">
      <alignment horizontal="right"/>
    </xf>
    <xf numFmtId="10" fontId="23" fillId="0" borderId="0" xfId="50" applyNumberFormat="1" applyFont="1" applyAlignment="1" applyProtection="1">
      <alignment horizontal="right"/>
    </xf>
    <xf numFmtId="10" fontId="22" fillId="0" borderId="0" xfId="50" applyNumberFormat="1" applyFont="1" applyAlignment="1" applyProtection="1">
      <alignment horizontal="right"/>
    </xf>
    <xf numFmtId="167" fontId="23" fillId="0" borderId="10" xfId="45" applyNumberFormat="1" applyFont="1" applyFill="1" applyBorder="1" applyAlignment="1" applyProtection="1">
      <alignment horizontal="center" vertical="center"/>
    </xf>
    <xf numFmtId="37" fontId="23" fillId="23" borderId="10" xfId="45" applyNumberFormat="1" applyFont="1" applyFill="1" applyBorder="1" applyAlignment="1" applyProtection="1">
      <alignment horizontal="center" vertical="center"/>
    </xf>
    <xf numFmtId="3" fontId="22" fillId="23" borderId="10" xfId="2" applyNumberFormat="1" applyFont="1" applyFill="1" applyBorder="1" applyAlignment="1">
      <alignment horizontal="center" vertical="center"/>
    </xf>
    <xf numFmtId="168" fontId="22" fillId="23" borderId="0" xfId="2" applyFont="1" applyFill="1" applyAlignment="1">
      <alignment horizontal="center"/>
    </xf>
    <xf numFmtId="168" fontId="23" fillId="23" borderId="0" xfId="2" applyFont="1" applyFill="1" applyAlignment="1">
      <alignment horizontal="right"/>
    </xf>
    <xf numFmtId="3" fontId="23" fillId="23" borderId="0" xfId="2" applyNumberFormat="1" applyFont="1" applyFill="1" applyAlignment="1"/>
    <xf numFmtId="0" fontId="0" fillId="23" borderId="0" xfId="0" applyFill="1"/>
    <xf numFmtId="37" fontId="23" fillId="0" borderId="0" xfId="1" applyNumberFormat="1" applyFont="1" applyFill="1" applyBorder="1" applyAlignment="1" applyProtection="1">
      <alignment horizontal="center" vertical="center" wrapText="1"/>
    </xf>
    <xf numFmtId="3" fontId="22" fillId="0" borderId="0" xfId="0" applyNumberFormat="1" applyFont="1"/>
    <xf numFmtId="37" fontId="23" fillId="0" borderId="10" xfId="1" applyNumberFormat="1" applyFont="1" applyFill="1" applyBorder="1" applyAlignment="1" applyProtection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/>
    <xf numFmtId="0" fontId="23" fillId="23" borderId="0" xfId="0" applyFont="1" applyFill="1"/>
    <xf numFmtId="166" fontId="23" fillId="23" borderId="12" xfId="1" applyNumberFormat="1" applyFont="1" applyFill="1" applyBorder="1" applyAlignment="1" applyProtection="1"/>
    <xf numFmtId="0" fontId="22" fillId="0" borderId="0" xfId="0" applyFont="1" applyAlignment="1">
      <alignment horizontal="center" vertical="center"/>
    </xf>
    <xf numFmtId="3" fontId="23" fillId="0" borderId="0" xfId="0" applyNumberFormat="1" applyFont="1" applyAlignment="1">
      <alignment horizontal="right"/>
    </xf>
    <xf numFmtId="167" fontId="23" fillId="0" borderId="10" xfId="1" applyNumberFormat="1" applyFont="1" applyFill="1" applyBorder="1" applyAlignment="1" applyProtection="1">
      <alignment horizontal="center" vertical="center"/>
    </xf>
    <xf numFmtId="0" fontId="22" fillId="0" borderId="0" xfId="0" applyFont="1" applyAlignment="1">
      <alignment horizontal="center"/>
    </xf>
    <xf numFmtId="168" fontId="22" fillId="0" borderId="10" xfId="114" applyFont="1" applyBorder="1" applyAlignment="1">
      <alignment horizontal="center" vertical="center"/>
    </xf>
    <xf numFmtId="168" fontId="22" fillId="0" borderId="10" xfId="114" applyFont="1" applyBorder="1" applyAlignment="1">
      <alignment horizontal="center" vertical="center" wrapText="1"/>
    </xf>
    <xf numFmtId="37" fontId="23" fillId="0" borderId="0" xfId="1" applyNumberFormat="1" applyFont="1" applyFill="1" applyBorder="1" applyAlignment="1" applyProtection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3" fillId="0" borderId="0" xfId="0" applyFont="1"/>
    <xf numFmtId="17" fontId="23" fillId="0" borderId="0" xfId="0" applyNumberFormat="1" applyFont="1"/>
    <xf numFmtId="3" fontId="22" fillId="0" borderId="1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166" fontId="23" fillId="0" borderId="12" xfId="1" applyNumberFormat="1" applyFont="1" applyFill="1" applyBorder="1" applyAlignment="1" applyProtection="1"/>
    <xf numFmtId="0" fontId="22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22" fillId="0" borderId="0" xfId="0" applyFont="1" applyAlignment="1">
      <alignment horizontal="left" vertical="center"/>
    </xf>
    <xf numFmtId="37" fontId="23" fillId="23" borderId="10" xfId="1" applyNumberFormat="1" applyFont="1" applyFill="1" applyBorder="1" applyAlignment="1" applyProtection="1">
      <alignment horizontal="center" vertical="center"/>
    </xf>
    <xf numFmtId="3" fontId="22" fillId="0" borderId="10" xfId="114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3" fontId="23" fillId="0" borderId="0" xfId="0" applyNumberFormat="1" applyFont="1"/>
    <xf numFmtId="0" fontId="24" fillId="0" borderId="0" xfId="0" applyFont="1"/>
    <xf numFmtId="37" fontId="22" fillId="0" borderId="10" xfId="1" applyNumberFormat="1" applyFont="1" applyFill="1" applyBorder="1" applyAlignment="1" applyProtection="1">
      <alignment horizontal="center" vertical="center"/>
    </xf>
    <xf numFmtId="168" fontId="2" fillId="0" borderId="0" xfId="114" applyAlignment="1"/>
    <xf numFmtId="168" fontId="22" fillId="0" borderId="0" xfId="114" applyFont="1" applyAlignment="1">
      <alignment horizontal="center" vertical="center" wrapText="1"/>
    </xf>
    <xf numFmtId="37" fontId="22" fillId="0" borderId="10" xfId="135" applyNumberFormat="1" applyFont="1" applyFill="1" applyBorder="1" applyAlignment="1" applyProtection="1">
      <alignment horizontal="center" vertical="center"/>
    </xf>
    <xf numFmtId="37" fontId="23" fillId="0" borderId="10" xfId="135" applyNumberFormat="1" applyFont="1" applyFill="1" applyBorder="1" applyAlignment="1" applyProtection="1">
      <alignment horizontal="center" vertical="center"/>
    </xf>
    <xf numFmtId="37" fontId="23" fillId="0" borderId="0" xfId="135" applyNumberFormat="1" applyFont="1" applyFill="1" applyBorder="1" applyAlignment="1" applyProtection="1">
      <alignment horizontal="center" vertical="center" wrapText="1"/>
    </xf>
    <xf numFmtId="37" fontId="23" fillId="0" borderId="0" xfId="135" applyNumberFormat="1" applyFont="1" applyFill="1" applyBorder="1" applyAlignment="1" applyProtection="1">
      <alignment horizontal="center" vertical="center"/>
    </xf>
    <xf numFmtId="168" fontId="23" fillId="0" borderId="0" xfId="114" applyFont="1" applyAlignment="1">
      <alignment horizontal="center" vertical="center"/>
    </xf>
    <xf numFmtId="168" fontId="22" fillId="0" borderId="0" xfId="114" applyFont="1" applyAlignment="1">
      <alignment horizontal="center" vertical="center"/>
    </xf>
    <xf numFmtId="168" fontId="22" fillId="0" borderId="0" xfId="114" applyFont="1" applyAlignment="1">
      <alignment horizontal="left" vertical="center"/>
    </xf>
    <xf numFmtId="3" fontId="23" fillId="0" borderId="0" xfId="114" applyNumberFormat="1" applyFont="1" applyAlignment="1"/>
    <xf numFmtId="168" fontId="22" fillId="0" borderId="0" xfId="114" applyFont="1" applyAlignment="1">
      <alignment horizontal="center"/>
    </xf>
    <xf numFmtId="168" fontId="24" fillId="0" borderId="0" xfId="114" applyFont="1" applyAlignment="1"/>
    <xf numFmtId="168" fontId="23" fillId="23" borderId="0" xfId="114" applyFont="1" applyFill="1" applyAlignment="1"/>
    <xf numFmtId="3" fontId="23" fillId="0" borderId="0" xfId="114" applyNumberFormat="1" applyFont="1" applyAlignment="1">
      <alignment horizontal="right"/>
    </xf>
    <xf numFmtId="3" fontId="22" fillId="0" borderId="0" xfId="114" applyNumberFormat="1" applyFont="1" applyAlignment="1"/>
    <xf numFmtId="166" fontId="23" fillId="0" borderId="12" xfId="135" applyNumberFormat="1" applyFont="1" applyFill="1" applyBorder="1" applyAlignment="1" applyProtection="1"/>
    <xf numFmtId="166" fontId="23" fillId="23" borderId="12" xfId="135" applyNumberFormat="1" applyFont="1" applyFill="1" applyBorder="1" applyAlignment="1" applyProtection="1"/>
    <xf numFmtId="17" fontId="23" fillId="0" borderId="0" xfId="114" applyNumberFormat="1" applyFont="1" applyAlignment="1"/>
    <xf numFmtId="168" fontId="22" fillId="0" borderId="0" xfId="114" applyFont="1" applyAlignment="1">
      <alignment horizontal="left"/>
    </xf>
    <xf numFmtId="168" fontId="23" fillId="0" borderId="0" xfId="114" applyFont="1" applyAlignment="1">
      <alignment horizontal="right"/>
    </xf>
    <xf numFmtId="167" fontId="23" fillId="0" borderId="10" xfId="135" applyNumberFormat="1" applyFont="1" applyFill="1" applyBorder="1" applyAlignment="1" applyProtection="1">
      <alignment horizontal="center" vertical="center"/>
    </xf>
    <xf numFmtId="37" fontId="23" fillId="23" borderId="10" xfId="135" applyNumberFormat="1" applyFont="1" applyFill="1" applyBorder="1" applyAlignment="1" applyProtection="1">
      <alignment horizontal="center" vertical="center"/>
    </xf>
    <xf numFmtId="37" fontId="22" fillId="0" borderId="10" xfId="141" applyNumberFormat="1" applyFont="1" applyFill="1" applyBorder="1" applyAlignment="1" applyProtection="1">
      <alignment horizontal="center" vertical="center"/>
    </xf>
    <xf numFmtId="37" fontId="23" fillId="0" borderId="10" xfId="141" applyNumberFormat="1" applyFont="1" applyFill="1" applyBorder="1" applyAlignment="1" applyProtection="1">
      <alignment horizontal="center" vertical="center"/>
    </xf>
    <xf numFmtId="37" fontId="23" fillId="0" borderId="0" xfId="141" applyNumberFormat="1" applyFont="1" applyFill="1" applyBorder="1" applyAlignment="1" applyProtection="1">
      <alignment horizontal="center" vertical="center" wrapText="1"/>
    </xf>
    <xf numFmtId="37" fontId="23" fillId="0" borderId="0" xfId="141" applyNumberFormat="1" applyFont="1" applyFill="1" applyBorder="1" applyAlignment="1" applyProtection="1">
      <alignment horizontal="center" vertical="center"/>
    </xf>
    <xf numFmtId="166" fontId="23" fillId="0" borderId="12" xfId="141" applyNumberFormat="1" applyFont="1" applyFill="1" applyBorder="1" applyAlignment="1" applyProtection="1"/>
    <xf numFmtId="166" fontId="23" fillId="23" borderId="12" xfId="141" applyNumberFormat="1" applyFont="1" applyFill="1" applyBorder="1" applyAlignment="1" applyProtection="1"/>
    <xf numFmtId="167" fontId="23" fillId="0" borderId="10" xfId="141" applyNumberFormat="1" applyFont="1" applyFill="1" applyBorder="1" applyAlignment="1" applyProtection="1">
      <alignment horizontal="center" vertical="center"/>
    </xf>
    <xf numFmtId="37" fontId="23" fillId="23" borderId="10" xfId="141" applyNumberFormat="1" applyFont="1" applyFill="1" applyBorder="1" applyAlignment="1" applyProtection="1">
      <alignment horizontal="center" vertical="center"/>
    </xf>
    <xf numFmtId="37" fontId="22" fillId="0" borderId="10" xfId="136" applyNumberFormat="1" applyFont="1" applyFill="1" applyBorder="1" applyAlignment="1" applyProtection="1">
      <alignment horizontal="center" vertical="center"/>
    </xf>
    <xf numFmtId="37" fontId="23" fillId="0" borderId="10" xfId="136" applyNumberFormat="1" applyFont="1" applyFill="1" applyBorder="1" applyAlignment="1" applyProtection="1">
      <alignment horizontal="center" vertical="center"/>
    </xf>
    <xf numFmtId="37" fontId="23" fillId="0" borderId="0" xfId="136" applyNumberFormat="1" applyFont="1" applyFill="1" applyBorder="1" applyAlignment="1" applyProtection="1">
      <alignment horizontal="center" vertical="center" wrapText="1"/>
    </xf>
    <xf numFmtId="37" fontId="23" fillId="0" borderId="0" xfId="136" applyNumberFormat="1" applyFont="1" applyFill="1" applyBorder="1" applyAlignment="1" applyProtection="1">
      <alignment horizontal="center" vertical="center"/>
    </xf>
    <xf numFmtId="168" fontId="23" fillId="0" borderId="0" xfId="114" applyFont="1" applyAlignment="1"/>
    <xf numFmtId="166" fontId="23" fillId="0" borderId="12" xfId="136" applyNumberFormat="1" applyFont="1" applyFill="1" applyBorder="1" applyAlignment="1" applyProtection="1"/>
    <xf numFmtId="166" fontId="23" fillId="23" borderId="12" xfId="136" applyNumberFormat="1" applyFont="1" applyFill="1" applyBorder="1" applyAlignment="1" applyProtection="1"/>
    <xf numFmtId="167" fontId="23" fillId="0" borderId="10" xfId="136" applyNumberFormat="1" applyFont="1" applyFill="1" applyBorder="1" applyAlignment="1" applyProtection="1">
      <alignment horizontal="center" vertical="center"/>
    </xf>
    <xf numFmtId="37" fontId="23" fillId="23" borderId="10" xfId="136" applyNumberFormat="1" applyFont="1" applyFill="1" applyBorder="1" applyAlignment="1" applyProtection="1">
      <alignment horizontal="center" vertical="center"/>
    </xf>
    <xf numFmtId="37" fontId="22" fillId="0" borderId="10" xfId="146" applyNumberFormat="1" applyFont="1" applyFill="1" applyBorder="1" applyAlignment="1" applyProtection="1">
      <alignment horizontal="center" vertical="center"/>
    </xf>
    <xf numFmtId="37" fontId="23" fillId="0" borderId="10" xfId="146" applyNumberFormat="1" applyFont="1" applyFill="1" applyBorder="1" applyAlignment="1" applyProtection="1">
      <alignment horizontal="center" vertical="center"/>
    </xf>
    <xf numFmtId="37" fontId="23" fillId="0" borderId="0" xfId="146" applyNumberFormat="1" applyFont="1" applyFill="1" applyBorder="1" applyAlignment="1" applyProtection="1">
      <alignment horizontal="center" vertical="center" wrapText="1"/>
    </xf>
    <xf numFmtId="37" fontId="23" fillId="0" borderId="0" xfId="146" applyNumberFormat="1" applyFont="1" applyFill="1" applyBorder="1" applyAlignment="1" applyProtection="1">
      <alignment horizontal="center" vertical="center"/>
    </xf>
    <xf numFmtId="166" fontId="23" fillId="0" borderId="12" xfId="146" applyNumberFormat="1" applyFont="1" applyFill="1" applyBorder="1" applyAlignment="1" applyProtection="1"/>
    <xf numFmtId="166" fontId="23" fillId="23" borderId="12" xfId="146" applyNumberFormat="1" applyFont="1" applyFill="1" applyBorder="1" applyAlignment="1" applyProtection="1"/>
    <xf numFmtId="167" fontId="23" fillId="0" borderId="10" xfId="146" applyNumberFormat="1" applyFont="1" applyFill="1" applyBorder="1" applyAlignment="1" applyProtection="1">
      <alignment horizontal="center" vertical="center"/>
    </xf>
    <xf numFmtId="37" fontId="23" fillId="23" borderId="10" xfId="146" applyNumberFormat="1" applyFont="1" applyFill="1" applyBorder="1" applyAlignment="1" applyProtection="1">
      <alignment horizontal="center" vertical="center"/>
    </xf>
    <xf numFmtId="37" fontId="22" fillId="0" borderId="10" xfId="150" applyNumberFormat="1" applyFont="1" applyFill="1" applyBorder="1" applyAlignment="1" applyProtection="1">
      <alignment horizontal="center" vertical="center"/>
    </xf>
    <xf numFmtId="37" fontId="23" fillId="0" borderId="10" xfId="150" applyNumberFormat="1" applyFont="1" applyFill="1" applyBorder="1" applyAlignment="1" applyProtection="1">
      <alignment horizontal="center" vertical="center"/>
    </xf>
    <xf numFmtId="37" fontId="23" fillId="0" borderId="0" xfId="150" applyNumberFormat="1" applyFont="1" applyFill="1" applyBorder="1" applyAlignment="1" applyProtection="1">
      <alignment horizontal="center" vertical="center" wrapText="1"/>
    </xf>
    <xf numFmtId="37" fontId="23" fillId="0" borderId="0" xfId="150" applyNumberFormat="1" applyFont="1" applyFill="1" applyBorder="1" applyAlignment="1" applyProtection="1">
      <alignment horizontal="center" vertical="center"/>
    </xf>
    <xf numFmtId="166" fontId="23" fillId="0" borderId="12" xfId="150" applyNumberFormat="1" applyFont="1" applyFill="1" applyBorder="1" applyAlignment="1" applyProtection="1"/>
    <xf numFmtId="166" fontId="23" fillId="23" borderId="12" xfId="150" applyNumberFormat="1" applyFont="1" applyFill="1" applyBorder="1" applyAlignment="1" applyProtection="1"/>
    <xf numFmtId="167" fontId="23" fillId="0" borderId="10" xfId="150" applyNumberFormat="1" applyFont="1" applyFill="1" applyBorder="1" applyAlignment="1" applyProtection="1">
      <alignment horizontal="center" vertical="center"/>
    </xf>
    <xf numFmtId="37" fontId="23" fillId="23" borderId="10" xfId="150" applyNumberFormat="1" applyFont="1" applyFill="1" applyBorder="1" applyAlignment="1" applyProtection="1">
      <alignment horizontal="center" vertical="center"/>
    </xf>
    <xf numFmtId="37" fontId="22" fillId="0" borderId="10" xfId="139" applyNumberFormat="1" applyFont="1" applyFill="1" applyBorder="1" applyAlignment="1" applyProtection="1">
      <alignment horizontal="center" vertical="center"/>
    </xf>
    <xf numFmtId="37" fontId="23" fillId="0" borderId="10" xfId="139" applyNumberFormat="1" applyFont="1" applyFill="1" applyBorder="1" applyAlignment="1" applyProtection="1">
      <alignment horizontal="center" vertical="center"/>
    </xf>
    <xf numFmtId="37" fontId="23" fillId="0" borderId="0" xfId="139" applyNumberFormat="1" applyFont="1" applyFill="1" applyBorder="1" applyAlignment="1" applyProtection="1">
      <alignment horizontal="center" vertical="center" wrapText="1"/>
    </xf>
    <xf numFmtId="37" fontId="23" fillId="0" borderId="0" xfId="139" applyNumberFormat="1" applyFont="1" applyFill="1" applyBorder="1" applyAlignment="1" applyProtection="1">
      <alignment horizontal="center" vertical="center"/>
    </xf>
    <xf numFmtId="166" fontId="23" fillId="0" borderId="12" xfId="139" applyNumberFormat="1" applyFont="1" applyFill="1" applyBorder="1" applyAlignment="1" applyProtection="1"/>
    <xf numFmtId="166" fontId="23" fillId="23" borderId="12" xfId="139" applyNumberFormat="1" applyFont="1" applyFill="1" applyBorder="1" applyAlignment="1" applyProtection="1"/>
    <xf numFmtId="167" fontId="23" fillId="0" borderId="10" xfId="139" applyNumberFormat="1" applyFont="1" applyFill="1" applyBorder="1" applyAlignment="1" applyProtection="1">
      <alignment horizontal="center" vertical="center"/>
    </xf>
    <xf numFmtId="37" fontId="23" fillId="23" borderId="10" xfId="139" applyNumberFormat="1" applyFont="1" applyFill="1" applyBorder="1" applyAlignment="1" applyProtection="1">
      <alignment horizontal="center" vertical="center"/>
    </xf>
    <xf numFmtId="37" fontId="22" fillId="0" borderId="10" xfId="134" applyNumberFormat="1" applyFont="1" applyFill="1" applyBorder="1" applyAlignment="1" applyProtection="1">
      <alignment horizontal="center" vertical="center"/>
    </xf>
    <xf numFmtId="37" fontId="23" fillId="0" borderId="10" xfId="134" applyNumberFormat="1" applyFont="1" applyFill="1" applyBorder="1" applyAlignment="1" applyProtection="1">
      <alignment horizontal="center" vertical="center"/>
    </xf>
    <xf numFmtId="37" fontId="23" fillId="0" borderId="0" xfId="134" applyNumberFormat="1" applyFont="1" applyFill="1" applyBorder="1" applyAlignment="1" applyProtection="1">
      <alignment horizontal="center" vertical="center" wrapText="1"/>
    </xf>
    <xf numFmtId="37" fontId="23" fillId="0" borderId="0" xfId="134" applyNumberFormat="1" applyFont="1" applyFill="1" applyBorder="1" applyAlignment="1" applyProtection="1">
      <alignment horizontal="center" vertical="center"/>
    </xf>
    <xf numFmtId="166" fontId="23" fillId="0" borderId="12" xfId="134" applyNumberFormat="1" applyFont="1" applyFill="1" applyBorder="1" applyAlignment="1" applyProtection="1"/>
    <xf numFmtId="166" fontId="23" fillId="23" borderId="12" xfId="134" applyNumberFormat="1" applyFont="1" applyFill="1" applyBorder="1" applyAlignment="1" applyProtection="1"/>
    <xf numFmtId="167" fontId="23" fillId="0" borderId="10" xfId="134" applyNumberFormat="1" applyFont="1" applyFill="1" applyBorder="1" applyAlignment="1" applyProtection="1">
      <alignment horizontal="center" vertical="center"/>
    </xf>
    <xf numFmtId="37" fontId="23" fillId="23" borderId="10" xfId="134" applyNumberFormat="1" applyFont="1" applyFill="1" applyBorder="1" applyAlignment="1" applyProtection="1">
      <alignment horizontal="center" vertical="center"/>
    </xf>
    <xf numFmtId="37" fontId="22" fillId="0" borderId="10" xfId="145" applyNumberFormat="1" applyFont="1" applyFill="1" applyBorder="1" applyAlignment="1" applyProtection="1">
      <alignment horizontal="center" vertical="center"/>
    </xf>
    <xf numFmtId="37" fontId="23" fillId="0" borderId="10" xfId="145" applyNumberFormat="1" applyFont="1" applyFill="1" applyBorder="1" applyAlignment="1" applyProtection="1">
      <alignment horizontal="center" vertical="center"/>
    </xf>
    <xf numFmtId="37" fontId="23" fillId="0" borderId="0" xfId="145" applyNumberFormat="1" applyFont="1" applyFill="1" applyBorder="1" applyAlignment="1" applyProtection="1">
      <alignment horizontal="center" vertical="center" wrapText="1"/>
    </xf>
    <xf numFmtId="37" fontId="23" fillId="0" borderId="0" xfId="145" applyNumberFormat="1" applyFont="1" applyFill="1" applyBorder="1" applyAlignment="1" applyProtection="1">
      <alignment horizontal="center" vertical="center"/>
    </xf>
    <xf numFmtId="166" fontId="23" fillId="0" borderId="12" xfId="145" applyNumberFormat="1" applyFont="1" applyFill="1" applyBorder="1" applyAlignment="1" applyProtection="1"/>
    <xf numFmtId="166" fontId="23" fillId="23" borderId="12" xfId="145" applyNumberFormat="1" applyFont="1" applyFill="1" applyBorder="1" applyAlignment="1" applyProtection="1"/>
    <xf numFmtId="167" fontId="23" fillId="0" borderId="10" xfId="145" applyNumberFormat="1" applyFont="1" applyFill="1" applyBorder="1" applyAlignment="1" applyProtection="1">
      <alignment horizontal="center" vertical="center"/>
    </xf>
    <xf numFmtId="37" fontId="23" fillId="23" borderId="10" xfId="145" applyNumberFormat="1" applyFont="1" applyFill="1" applyBorder="1" applyAlignment="1" applyProtection="1">
      <alignment horizontal="center" vertical="center"/>
    </xf>
    <xf numFmtId="37" fontId="22" fillId="0" borderId="10" xfId="144" applyNumberFormat="1" applyFont="1" applyFill="1" applyBorder="1" applyAlignment="1" applyProtection="1">
      <alignment horizontal="center" vertical="center"/>
    </xf>
    <xf numFmtId="37" fontId="23" fillId="0" borderId="10" xfId="144" applyNumberFormat="1" applyFont="1" applyFill="1" applyBorder="1" applyAlignment="1" applyProtection="1">
      <alignment horizontal="center" vertical="center"/>
    </xf>
    <xf numFmtId="37" fontId="23" fillId="0" borderId="0" xfId="144" applyNumberFormat="1" applyFont="1" applyFill="1" applyBorder="1" applyAlignment="1" applyProtection="1">
      <alignment horizontal="center" vertical="center" wrapText="1"/>
    </xf>
    <xf numFmtId="37" fontId="23" fillId="0" borderId="0" xfId="144" applyNumberFormat="1" applyFont="1" applyFill="1" applyBorder="1" applyAlignment="1" applyProtection="1">
      <alignment horizontal="center" vertical="center"/>
    </xf>
    <xf numFmtId="166" fontId="23" fillId="0" borderId="12" xfId="144" applyNumberFormat="1" applyFont="1" applyFill="1" applyBorder="1" applyAlignment="1" applyProtection="1"/>
    <xf numFmtId="166" fontId="23" fillId="23" borderId="12" xfId="144" applyNumberFormat="1" applyFont="1" applyFill="1" applyBorder="1" applyAlignment="1" applyProtection="1"/>
    <xf numFmtId="167" fontId="23" fillId="0" borderId="10" xfId="144" applyNumberFormat="1" applyFont="1" applyFill="1" applyBorder="1" applyAlignment="1" applyProtection="1">
      <alignment horizontal="center" vertical="center"/>
    </xf>
    <xf numFmtId="37" fontId="23" fillId="23" borderId="10" xfId="144" applyNumberFormat="1" applyFont="1" applyFill="1" applyBorder="1" applyAlignment="1" applyProtection="1">
      <alignment horizontal="center" vertical="center"/>
    </xf>
    <xf numFmtId="37" fontId="22" fillId="0" borderId="10" xfId="151" applyNumberFormat="1" applyFont="1" applyFill="1" applyBorder="1" applyAlignment="1" applyProtection="1">
      <alignment horizontal="center" vertical="center"/>
    </xf>
    <xf numFmtId="37" fontId="23" fillId="0" borderId="10" xfId="151" applyNumberFormat="1" applyFont="1" applyFill="1" applyBorder="1" applyAlignment="1" applyProtection="1">
      <alignment horizontal="center" vertical="center"/>
    </xf>
    <xf numFmtId="37" fontId="23" fillId="0" borderId="0" xfId="151" applyNumberFormat="1" applyFont="1" applyFill="1" applyBorder="1" applyAlignment="1" applyProtection="1">
      <alignment horizontal="center" vertical="center" wrapText="1"/>
    </xf>
    <xf numFmtId="37" fontId="23" fillId="0" borderId="0" xfId="151" applyNumberFormat="1" applyFont="1" applyFill="1" applyBorder="1" applyAlignment="1" applyProtection="1">
      <alignment horizontal="center" vertical="center"/>
    </xf>
    <xf numFmtId="166" fontId="23" fillId="0" borderId="12" xfId="151" applyNumberFormat="1" applyFont="1" applyFill="1" applyBorder="1" applyAlignment="1" applyProtection="1"/>
    <xf numFmtId="166" fontId="23" fillId="23" borderId="12" xfId="151" applyNumberFormat="1" applyFont="1" applyFill="1" applyBorder="1" applyAlignment="1" applyProtection="1"/>
    <xf numFmtId="167" fontId="23" fillId="0" borderId="10" xfId="151" applyNumberFormat="1" applyFont="1" applyFill="1" applyBorder="1" applyAlignment="1" applyProtection="1">
      <alignment horizontal="center" vertical="center"/>
    </xf>
    <xf numFmtId="37" fontId="23" fillId="23" borderId="10" xfId="151" applyNumberFormat="1" applyFont="1" applyFill="1" applyBorder="1" applyAlignment="1" applyProtection="1">
      <alignment horizontal="center" vertical="center"/>
    </xf>
    <xf numFmtId="0" fontId="21" fillId="0" borderId="0" xfId="0" applyFont="1" applyAlignment="1">
      <alignment horizontal="center" vertical="center"/>
    </xf>
    <xf numFmtId="49" fontId="21" fillId="0" borderId="0" xfId="2" applyNumberFormat="1" applyFont="1" applyAlignment="1">
      <alignment horizontal="center" vertical="center"/>
    </xf>
    <xf numFmtId="168" fontId="22" fillId="0" borderId="10" xfId="2" applyFont="1" applyBorder="1" applyAlignment="1">
      <alignment horizontal="center" vertical="center" wrapText="1"/>
    </xf>
    <xf numFmtId="168" fontId="22" fillId="23" borderId="10" xfId="2" applyFont="1" applyFill="1" applyBorder="1" applyAlignment="1">
      <alignment horizontal="center" vertical="center" wrapText="1"/>
    </xf>
    <xf numFmtId="168" fontId="22" fillId="0" borderId="10" xfId="2" applyFont="1" applyBorder="1" applyAlignment="1">
      <alignment horizontal="center" vertical="center"/>
    </xf>
    <xf numFmtId="168" fontId="22" fillId="0" borderId="13" xfId="2" applyFont="1" applyBorder="1" applyAlignment="1">
      <alignment horizontal="center" vertical="center"/>
    </xf>
    <xf numFmtId="168" fontId="22" fillId="0" borderId="11" xfId="2" applyFont="1" applyBorder="1" applyAlignment="1">
      <alignment horizontal="center" vertical="center"/>
    </xf>
    <xf numFmtId="168" fontId="22" fillId="0" borderId="13" xfId="114" applyFont="1" applyBorder="1" applyAlignment="1">
      <alignment horizontal="center" vertical="center"/>
    </xf>
    <xf numFmtId="168" fontId="22" fillId="0" borderId="11" xfId="114" applyFont="1" applyBorder="1" applyAlignment="1">
      <alignment horizontal="center" vertical="center"/>
    </xf>
    <xf numFmtId="49" fontId="21" fillId="0" borderId="0" xfId="114" applyNumberFormat="1" applyFont="1" applyAlignment="1">
      <alignment horizontal="center" vertical="center"/>
    </xf>
    <xf numFmtId="168" fontId="22" fillId="0" borderId="10" xfId="114" applyFont="1" applyBorder="1" applyAlignment="1">
      <alignment horizontal="center" vertical="center" wrapText="1"/>
    </xf>
    <xf numFmtId="3" fontId="22" fillId="0" borderId="10" xfId="114" applyNumberFormat="1" applyFont="1" applyBorder="1" applyAlignment="1">
      <alignment horizontal="center" vertical="center"/>
    </xf>
    <xf numFmtId="168" fontId="22" fillId="0" borderId="10" xfId="114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3" fontId="22" fillId="0" borderId="10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</cellXfs>
  <cellStyles count="153">
    <cellStyle name="_ALCATRAZ RESUMEN  CEBRA MAYO DE 2008" xfId="3" xr:uid="{B32344D4-40C8-479B-9E32-4EF4AA6D5731}"/>
    <cellStyle name="_ALCATRAZ RESUMEN  CEBRA MAYO DE 2008 2" xfId="60" xr:uid="{09467F60-76D3-4703-A0FC-FA1F317DE369}"/>
    <cellStyle name="_CEBRA_CAIQUERO_MAYO(1)" xfId="4" xr:uid="{10611B4D-F869-47B6-B00F-E5E2F43C4C7D}"/>
    <cellStyle name="_CEBRA_CAIQUERO_MAYO(1) 2" xfId="61" xr:uid="{6B305EC0-2F8F-4281-A5C8-BF3B7ECF782F}"/>
    <cellStyle name="_informe servicios mes de mayo" xfId="5" xr:uid="{1744BAAC-5CF4-4DE3-8D23-CEF41C1CE640}"/>
    <cellStyle name="_informe servicios mes de mayo 2" xfId="62" xr:uid="{3A0C2DCE-FB75-4957-BF69-5BFEED1D8068}"/>
    <cellStyle name="_INV" xfId="6" xr:uid="{8675DB4E-716C-44BD-85FA-CEF2F70F3F03}"/>
    <cellStyle name="_INV 2" xfId="63" xr:uid="{A9D2D03C-778F-4351-858F-99B00A740349}"/>
    <cellStyle name="_INV MAYO" xfId="7" xr:uid="{E9AC8FC9-0D64-4F78-8FE8-979BB51F2872}"/>
    <cellStyle name="_INV MAYO 2" xfId="64" xr:uid="{5F1FE4F8-51D8-4CB1-A10A-A21E6BE8B214}"/>
    <cellStyle name="_INVIAS SERVICIOS UNIDADES" xfId="8" xr:uid="{F20B1D92-E80C-4E31-BA1D-90231BC3B73E}"/>
    <cellStyle name="_INVIAS SERVICIOS UNIDADES 2" xfId="65" xr:uid="{FE51946A-4B55-402E-9601-A8FCC2CBB46B}"/>
    <cellStyle name="_SER CT INV" xfId="9" xr:uid="{2B5B1FC1-7EB4-4E0B-A5E3-A2C2EE82CF97}"/>
    <cellStyle name="_SER CT INV 2" xfId="66" xr:uid="{B8AF958A-454F-49EF-AFCE-791D0F788193}"/>
    <cellStyle name="_SER GRUA INV" xfId="10" xr:uid="{FF192D8D-17FD-44A9-A0C2-289BEE650967}"/>
    <cellStyle name="_SER GRUA INV 2" xfId="67" xr:uid="{658A6050-CBF8-4496-9D43-D4B8CB94A472}"/>
    <cellStyle name="_SER. POS" xfId="11" xr:uid="{D31A6698-AC08-4F12-A11A-26646DFC9AC1}"/>
    <cellStyle name="_SER. POS 2" xfId="68" xr:uid="{B7D92D84-E5FB-4F45-8C23-49CA07F75B70}"/>
    <cellStyle name="_servicios de 2007 a 2008" xfId="12" xr:uid="{505D3889-F532-42C1-86E1-26741AFD99F1}"/>
    <cellStyle name="_servicios de 2007 a 2008 2" xfId="69" xr:uid="{F83564DE-67E6-4F0F-B84B-EE63AB357150}"/>
    <cellStyle name="20% - Énfasis1 2" xfId="70" xr:uid="{B3BD0B06-D4CF-4AE9-BFEB-D0EA3FA40089}"/>
    <cellStyle name="20% - Énfasis1 3" xfId="13" xr:uid="{86B3E2F3-2D16-4716-9DAC-9CF97A3A5F04}"/>
    <cellStyle name="20% - Énfasis2 2" xfId="71" xr:uid="{5FD6FA80-C98A-415C-B656-779C0102DA7F}"/>
    <cellStyle name="20% - Énfasis2 3" xfId="14" xr:uid="{7038A3D5-458E-4AFA-8874-81A1FE2E2DE2}"/>
    <cellStyle name="20% - Énfasis3 2" xfId="72" xr:uid="{A7894B32-E5C1-4A98-BFF7-5F8709246256}"/>
    <cellStyle name="20% - Énfasis3 3" xfId="15" xr:uid="{D7B7A9AC-D5D7-4710-81F9-FAC8068CED1E}"/>
    <cellStyle name="20% - Énfasis4 2" xfId="73" xr:uid="{57423291-1BEA-4C83-A4F5-4E62FA2C1F58}"/>
    <cellStyle name="20% - Énfasis4 3" xfId="16" xr:uid="{257E1ACA-762D-4195-8793-74D47336DE2C}"/>
    <cellStyle name="20% - Énfasis5 2" xfId="74" xr:uid="{5B92A49D-A2A8-40E5-8B91-21013CD7DAD4}"/>
    <cellStyle name="20% - Énfasis5 3" xfId="17" xr:uid="{6653BC1E-FE3D-40CE-9AE3-7E75D441002B}"/>
    <cellStyle name="20% - Énfasis6 2" xfId="75" xr:uid="{0931538C-DAA0-407A-A52D-47FD46E46A77}"/>
    <cellStyle name="20% - Énfasis6 3" xfId="18" xr:uid="{F2A19592-F3FA-4FBA-BEEE-ABCCA928D596}"/>
    <cellStyle name="40% - Énfasis1 2" xfId="76" xr:uid="{3797CED2-25AE-44DB-83A8-AC8D1F35C583}"/>
    <cellStyle name="40% - Énfasis1 3" xfId="19" xr:uid="{8C029F21-B904-4276-94CD-3D080F0A94E2}"/>
    <cellStyle name="40% - Énfasis2 2" xfId="77" xr:uid="{3959154A-6BB6-4CD3-8120-2013C13DD4AE}"/>
    <cellStyle name="40% - Énfasis2 3" xfId="20" xr:uid="{408AC32B-C7D3-4E6D-A18F-BBC793905356}"/>
    <cellStyle name="40% - Énfasis3 2" xfId="78" xr:uid="{AFB62556-DE80-449C-BD1D-508DEB10760B}"/>
    <cellStyle name="40% - Énfasis3 3" xfId="21" xr:uid="{D8BA1806-4FDA-448E-B367-97D33AB18CEA}"/>
    <cellStyle name="40% - Énfasis4 2" xfId="79" xr:uid="{E241BAFD-7974-4DDD-866E-DCD831DE735C}"/>
    <cellStyle name="40% - Énfasis4 3" xfId="22" xr:uid="{AC17CCAE-5268-453B-A1D1-F30FC3D4B33D}"/>
    <cellStyle name="40% - Énfasis5 2" xfId="80" xr:uid="{F36260ED-6485-42F7-9A4A-FBD53C2BDDEA}"/>
    <cellStyle name="40% - Énfasis5 3" xfId="23" xr:uid="{9DC08450-589B-4EF1-9CD2-CCEBA7D039E4}"/>
    <cellStyle name="40% - Énfasis6 2" xfId="81" xr:uid="{7880F45F-B628-4D11-BAE7-7B438487205A}"/>
    <cellStyle name="40% - Énfasis6 3" xfId="24" xr:uid="{AD38FED2-5D9D-442B-8B8E-D54940126A67}"/>
    <cellStyle name="60% - Énfasis1 2" xfId="82" xr:uid="{9C3C5DB3-51CC-4ACE-89A7-C2554F5C5E11}"/>
    <cellStyle name="60% - Énfasis1 3" xfId="25" xr:uid="{F9BE81AA-F2C2-4F7D-8528-2156B0218B4F}"/>
    <cellStyle name="60% - Énfasis2 2" xfId="83" xr:uid="{AD861F77-6CC0-483E-9D13-D81FA0791B57}"/>
    <cellStyle name="60% - Énfasis2 3" xfId="26" xr:uid="{97C831EE-C794-4834-8B5C-4D9B763CF90E}"/>
    <cellStyle name="60% - Énfasis3 2" xfId="84" xr:uid="{A893D915-73AB-470B-9A1E-988482B1D1F7}"/>
    <cellStyle name="60% - Énfasis3 3" xfId="27" xr:uid="{8AAE4AD4-1877-47A3-B7C9-946D5AF6133D}"/>
    <cellStyle name="60% - Énfasis4 2" xfId="85" xr:uid="{DAF2EAB2-275A-4B26-9802-A47B10049FD2}"/>
    <cellStyle name="60% - Énfasis4 3" xfId="28" xr:uid="{45FCFAA0-1242-452A-B72D-28314112B5A5}"/>
    <cellStyle name="60% - Énfasis5 2" xfId="86" xr:uid="{B893FC79-49BF-4066-A31F-197D9BCC1BCD}"/>
    <cellStyle name="60% - Énfasis5 3" xfId="29" xr:uid="{C37E998E-8F2D-4C33-8A6E-15D9D20C05CC}"/>
    <cellStyle name="60% - Énfasis6 2" xfId="87" xr:uid="{22BB1CCB-8768-490D-AD88-C4913C756E90}"/>
    <cellStyle name="60% - Énfasis6 3" xfId="30" xr:uid="{C660A497-D265-418D-9A98-2CA1789B5185}"/>
    <cellStyle name="Buena 2" xfId="88" xr:uid="{3C6A2021-93CF-4844-BAFC-CEBDC23EDB81}"/>
    <cellStyle name="Bueno 2" xfId="31" xr:uid="{DCE4EEF4-ED1E-44A1-B278-74489F8DBBCE}"/>
    <cellStyle name="Cálculo 2" xfId="89" xr:uid="{716F870A-0D44-485B-B969-EEEDB70420DD}"/>
    <cellStyle name="Cálculo 3" xfId="32" xr:uid="{4F70026A-0970-4438-A2E3-4D485737B408}"/>
    <cellStyle name="Celda de comprobación 2" xfId="90" xr:uid="{87D0D3DD-F880-4E97-971D-DCFE093F811F}"/>
    <cellStyle name="Celda de comprobación 3" xfId="33" xr:uid="{9C897AF6-96BD-444E-A7A5-CDA706F0F0CA}"/>
    <cellStyle name="Celda vinculada 2" xfId="91" xr:uid="{1145C418-71E1-452F-8F3F-020F15DB4D20}"/>
    <cellStyle name="Celda vinculada 3" xfId="34" xr:uid="{680681FA-98B7-46D2-B6BE-9D7C263E7BC1}"/>
    <cellStyle name="Encabezado 1 2" xfId="109" xr:uid="{4F4DF6B0-5AE0-4227-B1F5-20610F4E2571}"/>
    <cellStyle name="Encabezado 1 3" xfId="55" xr:uid="{950A37C8-B93B-4EFE-9C4D-33D3F91C7219}"/>
    <cellStyle name="Encabezado 4 2" xfId="92" xr:uid="{1FC8BEEE-2106-45A4-984F-3AC3DE8D72BC}"/>
    <cellStyle name="Encabezado 4 3" xfId="35" xr:uid="{2EEBADD5-3A69-4449-8992-A0EF3EB099BF}"/>
    <cellStyle name="Énfasis1 2" xfId="93" xr:uid="{5AF3169F-D28F-465A-A341-10F169376F74}"/>
    <cellStyle name="Énfasis1 3" xfId="36" xr:uid="{226A5FB8-40EF-4A65-B10F-C39B0D4CEE54}"/>
    <cellStyle name="Énfasis2 2" xfId="94" xr:uid="{02E61659-51AA-4478-8D0A-83CA68710FA2}"/>
    <cellStyle name="Énfasis2 3" xfId="37" xr:uid="{6189ADE7-35AB-423B-B7BF-598446E5F576}"/>
    <cellStyle name="Énfasis3 2" xfId="95" xr:uid="{649FCC07-7E99-4D67-96D1-4D98FECE5AD9}"/>
    <cellStyle name="Énfasis3 3" xfId="38" xr:uid="{99890081-69B8-45A2-96C5-388957850482}"/>
    <cellStyle name="Énfasis4 2" xfId="96" xr:uid="{B5170C93-334D-4DA1-A96A-5B68290C7A2D}"/>
    <cellStyle name="Énfasis4 3" xfId="39" xr:uid="{DE6BC131-F3B2-4A0A-861A-56F4938E3E84}"/>
    <cellStyle name="Énfasis5 2" xfId="97" xr:uid="{675F7ECC-ED36-4C60-BF35-2DF11B71F9C3}"/>
    <cellStyle name="Énfasis5 3" xfId="40" xr:uid="{3E87E9C2-44BB-426A-B9A8-EE98540FFC69}"/>
    <cellStyle name="Énfasis6 2" xfId="98" xr:uid="{C3AF09C4-CBB6-4F09-A134-5FE4E7D8E750}"/>
    <cellStyle name="Énfasis6 3" xfId="41" xr:uid="{20439DA2-930A-4DAB-BC83-432D1B20B449}"/>
    <cellStyle name="Entrada 2" xfId="99" xr:uid="{EEBD7A22-36BA-4372-B223-BA14BFB00DC4}"/>
    <cellStyle name="Entrada 3" xfId="42" xr:uid="{92CA354A-AEC7-4206-AB5B-17BA691681E2}"/>
    <cellStyle name="Euro" xfId="43" xr:uid="{9CB0ED37-8867-4590-8708-D3F14F2B1947}"/>
    <cellStyle name="Euro 2" xfId="100" xr:uid="{65944A7C-EDC7-44CB-9F67-BED14C35B0C7}"/>
    <cellStyle name="Incorrecto 2" xfId="101" xr:uid="{9465A8A8-D853-491E-AFAA-DE7B3F10A74C}"/>
    <cellStyle name="Incorrecto 3" xfId="44" xr:uid="{F63E48FA-C46C-482D-9B65-2D3E0BFF2681}"/>
    <cellStyle name="Millares" xfId="1" builtinId="3"/>
    <cellStyle name="Millares [0] 2" xfId="132" xr:uid="{AD5CAB23-B907-473B-8604-487945BF7C2B}"/>
    <cellStyle name="Millares 10" xfId="139" xr:uid="{F3E299E8-AF71-4D69-A1BC-500383CC86ED}"/>
    <cellStyle name="Millares 11" xfId="134" xr:uid="{51DFC817-0305-475D-8BE3-84F1D081FF99}"/>
    <cellStyle name="Millares 12" xfId="145" xr:uid="{78B97451-2FB0-4A4F-9A1A-37A9BA95587F}"/>
    <cellStyle name="Millares 13" xfId="144" xr:uid="{88D243E0-3540-4C2C-9B86-3612CD08D5CB}"/>
    <cellStyle name="Millares 14" xfId="151" xr:uid="{BD10C747-A079-4491-A4A6-4BE380CD8994}"/>
    <cellStyle name="Millares 2" xfId="102" xr:uid="{740C8594-9AD4-4666-9C60-C2CFDD109316}"/>
    <cellStyle name="Millares 2 2" xfId="117" xr:uid="{A5ACFC91-AADB-4499-BF58-7D2A2D8492CB}"/>
    <cellStyle name="Millares 2 2 2" xfId="126" xr:uid="{E7AC6C3E-9214-45B5-BFFE-15680AC38AEC}"/>
    <cellStyle name="Millares 2 3" xfId="120" xr:uid="{D2B58B1B-D497-4245-9756-7E143E9AE540}"/>
    <cellStyle name="Millares 2 3 2" xfId="129" xr:uid="{EB15EC08-5CC3-4F03-9AD5-8E8658551A83}"/>
    <cellStyle name="Millares 2 4" xfId="123" xr:uid="{63AD3177-CD57-4E9E-BD79-D8C239386598}"/>
    <cellStyle name="Millares 3" xfId="133" xr:uid="{CFB65251-7AC9-41CA-A897-1CED66C77B0F}"/>
    <cellStyle name="Millares 4" xfId="45" xr:uid="{201F39AD-926D-451B-BD0A-9341169AC767}"/>
    <cellStyle name="Millares 5" xfId="135" xr:uid="{C4FD45AA-DA3B-4CD7-830C-A2339FF160CA}"/>
    <cellStyle name="Millares 6" xfId="141" xr:uid="{5909CAEF-9313-4434-AB21-729EDB92C798}"/>
    <cellStyle name="Millares 7" xfId="136" xr:uid="{859922E6-DB11-4568-B2BE-17B6DCF8E78D}"/>
    <cellStyle name="Millares 8" xfId="146" xr:uid="{BBFD0213-4E1D-42D1-9D0D-35F2169EF335}"/>
    <cellStyle name="Millares 9" xfId="150" xr:uid="{72FB7948-C5A2-4046-AC15-89C31E03E9AA}"/>
    <cellStyle name="Millares_TRAFICO CAIQUERO_1" xfId="46" xr:uid="{F76CDEFE-6F06-47C0-8B71-C660F3A35F33}"/>
    <cellStyle name="Moneda [0] 2" xfId="148" xr:uid="{5B1FF559-341A-4670-8BA3-9358814332CF}"/>
    <cellStyle name="Moneda 10" xfId="149" xr:uid="{9A3387DC-0DB3-430A-8BF3-DDFB5C8DCD11}"/>
    <cellStyle name="Moneda 2" xfId="47" xr:uid="{54ADD240-E0D8-4123-9E41-E9D54A2E0F0E}"/>
    <cellStyle name="Moneda 3" xfId="147" xr:uid="{420083FB-E226-44BB-81CC-AA05781A768F}"/>
    <cellStyle name="Moneda 4" xfId="143" xr:uid="{278CB411-8094-4C56-B79F-66C501BB6EE8}"/>
    <cellStyle name="Moneda 5" xfId="152" xr:uid="{D9D9810D-4D97-4375-BD59-CA8679E1A748}"/>
    <cellStyle name="Moneda 6" xfId="140" xr:uid="{F09C54C1-307D-4272-B1BB-12C68BB64B5F}"/>
    <cellStyle name="Moneda 7" xfId="142" xr:uid="{BE65B690-F62E-43BB-A021-B4124B9026E2}"/>
    <cellStyle name="Moneda 8" xfId="138" xr:uid="{887064C8-B8DD-4954-A294-73E47D348C9D}"/>
    <cellStyle name="Moneda 9" xfId="137" xr:uid="{F6A1C3E0-BDE1-4E03-9A88-DA5C901A0F6F}"/>
    <cellStyle name="Neutral 2" xfId="103" xr:uid="{053DB13B-C59B-48A4-9C29-E6D4DF91DAA2}"/>
    <cellStyle name="Neutral 3" xfId="48" xr:uid="{4EF38E3D-8268-43D0-9AB0-6A5FB0C6887A}"/>
    <cellStyle name="Normal" xfId="0" builtinId="0"/>
    <cellStyle name="Normal 2" xfId="59" xr:uid="{AA9B5477-73F7-469B-B14A-EAF87BAED09A}"/>
    <cellStyle name="Normal 3" xfId="113" xr:uid="{A57C309B-04D2-4158-95AE-573077528C65}"/>
    <cellStyle name="Normal 3 2" xfId="118" xr:uid="{2392F2B5-BFB2-4305-A5C8-2964D8A3202E}"/>
    <cellStyle name="Normal 3 2 2" xfId="127" xr:uid="{944CABEF-8917-44E7-BF78-E0421236F614}"/>
    <cellStyle name="Normal 3 3" xfId="116" xr:uid="{EB8117CD-5EF3-4E62-AF0F-81667C3206E1}"/>
    <cellStyle name="Normal 3 4" xfId="121" xr:uid="{A009EE07-1CD5-4F63-807F-221A59D3360D}"/>
    <cellStyle name="Normal 3 4 2" xfId="130" xr:uid="{03CB011E-CF63-4E1E-9EB3-9F3982080D0E}"/>
    <cellStyle name="Normal 3 5" xfId="124" xr:uid="{90968413-C960-49B1-A9D2-63398F3AA788}"/>
    <cellStyle name="Normal 4" xfId="114" xr:uid="{9DDFE5AA-CABD-403C-9C6B-C8AFD07E81C2}"/>
    <cellStyle name="Normal 4 2" xfId="115" xr:uid="{F7C3C08F-7547-4127-842B-6E7F52D2976E}"/>
    <cellStyle name="Normal 4 2 2" xfId="119" xr:uid="{FD1C83B4-1CA6-4408-8ED3-64A0EE21E304}"/>
    <cellStyle name="Normal 4 2 2 2" xfId="128" xr:uid="{EDE8250B-D440-4452-A6B5-03C826F90EC0}"/>
    <cellStyle name="Normal 4 2 3" xfId="122" xr:uid="{9B6BFF92-1925-4C8D-A821-6E63F4FB67AC}"/>
    <cellStyle name="Normal 4 2 3 2" xfId="131" xr:uid="{5727CA7C-F46E-4A9A-BE23-8C0326B53760}"/>
    <cellStyle name="Normal 4 2 4" xfId="125" xr:uid="{B21DC9BE-5D7F-45BA-94E2-3738CD7780E2}"/>
    <cellStyle name="Normal 5" xfId="2" xr:uid="{78FFE6AB-D89B-447A-8BA6-22E0BC30F5AC}"/>
    <cellStyle name="Notas 2" xfId="104" xr:uid="{1EEE1C48-BEFD-46F2-9B0C-E38D575D7A98}"/>
    <cellStyle name="Notas 3" xfId="49" xr:uid="{15DF9BF8-688E-4194-A53B-8729B7980AE6}"/>
    <cellStyle name="Porcentaje 2" xfId="50" xr:uid="{4362CBA3-10F4-4972-B788-D0202268B46D}"/>
    <cellStyle name="Salida 2" xfId="105" xr:uid="{06FE5DAD-C744-4C92-888B-7A74505C755D}"/>
    <cellStyle name="Salida 3" xfId="51" xr:uid="{E7C27B50-AB56-4C20-8641-132B82F7485B}"/>
    <cellStyle name="Texto de advertencia 2" xfId="106" xr:uid="{5B6A115A-F989-4E22-861C-BE2848D045C0}"/>
    <cellStyle name="Texto de advertencia 3" xfId="52" xr:uid="{043F9937-9A02-4AF5-AFA1-FD8B93274C80}"/>
    <cellStyle name="Texto explicativo 2" xfId="107" xr:uid="{04A9A3F2-3E1C-4FCB-9AB9-E9E5CDF9156D}"/>
    <cellStyle name="Texto explicativo 3" xfId="53" xr:uid="{7CACFDF9-15CF-4FFD-8787-BBE264C99758}"/>
    <cellStyle name="Título 2 2" xfId="110" xr:uid="{21365DED-BC2D-423C-AB0E-5F0D930AA7A8}"/>
    <cellStyle name="Título 2 3" xfId="56" xr:uid="{3CF039FC-EB0B-48E8-B24A-88B32953EAE3}"/>
    <cellStyle name="Título 3 2" xfId="111" xr:uid="{6C635EC5-37FE-46C5-85AA-4D909087BAF6}"/>
    <cellStyle name="Título 3 3" xfId="57" xr:uid="{679BF508-BEEA-4C96-8D81-95F5CF0FABBC}"/>
    <cellStyle name="Título 4" xfId="108" xr:uid="{DF7F2A66-2DF9-4BE4-9CEB-9A18787A9F2E}"/>
    <cellStyle name="Título 5" xfId="54" xr:uid="{2F54AA86-3F83-4A81-BE3F-C7BBA41DA9D4}"/>
    <cellStyle name="Total 2" xfId="112" xr:uid="{CEB2EF47-BC0B-4188-BC33-11C79322418B}"/>
    <cellStyle name="Total 3" xfId="58" xr:uid="{E65C19CF-3DB1-4635-8454-56410D05B6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D98B-1404-4ADD-8D34-FEF43F797F14}">
  <dimension ref="A1:Y45"/>
  <sheetViews>
    <sheetView workbookViewId="0">
      <selection activeCell="E13" sqref="E13"/>
    </sheetView>
  </sheetViews>
  <sheetFormatPr baseColWidth="10" defaultRowHeight="14.4" x14ac:dyDescent="0.3"/>
  <cols>
    <col min="8" max="8" width="11.44140625" style="30"/>
  </cols>
  <sheetData>
    <row r="1" spans="1:25" s="58" customFormat="1" ht="15.6" x14ac:dyDescent="0.3">
      <c r="A1" s="155" t="s">
        <v>35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25" s="58" customFormat="1" ht="15.6" x14ac:dyDescent="0.3">
      <c r="A2" s="155" t="s">
        <v>36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25" ht="15.6" x14ac:dyDescent="0.3">
      <c r="A3" s="156" t="s">
        <v>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4"/>
      <c r="Q3" s="14"/>
      <c r="R3" s="14"/>
    </row>
    <row r="4" spans="1:25" ht="82.8" x14ac:dyDescent="0.3">
      <c r="A4" s="160" t="s">
        <v>1</v>
      </c>
      <c r="B4" s="157" t="s">
        <v>2</v>
      </c>
      <c r="C4" s="157"/>
      <c r="D4" s="9" t="s">
        <v>3</v>
      </c>
      <c r="E4" s="9" t="s">
        <v>4</v>
      </c>
      <c r="F4" s="9" t="s">
        <v>5</v>
      </c>
      <c r="G4" s="9" t="s">
        <v>6</v>
      </c>
      <c r="H4" s="158" t="s">
        <v>7</v>
      </c>
      <c r="I4" s="157" t="s">
        <v>8</v>
      </c>
      <c r="J4" s="3"/>
      <c r="K4" s="159" t="s">
        <v>1</v>
      </c>
      <c r="L4" s="157" t="s">
        <v>9</v>
      </c>
      <c r="M4" s="157" t="s">
        <v>10</v>
      </c>
      <c r="N4" s="157" t="s">
        <v>11</v>
      </c>
      <c r="O4" s="157" t="s">
        <v>12</v>
      </c>
      <c r="P4" s="1"/>
      <c r="Q4" s="1"/>
      <c r="R4" s="1"/>
    </row>
    <row r="5" spans="1:25" x14ac:dyDescent="0.3">
      <c r="A5" s="161"/>
      <c r="B5" s="10" t="s">
        <v>13</v>
      </c>
      <c r="C5" s="10" t="s">
        <v>14</v>
      </c>
      <c r="D5" s="10" t="s">
        <v>15</v>
      </c>
      <c r="E5" s="10" t="s">
        <v>16</v>
      </c>
      <c r="F5" s="10" t="s">
        <v>17</v>
      </c>
      <c r="G5" s="10" t="s">
        <v>18</v>
      </c>
      <c r="H5" s="158"/>
      <c r="I5" s="157"/>
      <c r="J5" s="3"/>
      <c r="K5" s="159"/>
      <c r="L5" s="157"/>
      <c r="M5" s="157"/>
      <c r="N5" s="157"/>
      <c r="O5" s="157"/>
      <c r="P5" s="1"/>
      <c r="Q5" s="1"/>
      <c r="R5" s="1"/>
    </row>
    <row r="6" spans="1:25" x14ac:dyDescent="0.3">
      <c r="A6" s="4">
        <v>1</v>
      </c>
      <c r="B6" s="5">
        <v>9989</v>
      </c>
      <c r="C6" s="5">
        <v>0</v>
      </c>
      <c r="D6" s="5">
        <v>417</v>
      </c>
      <c r="E6" s="5">
        <v>40</v>
      </c>
      <c r="F6" s="5">
        <v>59</v>
      </c>
      <c r="G6" s="5">
        <v>83</v>
      </c>
      <c r="H6" s="25">
        <v>10588</v>
      </c>
      <c r="I6" s="5">
        <v>0</v>
      </c>
      <c r="J6" s="6"/>
      <c r="K6" s="4">
        <v>1</v>
      </c>
      <c r="L6" s="5">
        <v>0</v>
      </c>
      <c r="M6" s="5">
        <v>5</v>
      </c>
      <c r="N6" s="5">
        <v>1</v>
      </c>
      <c r="O6" s="5">
        <v>6</v>
      </c>
      <c r="P6" s="1"/>
      <c r="Q6" s="1"/>
      <c r="R6" s="1"/>
    </row>
    <row r="7" spans="1:25" x14ac:dyDescent="0.3">
      <c r="A7" s="4">
        <v>2</v>
      </c>
      <c r="B7" s="5">
        <v>19964</v>
      </c>
      <c r="C7" s="5">
        <v>0</v>
      </c>
      <c r="D7" s="5">
        <v>685</v>
      </c>
      <c r="E7" s="5">
        <v>19</v>
      </c>
      <c r="F7" s="5">
        <v>35</v>
      </c>
      <c r="G7" s="5">
        <v>52</v>
      </c>
      <c r="H7" s="25">
        <v>20755</v>
      </c>
      <c r="I7" s="5">
        <v>0</v>
      </c>
      <c r="J7" s="6"/>
      <c r="K7" s="4">
        <v>2</v>
      </c>
      <c r="L7" s="5">
        <v>4</v>
      </c>
      <c r="M7" s="5">
        <v>0</v>
      </c>
      <c r="N7" s="5">
        <v>0</v>
      </c>
      <c r="O7" s="5">
        <v>4</v>
      </c>
      <c r="P7" s="1"/>
      <c r="Q7" s="1"/>
      <c r="R7" s="1"/>
    </row>
    <row r="8" spans="1:25" x14ac:dyDescent="0.3">
      <c r="A8" s="4">
        <v>3</v>
      </c>
      <c r="B8" s="5">
        <v>14779</v>
      </c>
      <c r="C8" s="5">
        <v>0</v>
      </c>
      <c r="D8" s="5">
        <v>1266</v>
      </c>
      <c r="E8" s="5">
        <v>190</v>
      </c>
      <c r="F8" s="5">
        <v>180</v>
      </c>
      <c r="G8" s="5">
        <v>347</v>
      </c>
      <c r="H8" s="25">
        <v>16762</v>
      </c>
      <c r="I8" s="5">
        <v>0</v>
      </c>
      <c r="J8" s="6"/>
      <c r="K8" s="4">
        <v>3</v>
      </c>
      <c r="L8" s="5">
        <v>6</v>
      </c>
      <c r="M8" s="5">
        <v>9</v>
      </c>
      <c r="N8" s="5">
        <v>1</v>
      </c>
      <c r="O8" s="5">
        <v>16</v>
      </c>
      <c r="P8" s="1"/>
      <c r="Q8" s="1"/>
      <c r="R8" s="12"/>
    </row>
    <row r="9" spans="1:25" x14ac:dyDescent="0.3">
      <c r="A9" s="4">
        <v>4</v>
      </c>
      <c r="B9" s="5">
        <v>11893</v>
      </c>
      <c r="C9" s="5">
        <v>0</v>
      </c>
      <c r="D9" s="5">
        <v>1577</v>
      </c>
      <c r="E9" s="5">
        <v>219</v>
      </c>
      <c r="F9" s="5">
        <v>244</v>
      </c>
      <c r="G9" s="5">
        <v>397</v>
      </c>
      <c r="H9" s="25">
        <v>14330</v>
      </c>
      <c r="I9" s="5">
        <v>0</v>
      </c>
      <c r="J9" s="6"/>
      <c r="K9" s="4">
        <v>4</v>
      </c>
      <c r="L9" s="5">
        <v>9</v>
      </c>
      <c r="M9" s="5">
        <v>23</v>
      </c>
      <c r="N9" s="5">
        <v>4</v>
      </c>
      <c r="O9" s="5">
        <v>36</v>
      </c>
      <c r="P9" s="1"/>
      <c r="Q9" s="1"/>
      <c r="R9" s="1"/>
    </row>
    <row r="10" spans="1:25" x14ac:dyDescent="0.3">
      <c r="A10" s="4">
        <v>5</v>
      </c>
      <c r="B10" s="5">
        <v>11190</v>
      </c>
      <c r="C10" s="5">
        <v>0</v>
      </c>
      <c r="D10" s="5">
        <v>1730</v>
      </c>
      <c r="E10" s="5">
        <v>213</v>
      </c>
      <c r="F10" s="5">
        <v>268</v>
      </c>
      <c r="G10" s="5">
        <v>423</v>
      </c>
      <c r="H10" s="25">
        <v>13824</v>
      </c>
      <c r="I10" s="5">
        <v>0</v>
      </c>
      <c r="J10" s="6"/>
      <c r="K10" s="4">
        <v>5</v>
      </c>
      <c r="L10" s="5">
        <v>5</v>
      </c>
      <c r="M10" s="5">
        <v>16</v>
      </c>
      <c r="N10" s="5">
        <v>1</v>
      </c>
      <c r="O10" s="5">
        <v>22</v>
      </c>
      <c r="P10" s="1"/>
      <c r="Q10" s="1"/>
      <c r="R10" s="1"/>
    </row>
    <row r="11" spans="1:25" x14ac:dyDescent="0.3">
      <c r="A11" s="4">
        <v>6</v>
      </c>
      <c r="B11" s="5">
        <v>10877</v>
      </c>
      <c r="C11" s="5">
        <v>0</v>
      </c>
      <c r="D11" s="5">
        <v>1664</v>
      </c>
      <c r="E11" s="5">
        <v>234</v>
      </c>
      <c r="F11" s="5">
        <v>268</v>
      </c>
      <c r="G11" s="5">
        <v>444</v>
      </c>
      <c r="H11" s="25">
        <v>13487</v>
      </c>
      <c r="I11" s="5">
        <v>0</v>
      </c>
      <c r="J11" s="6"/>
      <c r="K11" s="4">
        <v>6</v>
      </c>
      <c r="L11" s="5">
        <v>5</v>
      </c>
      <c r="M11" s="5">
        <v>10</v>
      </c>
      <c r="N11" s="5">
        <v>2</v>
      </c>
      <c r="O11" s="5">
        <v>17</v>
      </c>
      <c r="P11" s="1"/>
      <c r="Q11" s="1"/>
      <c r="R11" s="1"/>
    </row>
    <row r="12" spans="1:25" x14ac:dyDescent="0.3">
      <c r="A12" s="4">
        <v>7</v>
      </c>
      <c r="B12" s="5">
        <v>12147</v>
      </c>
      <c r="C12" s="5">
        <v>0</v>
      </c>
      <c r="D12" s="5">
        <v>1381</v>
      </c>
      <c r="E12" s="5">
        <v>169</v>
      </c>
      <c r="F12" s="5">
        <v>231</v>
      </c>
      <c r="G12" s="5">
        <v>350</v>
      </c>
      <c r="H12" s="25">
        <v>14278</v>
      </c>
      <c r="I12" s="5">
        <v>0</v>
      </c>
      <c r="J12" s="7"/>
      <c r="K12" s="4">
        <v>7</v>
      </c>
      <c r="L12" s="5">
        <v>4</v>
      </c>
      <c r="M12" s="5">
        <v>11</v>
      </c>
      <c r="N12" s="5">
        <v>7</v>
      </c>
      <c r="O12" s="5">
        <v>22</v>
      </c>
      <c r="P12" s="1"/>
      <c r="Q12" s="1"/>
      <c r="R12" s="1"/>
    </row>
    <row r="13" spans="1:25" x14ac:dyDescent="0.3">
      <c r="A13" s="4">
        <v>8</v>
      </c>
      <c r="B13" s="5">
        <v>15103</v>
      </c>
      <c r="C13" s="5">
        <v>0</v>
      </c>
      <c r="D13" s="5">
        <v>1256</v>
      </c>
      <c r="E13" s="5">
        <v>117</v>
      </c>
      <c r="F13" s="5">
        <v>220</v>
      </c>
      <c r="G13" s="5">
        <v>187</v>
      </c>
      <c r="H13" s="25">
        <v>16883</v>
      </c>
      <c r="I13" s="5">
        <v>0</v>
      </c>
      <c r="J13" s="7"/>
      <c r="K13" s="4">
        <v>8</v>
      </c>
      <c r="L13" s="5">
        <v>6</v>
      </c>
      <c r="M13" s="5">
        <v>7</v>
      </c>
      <c r="N13" s="5">
        <v>6</v>
      </c>
      <c r="O13" s="5">
        <v>19</v>
      </c>
      <c r="P13" s="1"/>
      <c r="Q13" s="1"/>
      <c r="R13" s="1"/>
    </row>
    <row r="14" spans="1:25" x14ac:dyDescent="0.3">
      <c r="A14" s="4">
        <v>9</v>
      </c>
      <c r="B14" s="5">
        <v>16411</v>
      </c>
      <c r="C14" s="5">
        <v>0</v>
      </c>
      <c r="D14" s="5">
        <v>1449</v>
      </c>
      <c r="E14" s="5">
        <v>155</v>
      </c>
      <c r="F14" s="5">
        <v>187</v>
      </c>
      <c r="G14" s="5">
        <v>301</v>
      </c>
      <c r="H14" s="25">
        <v>18503</v>
      </c>
      <c r="I14" s="5">
        <v>0</v>
      </c>
      <c r="J14" s="7"/>
      <c r="K14" s="4">
        <v>9</v>
      </c>
      <c r="L14" s="5">
        <v>10</v>
      </c>
      <c r="M14" s="5">
        <v>6</v>
      </c>
      <c r="N14" s="5">
        <v>6</v>
      </c>
      <c r="O14" s="5">
        <v>22</v>
      </c>
      <c r="P14" s="15"/>
      <c r="Q14" s="15"/>
      <c r="R14" s="15"/>
    </row>
    <row r="15" spans="1:25" x14ac:dyDescent="0.3">
      <c r="A15" s="4">
        <v>10</v>
      </c>
      <c r="B15" s="5">
        <v>15515</v>
      </c>
      <c r="C15" s="5">
        <v>0</v>
      </c>
      <c r="D15" s="5">
        <v>1024</v>
      </c>
      <c r="E15" s="5">
        <v>54</v>
      </c>
      <c r="F15" s="5">
        <v>61</v>
      </c>
      <c r="G15" s="5">
        <v>104</v>
      </c>
      <c r="H15" s="25">
        <v>16758</v>
      </c>
      <c r="I15" s="5">
        <v>0</v>
      </c>
      <c r="J15" s="7"/>
      <c r="K15" s="4">
        <v>10</v>
      </c>
      <c r="L15" s="5">
        <v>8</v>
      </c>
      <c r="M15" s="5">
        <v>3</v>
      </c>
      <c r="N15" s="5">
        <v>1</v>
      </c>
      <c r="O15" s="5">
        <v>12</v>
      </c>
      <c r="P15" s="1"/>
      <c r="Q15" s="1"/>
      <c r="R15" s="1"/>
    </row>
    <row r="16" spans="1:25" x14ac:dyDescent="0.3">
      <c r="A16" s="4">
        <v>11</v>
      </c>
      <c r="B16" s="5">
        <v>9006</v>
      </c>
      <c r="C16" s="5">
        <v>0</v>
      </c>
      <c r="D16" s="5">
        <v>1746</v>
      </c>
      <c r="E16" s="5">
        <v>268</v>
      </c>
      <c r="F16" s="5">
        <v>220</v>
      </c>
      <c r="G16" s="5">
        <v>450</v>
      </c>
      <c r="H16" s="25">
        <v>11690</v>
      </c>
      <c r="I16" s="5">
        <v>0</v>
      </c>
      <c r="J16" s="7"/>
      <c r="K16" s="4">
        <v>11</v>
      </c>
      <c r="L16" s="5">
        <v>4</v>
      </c>
      <c r="M16" s="5">
        <v>11</v>
      </c>
      <c r="N16" s="5">
        <v>3</v>
      </c>
      <c r="O16" s="5">
        <v>18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4">
        <v>12</v>
      </c>
      <c r="B17" s="5">
        <v>6980</v>
      </c>
      <c r="C17" s="5">
        <v>0</v>
      </c>
      <c r="D17" s="5">
        <v>1768</v>
      </c>
      <c r="E17" s="5">
        <v>206</v>
      </c>
      <c r="F17" s="5">
        <v>298</v>
      </c>
      <c r="G17" s="5">
        <v>455</v>
      </c>
      <c r="H17" s="25">
        <v>9707</v>
      </c>
      <c r="I17" s="5">
        <v>0</v>
      </c>
      <c r="J17" s="7"/>
      <c r="K17" s="4">
        <v>12</v>
      </c>
      <c r="L17" s="5">
        <v>6</v>
      </c>
      <c r="M17" s="5">
        <v>17</v>
      </c>
      <c r="N17" s="5">
        <v>5</v>
      </c>
      <c r="O17" s="5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4">
        <v>13</v>
      </c>
      <c r="B18" s="5">
        <v>6266</v>
      </c>
      <c r="C18" s="5">
        <v>0</v>
      </c>
      <c r="D18" s="5">
        <v>1856</v>
      </c>
      <c r="E18" s="5">
        <v>271</v>
      </c>
      <c r="F18" s="5">
        <v>276</v>
      </c>
      <c r="G18" s="5">
        <v>483</v>
      </c>
      <c r="H18" s="25">
        <v>9152</v>
      </c>
      <c r="I18" s="5">
        <v>0</v>
      </c>
      <c r="J18" s="7"/>
      <c r="K18" s="4">
        <v>13</v>
      </c>
      <c r="L18" s="5">
        <v>5</v>
      </c>
      <c r="M18" s="5">
        <v>10</v>
      </c>
      <c r="N18" s="5">
        <v>2</v>
      </c>
      <c r="O18" s="5">
        <v>17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4">
        <v>14</v>
      </c>
      <c r="B19" s="5">
        <v>7225</v>
      </c>
      <c r="C19" s="5">
        <v>0</v>
      </c>
      <c r="D19" s="5">
        <v>1757</v>
      </c>
      <c r="E19" s="5">
        <v>259</v>
      </c>
      <c r="F19" s="5">
        <v>291</v>
      </c>
      <c r="G19" s="5">
        <v>512</v>
      </c>
      <c r="H19" s="25">
        <v>10044</v>
      </c>
      <c r="I19" s="5">
        <v>0</v>
      </c>
      <c r="J19" s="7"/>
      <c r="K19" s="4">
        <v>14</v>
      </c>
      <c r="L19" s="5">
        <v>12</v>
      </c>
      <c r="M19" s="5">
        <v>10</v>
      </c>
      <c r="N19" s="5">
        <v>8</v>
      </c>
      <c r="O19" s="5">
        <v>30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">
      <c r="A20" s="4">
        <v>15</v>
      </c>
      <c r="B20" s="5">
        <v>8816</v>
      </c>
      <c r="C20" s="5">
        <v>0</v>
      </c>
      <c r="D20" s="5">
        <v>1508</v>
      </c>
      <c r="E20" s="5">
        <v>201</v>
      </c>
      <c r="F20" s="5">
        <v>282</v>
      </c>
      <c r="G20" s="5">
        <v>404</v>
      </c>
      <c r="H20" s="25">
        <v>11211</v>
      </c>
      <c r="I20" s="5">
        <v>0</v>
      </c>
      <c r="J20" s="7"/>
      <c r="K20" s="4">
        <v>15</v>
      </c>
      <c r="L20" s="5">
        <v>3</v>
      </c>
      <c r="M20" s="5">
        <v>9</v>
      </c>
      <c r="N20" s="5">
        <v>4</v>
      </c>
      <c r="O20" s="5">
        <v>16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">
      <c r="A21" s="4">
        <v>16</v>
      </c>
      <c r="B21" s="5">
        <v>10322</v>
      </c>
      <c r="C21" s="5">
        <v>0</v>
      </c>
      <c r="D21" s="5">
        <v>1277</v>
      </c>
      <c r="E21" s="5">
        <v>160</v>
      </c>
      <c r="F21" s="5">
        <v>180</v>
      </c>
      <c r="G21" s="5">
        <v>312</v>
      </c>
      <c r="H21" s="25">
        <v>12251</v>
      </c>
      <c r="I21" s="5">
        <v>0</v>
      </c>
      <c r="J21" s="7"/>
      <c r="K21" s="4">
        <v>16</v>
      </c>
      <c r="L21" s="5">
        <v>4</v>
      </c>
      <c r="M21" s="5">
        <v>13</v>
      </c>
      <c r="N21" s="5">
        <v>6</v>
      </c>
      <c r="O21" s="5">
        <v>23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">
      <c r="A22" s="4">
        <v>17</v>
      </c>
      <c r="B22" s="5">
        <v>5599</v>
      </c>
      <c r="C22" s="5">
        <v>0</v>
      </c>
      <c r="D22" s="5">
        <v>1425</v>
      </c>
      <c r="E22" s="5">
        <v>283</v>
      </c>
      <c r="F22" s="5">
        <v>250</v>
      </c>
      <c r="G22" s="5">
        <v>434</v>
      </c>
      <c r="H22" s="25">
        <v>7991</v>
      </c>
      <c r="I22" s="5">
        <v>0</v>
      </c>
      <c r="J22" s="7"/>
      <c r="K22" s="4">
        <v>17</v>
      </c>
      <c r="L22" s="5">
        <v>1</v>
      </c>
      <c r="M22" s="5">
        <v>10</v>
      </c>
      <c r="N22" s="5">
        <v>3</v>
      </c>
      <c r="O22" s="5">
        <v>14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x14ac:dyDescent="0.3">
      <c r="A23" s="4">
        <v>18</v>
      </c>
      <c r="B23" s="5">
        <v>4834</v>
      </c>
      <c r="C23" s="5">
        <v>0</v>
      </c>
      <c r="D23" s="5">
        <v>1727</v>
      </c>
      <c r="E23" s="5">
        <v>287</v>
      </c>
      <c r="F23" s="5">
        <v>272</v>
      </c>
      <c r="G23" s="5">
        <v>454</v>
      </c>
      <c r="H23" s="25">
        <v>7574</v>
      </c>
      <c r="I23" s="5">
        <v>0</v>
      </c>
      <c r="J23" s="7"/>
      <c r="K23" s="4">
        <v>18</v>
      </c>
      <c r="L23" s="5">
        <v>6</v>
      </c>
      <c r="M23" s="5">
        <v>10</v>
      </c>
      <c r="N23" s="5">
        <v>4</v>
      </c>
      <c r="O23" s="5">
        <v>20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">
      <c r="A24" s="4">
        <v>19</v>
      </c>
      <c r="B24" s="5">
        <v>4624</v>
      </c>
      <c r="C24" s="5">
        <v>0</v>
      </c>
      <c r="D24" s="5">
        <v>1716</v>
      </c>
      <c r="E24" s="5">
        <v>282</v>
      </c>
      <c r="F24" s="5">
        <v>311</v>
      </c>
      <c r="G24" s="5">
        <v>482</v>
      </c>
      <c r="H24" s="25">
        <v>7415</v>
      </c>
      <c r="I24" s="5">
        <v>0</v>
      </c>
      <c r="J24" s="7"/>
      <c r="K24" s="4">
        <v>19</v>
      </c>
      <c r="L24" s="5">
        <v>6</v>
      </c>
      <c r="M24" s="5">
        <v>35</v>
      </c>
      <c r="N24" s="5">
        <v>4</v>
      </c>
      <c r="O24" s="5">
        <v>45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">
      <c r="A25" s="4">
        <v>20</v>
      </c>
      <c r="B25" s="5">
        <v>4805</v>
      </c>
      <c r="C25" s="5">
        <v>0</v>
      </c>
      <c r="D25" s="5">
        <v>1791</v>
      </c>
      <c r="E25" s="5">
        <v>277</v>
      </c>
      <c r="F25" s="5">
        <v>317</v>
      </c>
      <c r="G25" s="5">
        <v>501</v>
      </c>
      <c r="H25" s="25">
        <v>7691</v>
      </c>
      <c r="I25" s="5">
        <v>0</v>
      </c>
      <c r="J25" s="7"/>
      <c r="K25" s="4">
        <v>20</v>
      </c>
      <c r="L25" s="5">
        <v>2</v>
      </c>
      <c r="M25" s="5">
        <v>22</v>
      </c>
      <c r="N25" s="5">
        <v>6</v>
      </c>
      <c r="O25" s="5">
        <v>30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4">
        <v>21</v>
      </c>
      <c r="B26" s="5">
        <v>6104</v>
      </c>
      <c r="C26" s="5">
        <v>0</v>
      </c>
      <c r="D26" s="5">
        <v>1589</v>
      </c>
      <c r="E26" s="5">
        <v>260</v>
      </c>
      <c r="F26" s="5">
        <v>277</v>
      </c>
      <c r="G26" s="5">
        <v>445</v>
      </c>
      <c r="H26" s="25">
        <v>8675</v>
      </c>
      <c r="I26" s="5">
        <v>0</v>
      </c>
      <c r="J26" s="7"/>
      <c r="K26" s="4">
        <v>21</v>
      </c>
      <c r="L26" s="5">
        <v>4</v>
      </c>
      <c r="M26" s="5">
        <v>16</v>
      </c>
      <c r="N26" s="5">
        <v>7</v>
      </c>
      <c r="O26" s="5">
        <v>27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4">
        <v>22</v>
      </c>
      <c r="B27" s="5">
        <v>7550</v>
      </c>
      <c r="C27" s="5">
        <v>0</v>
      </c>
      <c r="D27" s="5">
        <v>1569</v>
      </c>
      <c r="E27" s="5">
        <v>234</v>
      </c>
      <c r="F27" s="5">
        <v>293</v>
      </c>
      <c r="G27" s="5">
        <v>393</v>
      </c>
      <c r="H27" s="25">
        <v>10039</v>
      </c>
      <c r="I27" s="5">
        <v>0</v>
      </c>
      <c r="J27" s="7"/>
      <c r="K27" s="4">
        <v>22</v>
      </c>
      <c r="L27" s="5">
        <v>7</v>
      </c>
      <c r="M27" s="5">
        <v>10</v>
      </c>
      <c r="N27" s="5">
        <v>7</v>
      </c>
      <c r="O27" s="5">
        <v>24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">
      <c r="A28" s="4">
        <v>23</v>
      </c>
      <c r="B28" s="5">
        <v>9555</v>
      </c>
      <c r="C28" s="5">
        <v>0</v>
      </c>
      <c r="D28" s="5">
        <v>1224</v>
      </c>
      <c r="E28" s="5">
        <v>169</v>
      </c>
      <c r="F28" s="5">
        <v>203</v>
      </c>
      <c r="G28" s="5">
        <v>346</v>
      </c>
      <c r="H28" s="25">
        <v>11497</v>
      </c>
      <c r="I28" s="5">
        <v>0</v>
      </c>
      <c r="J28" s="7"/>
      <c r="K28" s="4">
        <v>23</v>
      </c>
      <c r="L28" s="5">
        <v>4</v>
      </c>
      <c r="M28" s="5">
        <v>9</v>
      </c>
      <c r="N28" s="5">
        <v>5</v>
      </c>
      <c r="O28" s="5">
        <v>18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4">
        <v>24</v>
      </c>
      <c r="B29" s="5">
        <v>4805</v>
      </c>
      <c r="C29" s="5">
        <v>0</v>
      </c>
      <c r="D29" s="5">
        <v>1331</v>
      </c>
      <c r="E29" s="5">
        <v>245</v>
      </c>
      <c r="F29" s="5">
        <v>229</v>
      </c>
      <c r="G29" s="5">
        <v>427</v>
      </c>
      <c r="H29" s="25">
        <v>7037</v>
      </c>
      <c r="I29" s="5">
        <v>0</v>
      </c>
      <c r="J29" s="7"/>
      <c r="K29" s="4">
        <v>24</v>
      </c>
      <c r="L29" s="5">
        <v>2</v>
      </c>
      <c r="M29" s="5">
        <v>15</v>
      </c>
      <c r="N29" s="5">
        <v>5</v>
      </c>
      <c r="O29" s="5">
        <v>22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4">
        <v>25</v>
      </c>
      <c r="B30" s="5">
        <v>4199</v>
      </c>
      <c r="C30" s="5">
        <v>0</v>
      </c>
      <c r="D30" s="5">
        <v>1625</v>
      </c>
      <c r="E30" s="5">
        <v>254</v>
      </c>
      <c r="F30" s="5">
        <v>308</v>
      </c>
      <c r="G30" s="5">
        <v>444</v>
      </c>
      <c r="H30" s="25">
        <v>6830</v>
      </c>
      <c r="I30" s="5">
        <v>0</v>
      </c>
      <c r="J30" s="7"/>
      <c r="K30" s="4">
        <v>25</v>
      </c>
      <c r="L30" s="5">
        <v>3</v>
      </c>
      <c r="M30" s="5">
        <v>38</v>
      </c>
      <c r="N30" s="5">
        <v>6</v>
      </c>
      <c r="O30" s="5">
        <v>47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4">
        <v>26</v>
      </c>
      <c r="B31" s="5">
        <v>4365</v>
      </c>
      <c r="C31" s="5">
        <v>0</v>
      </c>
      <c r="D31" s="5">
        <v>1734</v>
      </c>
      <c r="E31" s="5">
        <v>270</v>
      </c>
      <c r="F31" s="5">
        <v>323</v>
      </c>
      <c r="G31" s="5">
        <v>495</v>
      </c>
      <c r="H31" s="25">
        <v>7187</v>
      </c>
      <c r="I31" s="5">
        <v>0</v>
      </c>
      <c r="J31" s="7"/>
      <c r="K31" s="4">
        <v>26</v>
      </c>
      <c r="L31" s="5">
        <v>4</v>
      </c>
      <c r="M31" s="5">
        <v>21</v>
      </c>
      <c r="N31" s="5">
        <v>7</v>
      </c>
      <c r="O31" s="5">
        <v>32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4">
        <v>27</v>
      </c>
      <c r="B32" s="5">
        <v>4610</v>
      </c>
      <c r="C32" s="5">
        <v>0</v>
      </c>
      <c r="D32" s="5">
        <v>1786</v>
      </c>
      <c r="E32" s="5">
        <v>298</v>
      </c>
      <c r="F32" s="5">
        <v>287</v>
      </c>
      <c r="G32" s="5">
        <v>461</v>
      </c>
      <c r="H32" s="25">
        <v>7442</v>
      </c>
      <c r="I32" s="5">
        <v>0</v>
      </c>
      <c r="J32" s="7"/>
      <c r="K32" s="4">
        <v>27</v>
      </c>
      <c r="L32" s="5">
        <v>5</v>
      </c>
      <c r="M32" s="5">
        <v>11</v>
      </c>
      <c r="N32" s="5">
        <v>3</v>
      </c>
      <c r="O32" s="5">
        <v>19</v>
      </c>
    </row>
    <row r="33" spans="1:15" x14ac:dyDescent="0.3">
      <c r="A33" s="4">
        <v>28</v>
      </c>
      <c r="B33" s="5">
        <v>5815</v>
      </c>
      <c r="C33" s="5">
        <v>0</v>
      </c>
      <c r="D33" s="5">
        <v>1597</v>
      </c>
      <c r="E33" s="5">
        <v>217</v>
      </c>
      <c r="F33" s="5">
        <v>292</v>
      </c>
      <c r="G33" s="5">
        <v>402</v>
      </c>
      <c r="H33" s="25">
        <v>8323</v>
      </c>
      <c r="I33" s="5">
        <v>0</v>
      </c>
      <c r="J33" s="7"/>
      <c r="K33" s="4">
        <v>28</v>
      </c>
      <c r="L33" s="5">
        <v>5</v>
      </c>
      <c r="M33" s="5">
        <v>30</v>
      </c>
      <c r="N33" s="5">
        <v>4</v>
      </c>
      <c r="O33" s="5">
        <v>39</v>
      </c>
    </row>
    <row r="34" spans="1:15" x14ac:dyDescent="0.3">
      <c r="A34" s="4">
        <v>29</v>
      </c>
      <c r="B34" s="5">
        <v>7224</v>
      </c>
      <c r="C34" s="5">
        <v>0</v>
      </c>
      <c r="D34" s="5">
        <v>1482</v>
      </c>
      <c r="E34" s="5">
        <v>211</v>
      </c>
      <c r="F34" s="5">
        <v>297</v>
      </c>
      <c r="G34" s="5">
        <v>375</v>
      </c>
      <c r="H34" s="25">
        <v>9589</v>
      </c>
      <c r="I34" s="5">
        <v>0</v>
      </c>
      <c r="J34" s="7"/>
      <c r="K34" s="4">
        <v>29</v>
      </c>
      <c r="L34" s="5">
        <v>1</v>
      </c>
      <c r="M34" s="5">
        <v>20</v>
      </c>
      <c r="N34" s="5">
        <v>5</v>
      </c>
      <c r="O34" s="5">
        <v>26</v>
      </c>
    </row>
    <row r="35" spans="1:15" x14ac:dyDescent="0.3">
      <c r="A35" s="4">
        <v>30</v>
      </c>
      <c r="B35" s="5">
        <v>9355</v>
      </c>
      <c r="C35" s="5">
        <v>0</v>
      </c>
      <c r="D35" s="5">
        <v>1177</v>
      </c>
      <c r="E35" s="5">
        <v>161</v>
      </c>
      <c r="F35" s="5">
        <v>172</v>
      </c>
      <c r="G35" s="5">
        <v>305</v>
      </c>
      <c r="H35" s="25">
        <v>11170</v>
      </c>
      <c r="I35" s="5">
        <v>0</v>
      </c>
      <c r="J35" s="7"/>
      <c r="K35" s="4">
        <v>30</v>
      </c>
      <c r="L35" s="5">
        <v>6</v>
      </c>
      <c r="M35" s="5">
        <v>6</v>
      </c>
      <c r="N35" s="5">
        <v>2</v>
      </c>
      <c r="O35" s="5">
        <v>14</v>
      </c>
    </row>
    <row r="36" spans="1:15" x14ac:dyDescent="0.3">
      <c r="A36" s="4">
        <v>31</v>
      </c>
      <c r="B36" s="5">
        <v>4443</v>
      </c>
      <c r="C36" s="5">
        <v>0</v>
      </c>
      <c r="D36" s="5">
        <v>1292</v>
      </c>
      <c r="E36" s="5">
        <v>226</v>
      </c>
      <c r="F36" s="5">
        <v>188</v>
      </c>
      <c r="G36" s="5">
        <v>410</v>
      </c>
      <c r="H36" s="25">
        <v>6559</v>
      </c>
      <c r="I36" s="5">
        <v>0</v>
      </c>
      <c r="J36" s="7"/>
      <c r="K36" s="4">
        <v>31</v>
      </c>
      <c r="L36" s="24">
        <v>1</v>
      </c>
      <c r="M36" s="24">
        <v>14</v>
      </c>
      <c r="N36" s="24">
        <v>6</v>
      </c>
      <c r="O36" s="5">
        <v>21</v>
      </c>
    </row>
    <row r="37" spans="1:15" x14ac:dyDescent="0.3">
      <c r="A37" s="10" t="s">
        <v>19</v>
      </c>
      <c r="B37" s="11">
        <v>274370</v>
      </c>
      <c r="C37" s="11">
        <v>0</v>
      </c>
      <c r="D37" s="11">
        <v>45426</v>
      </c>
      <c r="E37" s="11">
        <v>6449</v>
      </c>
      <c r="F37" s="11">
        <v>7319</v>
      </c>
      <c r="G37" s="11">
        <v>11678</v>
      </c>
      <c r="H37" s="26">
        <v>345242</v>
      </c>
      <c r="I37" s="11">
        <v>0</v>
      </c>
      <c r="J37" s="11"/>
      <c r="K37" s="11"/>
      <c r="L37" s="11">
        <v>148</v>
      </c>
      <c r="M37" s="11">
        <v>427</v>
      </c>
      <c r="N37" s="11">
        <v>131</v>
      </c>
      <c r="O37" s="11">
        <v>706</v>
      </c>
    </row>
    <row r="38" spans="1:15" x14ac:dyDescent="0.3">
      <c r="A38" s="8" t="s">
        <v>20</v>
      </c>
      <c r="B38" s="13"/>
      <c r="C38" s="13"/>
      <c r="D38" s="13"/>
      <c r="E38" s="13"/>
      <c r="F38" s="13"/>
      <c r="G38" s="13"/>
      <c r="H38" s="27" t="s">
        <v>21</v>
      </c>
      <c r="I38" s="1"/>
      <c r="J38" s="1"/>
      <c r="K38" s="1"/>
      <c r="L38" s="16"/>
      <c r="M38" s="1"/>
      <c r="N38" s="1"/>
      <c r="O38" s="1"/>
    </row>
    <row r="39" spans="1:15" x14ac:dyDescent="0.3">
      <c r="A39" s="20"/>
      <c r="B39" s="21"/>
      <c r="C39" s="21"/>
      <c r="D39" s="21"/>
      <c r="E39" s="21"/>
      <c r="F39" s="21"/>
      <c r="G39" s="21"/>
      <c r="H39" s="28"/>
      <c r="I39" s="21"/>
      <c r="J39" s="16"/>
      <c r="K39" s="23"/>
      <c r="L39" s="22"/>
      <c r="M39" s="1"/>
      <c r="N39" s="1"/>
      <c r="O39" s="1"/>
    </row>
    <row r="40" spans="1:15" x14ac:dyDescent="0.3">
      <c r="A40" s="12"/>
      <c r="B40" s="1"/>
      <c r="C40" s="1"/>
      <c r="D40" s="1"/>
      <c r="E40" s="1"/>
      <c r="F40" s="1"/>
      <c r="G40" s="1"/>
      <c r="H40" s="29"/>
      <c r="I40" s="1"/>
      <c r="J40" s="1"/>
      <c r="K40" s="23"/>
      <c r="L40" s="22"/>
      <c r="M40" s="1"/>
      <c r="N40" s="1"/>
      <c r="O40" s="1"/>
    </row>
    <row r="41" spans="1:15" x14ac:dyDescent="0.3">
      <c r="A41" s="1"/>
      <c r="B41" s="1"/>
      <c r="C41" s="1"/>
      <c r="D41" s="1"/>
      <c r="E41" s="1"/>
      <c r="F41" s="1"/>
      <c r="G41" s="1"/>
      <c r="H41" s="2"/>
      <c r="I41" s="1"/>
      <c r="J41" s="1"/>
      <c r="K41" s="23"/>
      <c r="L41" s="22"/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1"/>
      <c r="H42" s="2"/>
      <c r="I42" s="12"/>
      <c r="J42" s="12"/>
      <c r="K42" s="1"/>
      <c r="L42" s="1"/>
      <c r="M42" s="1"/>
      <c r="N42" s="1"/>
      <c r="O42" s="1"/>
    </row>
    <row r="44" spans="1:15" x14ac:dyDescent="0.3">
      <c r="A44" s="19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</row>
    <row r="45" spans="1:15" x14ac:dyDescent="0.3">
      <c r="A45" s="19"/>
      <c r="B45" s="12"/>
      <c r="C45" s="12"/>
      <c r="D45" s="12"/>
      <c r="E45" s="12"/>
      <c r="F45" s="12"/>
      <c r="G45" s="12"/>
      <c r="H45" s="29"/>
      <c r="I45" s="12"/>
      <c r="J45" s="12"/>
      <c r="K45" s="17"/>
      <c r="L45" s="12"/>
      <c r="M45" s="12"/>
      <c r="N45" s="12"/>
      <c r="O45" s="12"/>
    </row>
  </sheetData>
  <mergeCells count="12">
    <mergeCell ref="A1:O1"/>
    <mergeCell ref="A2:O2"/>
    <mergeCell ref="A3:O3"/>
    <mergeCell ref="O4:O5"/>
    <mergeCell ref="L4:L5"/>
    <mergeCell ref="M4:M5"/>
    <mergeCell ref="N4:N5"/>
    <mergeCell ref="B4:C4"/>
    <mergeCell ref="H4:H5"/>
    <mergeCell ref="K4:K5"/>
    <mergeCell ref="I4:I5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C269-EEDB-4DC0-9396-CA90A1359340}">
  <dimension ref="A1:Z46"/>
  <sheetViews>
    <sheetView workbookViewId="0">
      <selection activeCell="D8" sqref="D8:D9"/>
    </sheetView>
  </sheetViews>
  <sheetFormatPr baseColWidth="10" defaultRowHeight="14.4" x14ac:dyDescent="0.3"/>
  <cols>
    <col min="16" max="16" width="0" hidden="1" customWidth="1"/>
  </cols>
  <sheetData>
    <row r="1" spans="1:26" s="58" customFormat="1" ht="15.6" x14ac:dyDescent="0.3">
      <c r="A1" s="155" t="s">
        <v>35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26" s="58" customFormat="1" ht="15.6" x14ac:dyDescent="0.3">
      <c r="A2" s="155" t="s">
        <v>36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26" ht="15.6" x14ac:dyDescent="0.3">
      <c r="A3" s="164" t="s">
        <v>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71"/>
      <c r="Q3" s="71"/>
      <c r="R3" s="71"/>
      <c r="S3" s="71"/>
    </row>
    <row r="4" spans="1:26" ht="82.8" x14ac:dyDescent="0.3">
      <c r="A4" s="162" t="s">
        <v>1</v>
      </c>
      <c r="B4" s="165" t="s">
        <v>2</v>
      </c>
      <c r="C4" s="165"/>
      <c r="D4" s="43" t="s">
        <v>3</v>
      </c>
      <c r="E4" s="43" t="s">
        <v>4</v>
      </c>
      <c r="F4" s="43" t="s">
        <v>5</v>
      </c>
      <c r="G4" s="43" t="s">
        <v>6</v>
      </c>
      <c r="H4" s="165" t="s">
        <v>7</v>
      </c>
      <c r="I4" s="165" t="s">
        <v>8</v>
      </c>
      <c r="J4" s="61"/>
      <c r="K4" s="167" t="s">
        <v>1</v>
      </c>
      <c r="L4" s="165" t="s">
        <v>9</v>
      </c>
      <c r="M4" s="165" t="s">
        <v>10</v>
      </c>
      <c r="N4" s="165" t="s">
        <v>11</v>
      </c>
      <c r="O4" s="165" t="s">
        <v>12</v>
      </c>
      <c r="P4" s="60"/>
      <c r="Q4" s="60"/>
      <c r="R4" s="60"/>
      <c r="S4" s="60"/>
    </row>
    <row r="5" spans="1:26" x14ac:dyDescent="0.3">
      <c r="A5" s="163"/>
      <c r="B5" s="42" t="s">
        <v>13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165"/>
      <c r="I5" s="165"/>
      <c r="J5" s="61"/>
      <c r="K5" s="167"/>
      <c r="L5" s="165"/>
      <c r="M5" s="165"/>
      <c r="N5" s="165"/>
      <c r="O5" s="165"/>
      <c r="P5" s="60"/>
      <c r="Q5" s="60"/>
      <c r="R5" s="60"/>
      <c r="S5" s="60"/>
    </row>
    <row r="6" spans="1:26" ht="15" thickBot="1" x14ac:dyDescent="0.35">
      <c r="A6" s="62">
        <v>1</v>
      </c>
      <c r="B6" s="63">
        <v>3767</v>
      </c>
      <c r="C6" s="63">
        <v>0</v>
      </c>
      <c r="D6" s="63">
        <v>1598</v>
      </c>
      <c r="E6" s="63">
        <v>255</v>
      </c>
      <c r="F6" s="63">
        <v>267</v>
      </c>
      <c r="G6" s="63">
        <v>427</v>
      </c>
      <c r="H6" s="63">
        <v>6314</v>
      </c>
      <c r="I6" s="63">
        <v>0</v>
      </c>
      <c r="J6" s="64"/>
      <c r="K6" s="62">
        <v>1</v>
      </c>
      <c r="L6" s="63">
        <v>3</v>
      </c>
      <c r="M6" s="63">
        <v>18</v>
      </c>
      <c r="N6" s="63">
        <v>2</v>
      </c>
      <c r="O6" s="63">
        <v>23</v>
      </c>
      <c r="P6" s="75">
        <v>6135</v>
      </c>
      <c r="Q6" s="60"/>
      <c r="R6" s="60"/>
      <c r="S6" s="60"/>
    </row>
    <row r="7" spans="1:26" ht="15.6" thickTop="1" thickBot="1" x14ac:dyDescent="0.35">
      <c r="A7" s="62">
        <v>2</v>
      </c>
      <c r="B7" s="63">
        <v>3855</v>
      </c>
      <c r="C7" s="63">
        <v>0</v>
      </c>
      <c r="D7" s="63">
        <v>1754</v>
      </c>
      <c r="E7" s="63">
        <v>267</v>
      </c>
      <c r="F7" s="63">
        <v>292</v>
      </c>
      <c r="G7" s="63">
        <v>423</v>
      </c>
      <c r="H7" s="63">
        <v>6591</v>
      </c>
      <c r="I7" s="63">
        <v>0</v>
      </c>
      <c r="J7" s="64"/>
      <c r="K7" s="62">
        <v>2</v>
      </c>
      <c r="L7" s="63">
        <v>2</v>
      </c>
      <c r="M7" s="63">
        <v>13</v>
      </c>
      <c r="N7" s="63">
        <v>7</v>
      </c>
      <c r="O7" s="63">
        <v>22</v>
      </c>
      <c r="P7" s="75">
        <v>6135</v>
      </c>
      <c r="Q7" s="60"/>
      <c r="R7" s="60"/>
      <c r="S7" s="60"/>
    </row>
    <row r="8" spans="1:26" ht="15.6" thickTop="1" thickBot="1" x14ac:dyDescent="0.35">
      <c r="A8" s="62">
        <v>3</v>
      </c>
      <c r="B8" s="63">
        <v>4025</v>
      </c>
      <c r="C8" s="63">
        <v>0</v>
      </c>
      <c r="D8" s="63">
        <v>1717</v>
      </c>
      <c r="E8" s="63">
        <v>284</v>
      </c>
      <c r="F8" s="63">
        <v>283</v>
      </c>
      <c r="G8" s="63">
        <v>491</v>
      </c>
      <c r="H8" s="63">
        <v>6800</v>
      </c>
      <c r="I8" s="63">
        <v>0</v>
      </c>
      <c r="J8" s="64"/>
      <c r="K8" s="62">
        <v>3</v>
      </c>
      <c r="L8" s="63">
        <v>6</v>
      </c>
      <c r="M8" s="63">
        <v>25</v>
      </c>
      <c r="N8" s="63">
        <v>6</v>
      </c>
      <c r="O8" s="63">
        <v>37</v>
      </c>
      <c r="P8" s="75">
        <v>6135</v>
      </c>
      <c r="Q8" s="60"/>
      <c r="R8" s="60"/>
      <c r="S8" s="69"/>
    </row>
    <row r="9" spans="1:26" ht="15.6" thickTop="1" thickBot="1" x14ac:dyDescent="0.35">
      <c r="A9" s="62">
        <v>4</v>
      </c>
      <c r="B9" s="63">
        <v>5476</v>
      </c>
      <c r="C9" s="63">
        <v>0</v>
      </c>
      <c r="D9" s="63">
        <v>1504</v>
      </c>
      <c r="E9" s="63">
        <v>235</v>
      </c>
      <c r="F9" s="63">
        <v>260</v>
      </c>
      <c r="G9" s="63">
        <v>393</v>
      </c>
      <c r="H9" s="63">
        <v>7868</v>
      </c>
      <c r="I9" s="63">
        <v>0</v>
      </c>
      <c r="J9" s="64"/>
      <c r="K9" s="62">
        <v>4</v>
      </c>
      <c r="L9" s="63">
        <v>4</v>
      </c>
      <c r="M9" s="63">
        <v>14</v>
      </c>
      <c r="N9" s="63">
        <v>10</v>
      </c>
      <c r="O9" s="63">
        <v>28</v>
      </c>
      <c r="P9" s="75">
        <v>6135</v>
      </c>
      <c r="Q9" s="60"/>
      <c r="R9" s="60"/>
      <c r="S9" s="60"/>
    </row>
    <row r="10" spans="1:26" ht="15.6" thickTop="1" thickBot="1" x14ac:dyDescent="0.35">
      <c r="A10" s="62">
        <v>5</v>
      </c>
      <c r="B10" s="63">
        <v>6659</v>
      </c>
      <c r="C10" s="63">
        <v>0</v>
      </c>
      <c r="D10" s="63">
        <v>1445</v>
      </c>
      <c r="E10" s="63">
        <v>236</v>
      </c>
      <c r="F10" s="63">
        <v>273</v>
      </c>
      <c r="G10" s="63">
        <v>315</v>
      </c>
      <c r="H10" s="63">
        <v>8928</v>
      </c>
      <c r="I10" s="63">
        <v>0</v>
      </c>
      <c r="J10" s="64"/>
      <c r="K10" s="62">
        <v>5</v>
      </c>
      <c r="L10" s="63">
        <v>8</v>
      </c>
      <c r="M10" s="63">
        <v>17</v>
      </c>
      <c r="N10" s="63">
        <v>2</v>
      </c>
      <c r="O10" s="63">
        <v>27</v>
      </c>
      <c r="P10" s="75">
        <v>6135</v>
      </c>
      <c r="Q10" s="60"/>
      <c r="R10" s="60"/>
      <c r="S10" s="60"/>
    </row>
    <row r="11" spans="1:26" ht="15.6" thickTop="1" thickBot="1" x14ac:dyDescent="0.35">
      <c r="A11" s="62">
        <v>6</v>
      </c>
      <c r="B11" s="63">
        <v>8397</v>
      </c>
      <c r="C11" s="63">
        <v>0</v>
      </c>
      <c r="D11" s="63">
        <v>1128</v>
      </c>
      <c r="E11" s="63">
        <v>148</v>
      </c>
      <c r="F11" s="63">
        <v>165</v>
      </c>
      <c r="G11" s="63">
        <v>296</v>
      </c>
      <c r="H11" s="63">
        <v>10134</v>
      </c>
      <c r="I11" s="63">
        <v>0</v>
      </c>
      <c r="J11" s="64"/>
      <c r="K11" s="62">
        <v>6</v>
      </c>
      <c r="L11" s="63">
        <v>3</v>
      </c>
      <c r="M11" s="63">
        <v>16</v>
      </c>
      <c r="N11" s="63">
        <v>5</v>
      </c>
      <c r="O11" s="63">
        <v>24</v>
      </c>
      <c r="P11" s="75">
        <v>6135</v>
      </c>
      <c r="Q11" s="60"/>
      <c r="R11" s="60"/>
      <c r="S11" s="60"/>
    </row>
    <row r="12" spans="1:26" ht="15.6" thickTop="1" thickBot="1" x14ac:dyDescent="0.35">
      <c r="A12" s="62">
        <v>7</v>
      </c>
      <c r="B12" s="63">
        <v>4094</v>
      </c>
      <c r="C12" s="63">
        <v>0</v>
      </c>
      <c r="D12" s="63">
        <v>1272</v>
      </c>
      <c r="E12" s="63">
        <v>241</v>
      </c>
      <c r="F12" s="63">
        <v>195</v>
      </c>
      <c r="G12" s="63">
        <v>416</v>
      </c>
      <c r="H12" s="63">
        <v>6218</v>
      </c>
      <c r="I12" s="63">
        <v>0</v>
      </c>
      <c r="J12" s="65"/>
      <c r="K12" s="62">
        <v>7</v>
      </c>
      <c r="L12" s="63">
        <v>2</v>
      </c>
      <c r="M12" s="63">
        <v>11</v>
      </c>
      <c r="N12" s="63">
        <v>2</v>
      </c>
      <c r="O12" s="63">
        <v>15</v>
      </c>
      <c r="P12" s="75">
        <v>6135</v>
      </c>
      <c r="Q12" s="60"/>
      <c r="R12" s="60"/>
      <c r="S12" s="60"/>
    </row>
    <row r="13" spans="1:26" ht="15.6" thickTop="1" thickBot="1" x14ac:dyDescent="0.35">
      <c r="A13" s="62">
        <v>8</v>
      </c>
      <c r="B13" s="63">
        <v>3602</v>
      </c>
      <c r="C13" s="63">
        <v>0</v>
      </c>
      <c r="D13" s="63">
        <v>1605</v>
      </c>
      <c r="E13" s="63">
        <v>238</v>
      </c>
      <c r="F13" s="63">
        <v>280</v>
      </c>
      <c r="G13" s="63">
        <v>366</v>
      </c>
      <c r="H13" s="63">
        <v>6091</v>
      </c>
      <c r="I13" s="63">
        <v>0</v>
      </c>
      <c r="J13" s="65"/>
      <c r="K13" s="62">
        <v>8</v>
      </c>
      <c r="L13" s="63">
        <v>6</v>
      </c>
      <c r="M13" s="63">
        <v>20</v>
      </c>
      <c r="N13" s="63">
        <v>4</v>
      </c>
      <c r="O13" s="63">
        <v>30</v>
      </c>
      <c r="P13" s="75">
        <v>6135</v>
      </c>
      <c r="Q13" s="60"/>
      <c r="R13" s="60"/>
      <c r="S13" s="60"/>
    </row>
    <row r="14" spans="1:26" ht="15.6" thickTop="1" thickBot="1" x14ac:dyDescent="0.35">
      <c r="A14" s="62">
        <v>9</v>
      </c>
      <c r="B14" s="63">
        <v>3591</v>
      </c>
      <c r="C14" s="63">
        <v>0</v>
      </c>
      <c r="D14" s="63">
        <v>1612</v>
      </c>
      <c r="E14" s="63">
        <v>240</v>
      </c>
      <c r="F14" s="63">
        <v>273</v>
      </c>
      <c r="G14" s="63">
        <v>479</v>
      </c>
      <c r="H14" s="63">
        <v>6195</v>
      </c>
      <c r="I14" s="63">
        <v>0</v>
      </c>
      <c r="J14" s="65"/>
      <c r="K14" s="62">
        <v>9</v>
      </c>
      <c r="L14" s="63">
        <v>5</v>
      </c>
      <c r="M14" s="63">
        <v>13</v>
      </c>
      <c r="N14" s="63">
        <v>3</v>
      </c>
      <c r="O14" s="63">
        <v>21</v>
      </c>
      <c r="P14" s="76">
        <v>6135</v>
      </c>
      <c r="Q14" s="72"/>
      <c r="R14" s="72"/>
      <c r="S14" s="72"/>
    </row>
    <row r="15" spans="1:26" ht="15.6" thickTop="1" thickBot="1" x14ac:dyDescent="0.35">
      <c r="A15" s="62">
        <v>10</v>
      </c>
      <c r="B15" s="63">
        <v>3887</v>
      </c>
      <c r="C15" s="63">
        <v>0</v>
      </c>
      <c r="D15" s="63">
        <v>1650</v>
      </c>
      <c r="E15" s="63">
        <v>276</v>
      </c>
      <c r="F15" s="63">
        <v>271</v>
      </c>
      <c r="G15" s="63">
        <v>455</v>
      </c>
      <c r="H15" s="63">
        <v>6539</v>
      </c>
      <c r="I15" s="63">
        <v>0</v>
      </c>
      <c r="J15" s="65"/>
      <c r="K15" s="62">
        <v>10</v>
      </c>
      <c r="L15" s="63">
        <v>3</v>
      </c>
      <c r="M15" s="63">
        <v>9</v>
      </c>
      <c r="N15" s="63">
        <v>7</v>
      </c>
      <c r="O15" s="63">
        <v>19</v>
      </c>
      <c r="P15" s="75">
        <v>6135</v>
      </c>
      <c r="Q15" s="60"/>
      <c r="R15" s="60"/>
      <c r="S15" s="60"/>
    </row>
    <row r="16" spans="1:26" ht="15.6" thickTop="1" thickBot="1" x14ac:dyDescent="0.35">
      <c r="A16" s="62">
        <v>11</v>
      </c>
      <c r="B16" s="63">
        <v>5375</v>
      </c>
      <c r="C16" s="63">
        <v>0</v>
      </c>
      <c r="D16" s="63">
        <v>1523</v>
      </c>
      <c r="E16" s="63">
        <v>241</v>
      </c>
      <c r="F16" s="63">
        <v>268</v>
      </c>
      <c r="G16" s="63">
        <v>430</v>
      </c>
      <c r="H16" s="63">
        <v>7837</v>
      </c>
      <c r="I16" s="63">
        <v>0</v>
      </c>
      <c r="J16" s="65"/>
      <c r="K16" s="62">
        <v>11</v>
      </c>
      <c r="L16" s="63">
        <v>0</v>
      </c>
      <c r="M16" s="63">
        <v>8</v>
      </c>
      <c r="N16" s="63">
        <v>5</v>
      </c>
      <c r="O16" s="63">
        <v>13</v>
      </c>
      <c r="P16" s="75">
        <v>6135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6" thickTop="1" thickBot="1" x14ac:dyDescent="0.35">
      <c r="A17" s="62">
        <v>12</v>
      </c>
      <c r="B17" s="63">
        <v>6414</v>
      </c>
      <c r="C17" s="63">
        <v>0</v>
      </c>
      <c r="D17" s="63">
        <v>1492</v>
      </c>
      <c r="E17" s="63">
        <v>205</v>
      </c>
      <c r="F17" s="63">
        <v>282</v>
      </c>
      <c r="G17" s="63">
        <v>378</v>
      </c>
      <c r="H17" s="63">
        <v>8771</v>
      </c>
      <c r="I17" s="63">
        <v>0</v>
      </c>
      <c r="J17" s="65"/>
      <c r="K17" s="62">
        <v>12</v>
      </c>
      <c r="L17" s="63">
        <v>2</v>
      </c>
      <c r="M17" s="63">
        <v>9</v>
      </c>
      <c r="N17" s="63">
        <v>4</v>
      </c>
      <c r="O17" s="63">
        <v>15</v>
      </c>
      <c r="P17" s="75">
        <v>6135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6" thickTop="1" thickBot="1" x14ac:dyDescent="0.35">
      <c r="A18" s="62">
        <v>13</v>
      </c>
      <c r="B18" s="63">
        <v>8079</v>
      </c>
      <c r="C18" s="63">
        <v>0</v>
      </c>
      <c r="D18" s="63">
        <v>1090</v>
      </c>
      <c r="E18" s="63">
        <v>151</v>
      </c>
      <c r="F18" s="63">
        <v>140</v>
      </c>
      <c r="G18" s="63">
        <v>316</v>
      </c>
      <c r="H18" s="63">
        <v>9776</v>
      </c>
      <c r="I18" s="63">
        <v>0</v>
      </c>
      <c r="J18" s="65"/>
      <c r="K18" s="62">
        <v>13</v>
      </c>
      <c r="L18" s="63">
        <v>4</v>
      </c>
      <c r="M18" s="63">
        <v>12</v>
      </c>
      <c r="N18" s="63">
        <v>3</v>
      </c>
      <c r="O18" s="63">
        <v>19</v>
      </c>
      <c r="P18" s="75">
        <v>6135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6" thickTop="1" thickBot="1" x14ac:dyDescent="0.35">
      <c r="A19" s="62">
        <v>14</v>
      </c>
      <c r="B19" s="63">
        <v>3862</v>
      </c>
      <c r="C19" s="63">
        <v>0</v>
      </c>
      <c r="D19" s="63">
        <v>1251</v>
      </c>
      <c r="E19" s="63">
        <v>272</v>
      </c>
      <c r="F19" s="63">
        <v>216</v>
      </c>
      <c r="G19" s="63">
        <v>349</v>
      </c>
      <c r="H19" s="63">
        <v>5950</v>
      </c>
      <c r="I19" s="63">
        <v>0</v>
      </c>
      <c r="J19" s="65"/>
      <c r="K19" s="62">
        <v>14</v>
      </c>
      <c r="L19" s="63">
        <v>3</v>
      </c>
      <c r="M19" s="63">
        <v>15</v>
      </c>
      <c r="N19" s="63">
        <v>6</v>
      </c>
      <c r="O19" s="63">
        <v>24</v>
      </c>
      <c r="P19" s="75">
        <v>6135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6" thickTop="1" thickBot="1" x14ac:dyDescent="0.35">
      <c r="A20" s="62">
        <v>15</v>
      </c>
      <c r="B20" s="63">
        <v>3469</v>
      </c>
      <c r="C20" s="63">
        <v>0</v>
      </c>
      <c r="D20" s="63">
        <v>1626</v>
      </c>
      <c r="E20" s="63">
        <v>268</v>
      </c>
      <c r="F20" s="63">
        <v>271</v>
      </c>
      <c r="G20" s="63">
        <v>435</v>
      </c>
      <c r="H20" s="63">
        <v>6069</v>
      </c>
      <c r="I20" s="63">
        <v>0</v>
      </c>
      <c r="J20" s="65"/>
      <c r="K20" s="62">
        <v>15</v>
      </c>
      <c r="L20" s="63">
        <v>2</v>
      </c>
      <c r="M20" s="63">
        <v>14</v>
      </c>
      <c r="N20" s="63">
        <v>8</v>
      </c>
      <c r="O20" s="63">
        <v>24</v>
      </c>
      <c r="P20" s="75">
        <v>6135</v>
      </c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6" thickTop="1" thickBot="1" x14ac:dyDescent="0.35">
      <c r="A21" s="62">
        <v>16</v>
      </c>
      <c r="B21" s="63">
        <v>3679</v>
      </c>
      <c r="C21" s="63">
        <v>0</v>
      </c>
      <c r="D21" s="63">
        <v>1624</v>
      </c>
      <c r="E21" s="63">
        <v>254</v>
      </c>
      <c r="F21" s="63">
        <v>307</v>
      </c>
      <c r="G21" s="63">
        <v>420</v>
      </c>
      <c r="H21" s="63">
        <v>6284</v>
      </c>
      <c r="I21" s="63">
        <v>0</v>
      </c>
      <c r="J21" s="65"/>
      <c r="K21" s="62">
        <v>16</v>
      </c>
      <c r="L21" s="63">
        <v>3</v>
      </c>
      <c r="M21" s="63">
        <v>14</v>
      </c>
      <c r="N21" s="63">
        <v>6</v>
      </c>
      <c r="O21" s="63">
        <v>23</v>
      </c>
      <c r="P21" s="75">
        <v>6135</v>
      </c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6" thickTop="1" thickBot="1" x14ac:dyDescent="0.35">
      <c r="A22" s="62">
        <v>17</v>
      </c>
      <c r="B22" s="63">
        <v>4266</v>
      </c>
      <c r="C22" s="63">
        <v>0</v>
      </c>
      <c r="D22" s="63">
        <v>1713</v>
      </c>
      <c r="E22" s="63">
        <v>285</v>
      </c>
      <c r="F22" s="63">
        <v>272</v>
      </c>
      <c r="G22" s="63">
        <v>454</v>
      </c>
      <c r="H22" s="63">
        <v>6990</v>
      </c>
      <c r="I22" s="63">
        <v>0</v>
      </c>
      <c r="J22" s="65"/>
      <c r="K22" s="62">
        <v>17</v>
      </c>
      <c r="L22" s="63">
        <v>8</v>
      </c>
      <c r="M22" s="63">
        <v>19</v>
      </c>
      <c r="N22" s="63">
        <v>7</v>
      </c>
      <c r="O22" s="63">
        <v>34</v>
      </c>
      <c r="P22" s="75">
        <v>6135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6" thickTop="1" thickBot="1" x14ac:dyDescent="0.35">
      <c r="A23" s="62">
        <v>18</v>
      </c>
      <c r="B23" s="63">
        <v>5702</v>
      </c>
      <c r="C23" s="63">
        <v>0</v>
      </c>
      <c r="D23" s="63">
        <v>1547</v>
      </c>
      <c r="E23" s="63">
        <v>266</v>
      </c>
      <c r="F23" s="63">
        <v>276</v>
      </c>
      <c r="G23" s="63">
        <v>431</v>
      </c>
      <c r="H23" s="81">
        <v>8222</v>
      </c>
      <c r="I23" s="63">
        <v>0</v>
      </c>
      <c r="J23" s="65"/>
      <c r="K23" s="62">
        <v>18</v>
      </c>
      <c r="L23" s="63">
        <v>4</v>
      </c>
      <c r="M23" s="63">
        <v>10</v>
      </c>
      <c r="N23" s="63">
        <v>6</v>
      </c>
      <c r="O23" s="63">
        <v>20</v>
      </c>
      <c r="P23" s="75">
        <v>6135</v>
      </c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6" thickTop="1" thickBot="1" x14ac:dyDescent="0.35">
      <c r="A24" s="62">
        <v>19</v>
      </c>
      <c r="B24" s="63">
        <v>6641</v>
      </c>
      <c r="C24" s="63">
        <v>0</v>
      </c>
      <c r="D24" s="63">
        <v>1440</v>
      </c>
      <c r="E24" s="63">
        <v>195</v>
      </c>
      <c r="F24" s="63">
        <v>303</v>
      </c>
      <c r="G24" s="63">
        <v>377</v>
      </c>
      <c r="H24" s="81">
        <v>8956</v>
      </c>
      <c r="I24" s="63">
        <v>0</v>
      </c>
      <c r="J24" s="65"/>
      <c r="K24" s="62">
        <v>19</v>
      </c>
      <c r="L24" s="63">
        <v>7</v>
      </c>
      <c r="M24" s="63">
        <v>4</v>
      </c>
      <c r="N24" s="63">
        <v>4</v>
      </c>
      <c r="O24" s="63">
        <v>15</v>
      </c>
      <c r="P24" s="75">
        <v>6135</v>
      </c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6" thickTop="1" thickBot="1" x14ac:dyDescent="0.35">
      <c r="A25" s="62">
        <v>20</v>
      </c>
      <c r="B25" s="63">
        <v>8589</v>
      </c>
      <c r="C25" s="63">
        <v>0</v>
      </c>
      <c r="D25" s="63">
        <v>1129</v>
      </c>
      <c r="E25" s="63">
        <v>134</v>
      </c>
      <c r="F25" s="63">
        <v>168</v>
      </c>
      <c r="G25" s="63">
        <v>330</v>
      </c>
      <c r="H25" s="63">
        <v>10350</v>
      </c>
      <c r="I25" s="63">
        <v>0</v>
      </c>
      <c r="J25" s="65"/>
      <c r="K25" s="62">
        <v>20</v>
      </c>
      <c r="L25" s="63">
        <v>3</v>
      </c>
      <c r="M25" s="63">
        <v>5</v>
      </c>
      <c r="N25" s="63">
        <v>1</v>
      </c>
      <c r="O25" s="63">
        <v>9</v>
      </c>
      <c r="P25" s="75">
        <v>6135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6" thickTop="1" thickBot="1" x14ac:dyDescent="0.35">
      <c r="A26" s="62">
        <v>21</v>
      </c>
      <c r="B26" s="63">
        <v>4291</v>
      </c>
      <c r="C26" s="63">
        <v>0</v>
      </c>
      <c r="D26" s="63">
        <v>1280</v>
      </c>
      <c r="E26" s="63">
        <v>296</v>
      </c>
      <c r="F26" s="63">
        <v>250</v>
      </c>
      <c r="G26" s="63">
        <v>418</v>
      </c>
      <c r="H26" s="63">
        <v>6535</v>
      </c>
      <c r="I26" s="63">
        <v>0</v>
      </c>
      <c r="J26" s="65"/>
      <c r="K26" s="62">
        <v>21</v>
      </c>
      <c r="L26" s="63">
        <v>2</v>
      </c>
      <c r="M26" s="63">
        <v>10</v>
      </c>
      <c r="N26" s="63">
        <v>1</v>
      </c>
      <c r="O26" s="63">
        <v>13</v>
      </c>
      <c r="P26" s="75">
        <v>6135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6" thickTop="1" thickBot="1" x14ac:dyDescent="0.35">
      <c r="A27" s="62">
        <v>22</v>
      </c>
      <c r="B27" s="63">
        <v>3722</v>
      </c>
      <c r="C27" s="63">
        <v>0</v>
      </c>
      <c r="D27" s="63">
        <v>1755</v>
      </c>
      <c r="E27" s="63">
        <v>277</v>
      </c>
      <c r="F27" s="63">
        <v>318</v>
      </c>
      <c r="G27" s="63">
        <v>458</v>
      </c>
      <c r="H27" s="63">
        <v>6530</v>
      </c>
      <c r="I27" s="63">
        <v>0</v>
      </c>
      <c r="J27" s="65"/>
      <c r="K27" s="62">
        <v>22</v>
      </c>
      <c r="L27" s="63">
        <v>6</v>
      </c>
      <c r="M27" s="63">
        <v>18</v>
      </c>
      <c r="N27" s="63">
        <v>5</v>
      </c>
      <c r="O27" s="63">
        <v>29</v>
      </c>
      <c r="P27" s="75">
        <v>6135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6" thickTop="1" thickBot="1" x14ac:dyDescent="0.35">
      <c r="A28" s="62">
        <v>23</v>
      </c>
      <c r="B28" s="63">
        <v>3797</v>
      </c>
      <c r="C28" s="63">
        <v>0</v>
      </c>
      <c r="D28" s="63">
        <v>1791</v>
      </c>
      <c r="E28" s="63">
        <v>278</v>
      </c>
      <c r="F28" s="63">
        <v>307</v>
      </c>
      <c r="G28" s="63">
        <v>457</v>
      </c>
      <c r="H28" s="63">
        <v>6630</v>
      </c>
      <c r="I28" s="63">
        <v>0</v>
      </c>
      <c r="J28" s="65"/>
      <c r="K28" s="62">
        <v>23</v>
      </c>
      <c r="L28" s="63">
        <v>15</v>
      </c>
      <c r="M28" s="63">
        <v>19</v>
      </c>
      <c r="N28" s="63">
        <v>3</v>
      </c>
      <c r="O28" s="63">
        <v>37</v>
      </c>
      <c r="P28" s="75">
        <v>6135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6" thickTop="1" thickBot="1" x14ac:dyDescent="0.35">
      <c r="A29" s="62">
        <v>24</v>
      </c>
      <c r="B29" s="63">
        <v>3680</v>
      </c>
      <c r="C29" s="63">
        <v>0</v>
      </c>
      <c r="D29" s="63">
        <v>1561</v>
      </c>
      <c r="E29" s="63">
        <v>206</v>
      </c>
      <c r="F29" s="63">
        <v>202</v>
      </c>
      <c r="G29" s="63">
        <v>314</v>
      </c>
      <c r="H29" s="63">
        <v>5963</v>
      </c>
      <c r="I29" s="63">
        <v>0</v>
      </c>
      <c r="J29" s="65"/>
      <c r="K29" s="62">
        <v>24</v>
      </c>
      <c r="L29" s="63">
        <v>1</v>
      </c>
      <c r="M29" s="63">
        <v>15</v>
      </c>
      <c r="N29" s="63">
        <v>7</v>
      </c>
      <c r="O29" s="63">
        <v>23</v>
      </c>
      <c r="P29" s="75">
        <v>6135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6" thickTop="1" thickBot="1" x14ac:dyDescent="0.35">
      <c r="A30" s="62">
        <v>25</v>
      </c>
      <c r="B30" s="63">
        <v>5422</v>
      </c>
      <c r="C30" s="63">
        <v>0</v>
      </c>
      <c r="D30" s="63">
        <v>1430</v>
      </c>
      <c r="E30" s="63">
        <v>212</v>
      </c>
      <c r="F30" s="63">
        <v>277</v>
      </c>
      <c r="G30" s="63">
        <v>352</v>
      </c>
      <c r="H30" s="63">
        <v>7693</v>
      </c>
      <c r="I30" s="63">
        <v>0</v>
      </c>
      <c r="J30" s="65"/>
      <c r="K30" s="62">
        <v>25</v>
      </c>
      <c r="L30" s="63">
        <v>2</v>
      </c>
      <c r="M30" s="63">
        <v>20</v>
      </c>
      <c r="N30" s="63">
        <v>4</v>
      </c>
      <c r="O30" s="63">
        <v>26</v>
      </c>
      <c r="P30" s="75">
        <v>6135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6" thickTop="1" thickBot="1" x14ac:dyDescent="0.35">
      <c r="A31" s="62">
        <v>26</v>
      </c>
      <c r="B31" s="63">
        <v>6478</v>
      </c>
      <c r="C31" s="63">
        <v>0</v>
      </c>
      <c r="D31" s="63">
        <v>1415</v>
      </c>
      <c r="E31" s="63">
        <v>186</v>
      </c>
      <c r="F31" s="63">
        <v>234</v>
      </c>
      <c r="G31" s="63">
        <v>315</v>
      </c>
      <c r="H31" s="63">
        <v>8628</v>
      </c>
      <c r="I31" s="63">
        <v>0</v>
      </c>
      <c r="J31" s="65"/>
      <c r="K31" s="62">
        <v>26</v>
      </c>
      <c r="L31" s="63">
        <v>4</v>
      </c>
      <c r="M31" s="63">
        <v>17</v>
      </c>
      <c r="N31" s="63">
        <v>3</v>
      </c>
      <c r="O31" s="63">
        <v>24</v>
      </c>
      <c r="P31" s="75">
        <v>6135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6" thickTop="1" thickBot="1" x14ac:dyDescent="0.35">
      <c r="A32" s="62">
        <v>27</v>
      </c>
      <c r="B32" s="63">
        <v>8313</v>
      </c>
      <c r="C32" s="63">
        <v>0</v>
      </c>
      <c r="D32" s="63">
        <v>1081</v>
      </c>
      <c r="E32" s="63">
        <v>156</v>
      </c>
      <c r="F32" s="63">
        <v>136</v>
      </c>
      <c r="G32" s="63">
        <v>313</v>
      </c>
      <c r="H32" s="63">
        <v>9999</v>
      </c>
      <c r="I32" s="63">
        <v>0</v>
      </c>
      <c r="J32" s="65"/>
      <c r="K32" s="62">
        <v>27</v>
      </c>
      <c r="L32" s="63">
        <v>5</v>
      </c>
      <c r="M32" s="63">
        <v>12</v>
      </c>
      <c r="N32" s="63">
        <v>4</v>
      </c>
      <c r="O32" s="63">
        <v>21</v>
      </c>
      <c r="P32" s="75">
        <v>6135</v>
      </c>
    </row>
    <row r="33" spans="1:16" ht="15.6" thickTop="1" thickBot="1" x14ac:dyDescent="0.35">
      <c r="A33" s="62">
        <v>28</v>
      </c>
      <c r="B33" s="63">
        <v>3965</v>
      </c>
      <c r="C33" s="63">
        <v>0</v>
      </c>
      <c r="D33" s="63">
        <v>1278</v>
      </c>
      <c r="E33" s="63">
        <v>275</v>
      </c>
      <c r="F33" s="63">
        <v>257</v>
      </c>
      <c r="G33" s="63">
        <v>401</v>
      </c>
      <c r="H33" s="63">
        <v>6176</v>
      </c>
      <c r="I33" s="63">
        <v>0</v>
      </c>
      <c r="J33" s="65"/>
      <c r="K33" s="62">
        <v>28</v>
      </c>
      <c r="L33" s="63">
        <v>6</v>
      </c>
      <c r="M33" s="63">
        <v>10</v>
      </c>
      <c r="N33" s="63">
        <v>4</v>
      </c>
      <c r="O33" s="63">
        <v>20</v>
      </c>
      <c r="P33" s="75">
        <v>6135</v>
      </c>
    </row>
    <row r="34" spans="1:16" ht="15.6" thickTop="1" thickBot="1" x14ac:dyDescent="0.35">
      <c r="A34" s="62">
        <v>29</v>
      </c>
      <c r="B34" s="63"/>
      <c r="C34" s="63"/>
      <c r="D34" s="63"/>
      <c r="E34" s="63"/>
      <c r="F34" s="63"/>
      <c r="G34" s="63"/>
      <c r="H34" s="63">
        <v>0</v>
      </c>
      <c r="I34" s="63">
        <v>0</v>
      </c>
      <c r="J34" s="65"/>
      <c r="K34" s="62">
        <v>29</v>
      </c>
      <c r="L34" s="63"/>
      <c r="M34" s="63"/>
      <c r="N34" s="63"/>
      <c r="O34" s="63"/>
      <c r="P34" s="75">
        <v>6135</v>
      </c>
    </row>
    <row r="35" spans="1:16" ht="15.6" thickTop="1" thickBot="1" x14ac:dyDescent="0.35">
      <c r="A35" s="62">
        <v>30</v>
      </c>
      <c r="B35" s="63"/>
      <c r="C35" s="63"/>
      <c r="D35" s="63"/>
      <c r="E35" s="63"/>
      <c r="F35" s="63"/>
      <c r="G35" s="63"/>
      <c r="H35" s="63">
        <v>0</v>
      </c>
      <c r="I35" s="63">
        <v>0</v>
      </c>
      <c r="J35" s="65"/>
      <c r="K35" s="62">
        <v>30</v>
      </c>
      <c r="L35" s="63"/>
      <c r="M35" s="63"/>
      <c r="N35" s="63"/>
      <c r="O35" s="63"/>
      <c r="P35" s="75">
        <v>6135</v>
      </c>
    </row>
    <row r="36" spans="1:16" ht="15.6" thickTop="1" thickBot="1" x14ac:dyDescent="0.35">
      <c r="A36" s="62">
        <v>31</v>
      </c>
      <c r="B36" s="63"/>
      <c r="C36" s="63"/>
      <c r="D36" s="63"/>
      <c r="E36" s="63"/>
      <c r="F36" s="63"/>
      <c r="G36" s="63"/>
      <c r="H36" s="63">
        <v>0</v>
      </c>
      <c r="I36" s="63">
        <v>0</v>
      </c>
      <c r="J36" s="65"/>
      <c r="K36" s="62">
        <v>31</v>
      </c>
      <c r="L36" s="80"/>
      <c r="M36" s="80"/>
      <c r="N36" s="80"/>
      <c r="O36" s="63"/>
      <c r="P36" s="75">
        <v>6135</v>
      </c>
    </row>
    <row r="37" spans="1:16" ht="15" thickTop="1" x14ac:dyDescent="0.3">
      <c r="A37" s="42" t="s">
        <v>19</v>
      </c>
      <c r="B37" s="55">
        <v>143097</v>
      </c>
      <c r="C37" s="55">
        <v>0</v>
      </c>
      <c r="D37" s="55">
        <v>41311</v>
      </c>
      <c r="E37" s="55">
        <v>6577</v>
      </c>
      <c r="F37" s="55">
        <v>7043</v>
      </c>
      <c r="G37" s="55">
        <v>11009</v>
      </c>
      <c r="H37" s="55">
        <v>209037</v>
      </c>
      <c r="I37" s="55">
        <v>0</v>
      </c>
      <c r="J37" s="55"/>
      <c r="K37" s="55"/>
      <c r="L37" s="55">
        <v>119</v>
      </c>
      <c r="M37" s="55">
        <v>387</v>
      </c>
      <c r="N37" s="55">
        <v>129</v>
      </c>
      <c r="O37" s="55">
        <v>635</v>
      </c>
      <c r="P37" s="55">
        <v>190185</v>
      </c>
    </row>
    <row r="38" spans="1:16" x14ac:dyDescent="0.3">
      <c r="A38" s="42" t="s">
        <v>19</v>
      </c>
      <c r="B38" s="166">
        <v>143097</v>
      </c>
      <c r="C38" s="166"/>
      <c r="D38" s="55">
        <v>41311</v>
      </c>
      <c r="E38" s="55">
        <v>6577</v>
      </c>
      <c r="F38" s="55">
        <v>7043</v>
      </c>
      <c r="G38" s="55">
        <v>11009</v>
      </c>
      <c r="H38" s="55">
        <v>209037</v>
      </c>
      <c r="I38" s="55">
        <v>0</v>
      </c>
      <c r="J38" s="66"/>
      <c r="K38" s="42"/>
      <c r="L38" s="67" t="s">
        <v>23</v>
      </c>
      <c r="M38" s="67" t="s">
        <v>24</v>
      </c>
      <c r="N38" s="67" t="s">
        <v>23</v>
      </c>
      <c r="O38" s="67" t="s">
        <v>24</v>
      </c>
      <c r="P38" s="60"/>
    </row>
    <row r="39" spans="1:16" x14ac:dyDescent="0.3">
      <c r="A39" s="68" t="s">
        <v>20</v>
      </c>
      <c r="B39" s="70"/>
      <c r="C39" s="70"/>
      <c r="D39" s="70"/>
      <c r="E39" s="70"/>
      <c r="F39" s="70"/>
      <c r="G39" s="70"/>
      <c r="H39" s="70"/>
      <c r="I39" s="60"/>
      <c r="J39" s="60"/>
      <c r="K39" s="60"/>
      <c r="L39" s="73"/>
      <c r="M39" s="60"/>
      <c r="N39" s="60"/>
      <c r="O39" s="60"/>
      <c r="P39" s="60"/>
    </row>
    <row r="40" spans="1:16" x14ac:dyDescent="0.3">
      <c r="A40" s="78"/>
      <c r="B40" s="79"/>
      <c r="C40" s="79"/>
      <c r="D40" s="79"/>
      <c r="E40" s="79"/>
      <c r="F40" s="79"/>
      <c r="G40" s="79"/>
      <c r="H40" s="79"/>
      <c r="I40" s="79"/>
      <c r="J40" s="73"/>
      <c r="K40" s="23"/>
      <c r="L40" s="22"/>
      <c r="M40" s="60"/>
      <c r="N40" s="60"/>
      <c r="O40" s="60"/>
      <c r="P40" s="60"/>
    </row>
    <row r="41" spans="1:16" x14ac:dyDescent="0.3">
      <c r="A41" s="69"/>
      <c r="B41" s="60"/>
      <c r="C41" s="60"/>
      <c r="D41" s="60"/>
      <c r="E41" s="60"/>
      <c r="F41" s="60"/>
      <c r="G41" s="60"/>
      <c r="H41" s="69"/>
      <c r="I41" s="60"/>
      <c r="J41" s="60"/>
      <c r="K41" s="23"/>
      <c r="L41" s="22"/>
      <c r="M41" s="60"/>
      <c r="N41" s="60"/>
      <c r="O41" s="60"/>
      <c r="P41" s="60"/>
    </row>
    <row r="42" spans="1:16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23"/>
      <c r="L42" s="22"/>
      <c r="M42" s="60"/>
      <c r="N42" s="60"/>
      <c r="O42" s="60"/>
      <c r="P42" s="60"/>
    </row>
    <row r="43" spans="1:16" x14ac:dyDescent="0.3">
      <c r="A43" s="60"/>
      <c r="B43" s="60"/>
      <c r="C43" s="60"/>
      <c r="D43" s="60"/>
      <c r="E43" s="60"/>
      <c r="F43" s="60"/>
      <c r="G43" s="60"/>
      <c r="H43" s="60"/>
      <c r="I43" s="69"/>
      <c r="J43" s="69"/>
      <c r="K43" s="60"/>
      <c r="L43" s="60"/>
      <c r="M43" s="60"/>
      <c r="N43" s="60"/>
      <c r="O43" s="60"/>
      <c r="P43" s="60"/>
    </row>
    <row r="45" spans="1:16" x14ac:dyDescent="0.3">
      <c r="A45" s="77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</row>
    <row r="46" spans="1:16" x14ac:dyDescent="0.3">
      <c r="A46" s="77"/>
      <c r="B46" s="69"/>
      <c r="C46" s="69"/>
      <c r="D46" s="69"/>
      <c r="E46" s="69"/>
      <c r="F46" s="69"/>
      <c r="G46" s="69"/>
      <c r="H46" s="69"/>
      <c r="I46" s="69"/>
      <c r="J46" s="69"/>
      <c r="K46" s="74"/>
      <c r="L46" s="69"/>
      <c r="M46" s="69"/>
      <c r="N46" s="69"/>
      <c r="O46" s="69"/>
      <c r="P46" s="60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1958-2C9D-40A6-A2E2-05B10B111D55}">
  <dimension ref="A1:Z46"/>
  <sheetViews>
    <sheetView workbookViewId="0">
      <selection activeCell="E32" sqref="E32"/>
    </sheetView>
  </sheetViews>
  <sheetFormatPr baseColWidth="10" defaultRowHeight="14.4" x14ac:dyDescent="0.3"/>
  <cols>
    <col min="16" max="16" width="0" hidden="1" customWidth="1"/>
  </cols>
  <sheetData>
    <row r="1" spans="1:26" s="58" customFormat="1" ht="15.6" x14ac:dyDescent="0.3">
      <c r="A1" s="155" t="s">
        <v>35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26" s="58" customFormat="1" ht="15.6" x14ac:dyDescent="0.3">
      <c r="A2" s="155" t="s">
        <v>36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26" ht="15.6" x14ac:dyDescent="0.3">
      <c r="A3" s="164" t="s">
        <v>25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71"/>
      <c r="Q3" s="71"/>
      <c r="R3" s="71"/>
      <c r="S3" s="71"/>
    </row>
    <row r="4" spans="1:26" ht="82.8" x14ac:dyDescent="0.3">
      <c r="A4" s="162" t="s">
        <v>1</v>
      </c>
      <c r="B4" s="165" t="s">
        <v>2</v>
      </c>
      <c r="C4" s="165"/>
      <c r="D4" s="43" t="s">
        <v>3</v>
      </c>
      <c r="E4" s="43" t="s">
        <v>4</v>
      </c>
      <c r="F4" s="43" t="s">
        <v>5</v>
      </c>
      <c r="G4" s="43" t="s">
        <v>6</v>
      </c>
      <c r="H4" s="165" t="s">
        <v>7</v>
      </c>
      <c r="I4" s="165" t="s">
        <v>8</v>
      </c>
      <c r="J4" s="61"/>
      <c r="K4" s="167" t="s">
        <v>1</v>
      </c>
      <c r="L4" s="165" t="s">
        <v>9</v>
      </c>
      <c r="M4" s="165" t="s">
        <v>10</v>
      </c>
      <c r="N4" s="165" t="s">
        <v>11</v>
      </c>
      <c r="O4" s="165" t="s">
        <v>12</v>
      </c>
      <c r="P4" s="60"/>
      <c r="Q4" s="60"/>
      <c r="R4" s="60"/>
      <c r="S4" s="60"/>
    </row>
    <row r="5" spans="1:26" x14ac:dyDescent="0.3">
      <c r="A5" s="163"/>
      <c r="B5" s="42" t="s">
        <v>13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165"/>
      <c r="I5" s="165"/>
      <c r="J5" s="61"/>
      <c r="K5" s="167"/>
      <c r="L5" s="165"/>
      <c r="M5" s="165"/>
      <c r="N5" s="165"/>
      <c r="O5" s="165"/>
      <c r="P5" s="60"/>
      <c r="Q5" s="60"/>
      <c r="R5" s="60"/>
      <c r="S5" s="60"/>
    </row>
    <row r="6" spans="1:26" ht="15" thickBot="1" x14ac:dyDescent="0.35">
      <c r="A6" s="82">
        <v>1</v>
      </c>
      <c r="B6" s="83">
        <v>3647</v>
      </c>
      <c r="C6" s="83">
        <v>0</v>
      </c>
      <c r="D6" s="83">
        <v>1624</v>
      </c>
      <c r="E6" s="83">
        <v>275</v>
      </c>
      <c r="F6" s="83">
        <v>281</v>
      </c>
      <c r="G6" s="83">
        <v>422</v>
      </c>
      <c r="H6" s="83">
        <v>6249</v>
      </c>
      <c r="I6" s="83">
        <v>0</v>
      </c>
      <c r="J6" s="84"/>
      <c r="K6" s="82">
        <v>1</v>
      </c>
      <c r="L6" s="83">
        <v>2</v>
      </c>
      <c r="M6" s="83">
        <v>21</v>
      </c>
      <c r="N6" s="83">
        <v>2</v>
      </c>
      <c r="O6" s="83">
        <v>25</v>
      </c>
      <c r="P6" s="86">
        <v>6135</v>
      </c>
      <c r="Q6" s="60"/>
      <c r="R6" s="60"/>
      <c r="S6" s="60"/>
    </row>
    <row r="7" spans="1:26" ht="15.6" thickTop="1" thickBot="1" x14ac:dyDescent="0.35">
      <c r="A7" s="82">
        <v>2</v>
      </c>
      <c r="B7" s="83">
        <v>3643</v>
      </c>
      <c r="C7" s="83">
        <v>0</v>
      </c>
      <c r="D7" s="83">
        <v>1610</v>
      </c>
      <c r="E7" s="83">
        <v>276</v>
      </c>
      <c r="F7" s="83">
        <v>312</v>
      </c>
      <c r="G7" s="83">
        <v>438</v>
      </c>
      <c r="H7" s="83">
        <v>6279</v>
      </c>
      <c r="I7" s="83">
        <v>0</v>
      </c>
      <c r="J7" s="84"/>
      <c r="K7" s="82">
        <v>2</v>
      </c>
      <c r="L7" s="83">
        <v>4</v>
      </c>
      <c r="M7" s="83">
        <v>18</v>
      </c>
      <c r="N7" s="83">
        <v>3</v>
      </c>
      <c r="O7" s="83">
        <v>25</v>
      </c>
      <c r="P7" s="86">
        <v>6135</v>
      </c>
      <c r="Q7" s="60"/>
      <c r="R7" s="60"/>
      <c r="S7" s="60"/>
    </row>
    <row r="8" spans="1:26" ht="15.6" thickTop="1" thickBot="1" x14ac:dyDescent="0.35">
      <c r="A8" s="82">
        <v>3</v>
      </c>
      <c r="B8" s="83">
        <v>3947</v>
      </c>
      <c r="C8" s="83">
        <v>0</v>
      </c>
      <c r="D8" s="83">
        <v>1744</v>
      </c>
      <c r="E8" s="83">
        <v>278</v>
      </c>
      <c r="F8" s="83">
        <v>265</v>
      </c>
      <c r="G8" s="83">
        <v>472</v>
      </c>
      <c r="H8" s="83">
        <v>6706</v>
      </c>
      <c r="I8" s="83">
        <v>0</v>
      </c>
      <c r="J8" s="84"/>
      <c r="K8" s="82">
        <v>3</v>
      </c>
      <c r="L8" s="83">
        <v>5</v>
      </c>
      <c r="M8" s="83">
        <v>24</v>
      </c>
      <c r="N8" s="83">
        <v>7</v>
      </c>
      <c r="O8" s="83">
        <v>36</v>
      </c>
      <c r="P8" s="86">
        <v>6135</v>
      </c>
      <c r="Q8" s="60"/>
      <c r="R8" s="60"/>
      <c r="S8" s="69"/>
    </row>
    <row r="9" spans="1:26" ht="15.6" thickTop="1" thickBot="1" x14ac:dyDescent="0.35">
      <c r="A9" s="82">
        <v>4</v>
      </c>
      <c r="B9" s="83">
        <v>5477</v>
      </c>
      <c r="C9" s="83">
        <v>0</v>
      </c>
      <c r="D9" s="83">
        <v>1575</v>
      </c>
      <c r="E9" s="83">
        <v>254</v>
      </c>
      <c r="F9" s="83">
        <v>264</v>
      </c>
      <c r="G9" s="83">
        <v>469</v>
      </c>
      <c r="H9" s="83">
        <v>8039</v>
      </c>
      <c r="I9" s="83">
        <v>0</v>
      </c>
      <c r="J9" s="84"/>
      <c r="K9" s="82">
        <v>4</v>
      </c>
      <c r="L9" s="83">
        <v>4</v>
      </c>
      <c r="M9" s="83">
        <v>15</v>
      </c>
      <c r="N9" s="83">
        <v>3</v>
      </c>
      <c r="O9" s="83">
        <v>22</v>
      </c>
      <c r="P9" s="86">
        <v>6135</v>
      </c>
      <c r="Q9" s="60"/>
      <c r="R9" s="60"/>
      <c r="S9" s="60"/>
    </row>
    <row r="10" spans="1:26" ht="15.6" thickTop="1" thickBot="1" x14ac:dyDescent="0.35">
      <c r="A10" s="82">
        <v>5</v>
      </c>
      <c r="B10" s="83">
        <v>6291</v>
      </c>
      <c r="C10" s="83">
        <v>0</v>
      </c>
      <c r="D10" s="83">
        <v>1544</v>
      </c>
      <c r="E10" s="83">
        <v>238</v>
      </c>
      <c r="F10" s="83">
        <v>275</v>
      </c>
      <c r="G10" s="83">
        <v>419</v>
      </c>
      <c r="H10" s="83">
        <v>8767</v>
      </c>
      <c r="I10" s="83">
        <v>0</v>
      </c>
      <c r="J10" s="84"/>
      <c r="K10" s="82">
        <v>5</v>
      </c>
      <c r="L10" s="83">
        <v>11</v>
      </c>
      <c r="M10" s="83">
        <v>10</v>
      </c>
      <c r="N10" s="83">
        <v>6</v>
      </c>
      <c r="O10" s="83">
        <v>27</v>
      </c>
      <c r="P10" s="86">
        <v>6135</v>
      </c>
      <c r="Q10" s="60"/>
      <c r="R10" s="60"/>
      <c r="S10" s="60"/>
    </row>
    <row r="11" spans="1:26" ht="15.6" thickTop="1" thickBot="1" x14ac:dyDescent="0.35">
      <c r="A11" s="82">
        <v>6</v>
      </c>
      <c r="B11" s="83">
        <v>7864</v>
      </c>
      <c r="C11" s="83">
        <v>0</v>
      </c>
      <c r="D11" s="83">
        <v>1097</v>
      </c>
      <c r="E11" s="83">
        <v>151</v>
      </c>
      <c r="F11" s="83">
        <v>177</v>
      </c>
      <c r="G11" s="83">
        <v>293</v>
      </c>
      <c r="H11" s="83">
        <v>9582</v>
      </c>
      <c r="I11" s="83">
        <v>0</v>
      </c>
      <c r="J11" s="84"/>
      <c r="K11" s="82">
        <v>6</v>
      </c>
      <c r="L11" s="83">
        <v>2</v>
      </c>
      <c r="M11" s="83">
        <v>13</v>
      </c>
      <c r="N11" s="83">
        <v>4</v>
      </c>
      <c r="O11" s="83">
        <v>19</v>
      </c>
      <c r="P11" s="86">
        <v>6135</v>
      </c>
      <c r="Q11" s="60"/>
      <c r="R11" s="60"/>
      <c r="S11" s="60"/>
    </row>
    <row r="12" spans="1:26" ht="15.6" thickTop="1" thickBot="1" x14ac:dyDescent="0.35">
      <c r="A12" s="82">
        <v>7</v>
      </c>
      <c r="B12" s="83">
        <v>3848</v>
      </c>
      <c r="C12" s="83">
        <v>0</v>
      </c>
      <c r="D12" s="83">
        <v>1279</v>
      </c>
      <c r="E12" s="83">
        <v>259</v>
      </c>
      <c r="F12" s="83">
        <v>220</v>
      </c>
      <c r="G12" s="83">
        <v>423</v>
      </c>
      <c r="H12" s="83">
        <v>6029</v>
      </c>
      <c r="I12" s="83">
        <v>0</v>
      </c>
      <c r="J12" s="85"/>
      <c r="K12" s="82">
        <v>7</v>
      </c>
      <c r="L12" s="83">
        <v>7</v>
      </c>
      <c r="M12" s="83">
        <v>2</v>
      </c>
      <c r="N12" s="83">
        <v>3</v>
      </c>
      <c r="O12" s="83">
        <v>12</v>
      </c>
      <c r="P12" s="86">
        <v>6135</v>
      </c>
      <c r="Q12" s="60"/>
      <c r="R12" s="60"/>
      <c r="S12" s="60"/>
    </row>
    <row r="13" spans="1:26" ht="15.6" thickTop="1" thickBot="1" x14ac:dyDescent="0.35">
      <c r="A13" s="82">
        <v>8</v>
      </c>
      <c r="B13" s="83">
        <v>3352</v>
      </c>
      <c r="C13" s="83">
        <v>0</v>
      </c>
      <c r="D13" s="83">
        <v>1582</v>
      </c>
      <c r="E13" s="83">
        <v>275</v>
      </c>
      <c r="F13" s="83">
        <v>283</v>
      </c>
      <c r="G13" s="83">
        <v>452</v>
      </c>
      <c r="H13" s="83">
        <v>5944</v>
      </c>
      <c r="I13" s="83">
        <v>0</v>
      </c>
      <c r="J13" s="85"/>
      <c r="K13" s="82">
        <v>8</v>
      </c>
      <c r="L13" s="83">
        <v>5</v>
      </c>
      <c r="M13" s="83">
        <v>6</v>
      </c>
      <c r="N13" s="83">
        <v>6</v>
      </c>
      <c r="O13" s="83">
        <v>17</v>
      </c>
      <c r="P13" s="86">
        <v>6135</v>
      </c>
      <c r="Q13" s="60"/>
      <c r="R13" s="60"/>
      <c r="S13" s="60"/>
    </row>
    <row r="14" spans="1:26" ht="15.6" thickTop="1" thickBot="1" x14ac:dyDescent="0.35">
      <c r="A14" s="82">
        <v>9</v>
      </c>
      <c r="B14" s="83">
        <v>3509</v>
      </c>
      <c r="C14" s="83">
        <v>0</v>
      </c>
      <c r="D14" s="83">
        <v>1663</v>
      </c>
      <c r="E14" s="83">
        <v>253</v>
      </c>
      <c r="F14" s="83">
        <v>291</v>
      </c>
      <c r="G14" s="83">
        <v>545</v>
      </c>
      <c r="H14" s="83">
        <v>6261</v>
      </c>
      <c r="I14" s="83">
        <v>0</v>
      </c>
      <c r="J14" s="85"/>
      <c r="K14" s="82">
        <v>9</v>
      </c>
      <c r="L14" s="83">
        <v>9</v>
      </c>
      <c r="M14" s="83">
        <v>22</v>
      </c>
      <c r="N14" s="83">
        <v>6</v>
      </c>
      <c r="O14" s="83">
        <v>37</v>
      </c>
      <c r="P14" s="87">
        <v>6135</v>
      </c>
      <c r="Q14" s="72"/>
      <c r="R14" s="72"/>
      <c r="S14" s="72"/>
    </row>
    <row r="15" spans="1:26" ht="15.6" thickTop="1" thickBot="1" x14ac:dyDescent="0.35">
      <c r="A15" s="82">
        <v>10</v>
      </c>
      <c r="B15" s="83">
        <v>3640</v>
      </c>
      <c r="C15" s="83">
        <v>0</v>
      </c>
      <c r="D15" s="83">
        <v>1704</v>
      </c>
      <c r="E15" s="83">
        <v>257</v>
      </c>
      <c r="F15" s="83">
        <v>272</v>
      </c>
      <c r="G15" s="83">
        <v>422</v>
      </c>
      <c r="H15" s="83">
        <v>6295</v>
      </c>
      <c r="I15" s="83">
        <v>0</v>
      </c>
      <c r="J15" s="85"/>
      <c r="K15" s="82">
        <v>10</v>
      </c>
      <c r="L15" s="83">
        <v>7</v>
      </c>
      <c r="M15" s="83">
        <v>18</v>
      </c>
      <c r="N15" s="83">
        <v>9</v>
      </c>
      <c r="O15" s="83">
        <v>34</v>
      </c>
      <c r="P15" s="86">
        <v>6135</v>
      </c>
      <c r="Q15" s="60"/>
      <c r="R15" s="60"/>
      <c r="S15" s="60"/>
    </row>
    <row r="16" spans="1:26" ht="15.6" thickTop="1" thickBot="1" x14ac:dyDescent="0.35">
      <c r="A16" s="82">
        <v>11</v>
      </c>
      <c r="B16" s="83">
        <v>3810</v>
      </c>
      <c r="C16" s="83">
        <v>0</v>
      </c>
      <c r="D16" s="83">
        <v>1250</v>
      </c>
      <c r="E16" s="83">
        <v>164</v>
      </c>
      <c r="F16" s="83">
        <v>233</v>
      </c>
      <c r="G16" s="83">
        <v>354</v>
      </c>
      <c r="H16" s="83">
        <v>5811</v>
      </c>
      <c r="I16" s="83">
        <v>0</v>
      </c>
      <c r="J16" s="85"/>
      <c r="K16" s="82">
        <v>11</v>
      </c>
      <c r="L16" s="83">
        <v>4</v>
      </c>
      <c r="M16" s="83">
        <v>15</v>
      </c>
      <c r="N16" s="83">
        <v>3</v>
      </c>
      <c r="O16" s="83">
        <v>22</v>
      </c>
      <c r="P16" s="86">
        <v>6135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6" thickTop="1" thickBot="1" x14ac:dyDescent="0.35">
      <c r="A17" s="82">
        <v>12</v>
      </c>
      <c r="B17" s="83">
        <v>4702</v>
      </c>
      <c r="C17" s="83">
        <v>0</v>
      </c>
      <c r="D17" s="83">
        <v>1247</v>
      </c>
      <c r="E17" s="83">
        <v>225</v>
      </c>
      <c r="F17" s="83">
        <v>267</v>
      </c>
      <c r="G17" s="83">
        <v>366</v>
      </c>
      <c r="H17" s="83">
        <v>6807</v>
      </c>
      <c r="I17" s="83">
        <v>0</v>
      </c>
      <c r="J17" s="85"/>
      <c r="K17" s="82">
        <v>12</v>
      </c>
      <c r="L17" s="83">
        <v>13</v>
      </c>
      <c r="M17" s="83">
        <v>17</v>
      </c>
      <c r="N17" s="83">
        <v>5</v>
      </c>
      <c r="O17" s="83">
        <v>35</v>
      </c>
      <c r="P17" s="86">
        <v>6135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6" thickTop="1" thickBot="1" x14ac:dyDescent="0.35">
      <c r="A18" s="82">
        <v>13</v>
      </c>
      <c r="B18" s="83">
        <v>4854</v>
      </c>
      <c r="C18" s="83">
        <v>0</v>
      </c>
      <c r="D18" s="83">
        <v>973</v>
      </c>
      <c r="E18" s="83">
        <v>153</v>
      </c>
      <c r="F18" s="83">
        <v>169</v>
      </c>
      <c r="G18" s="83">
        <v>299</v>
      </c>
      <c r="H18" s="83">
        <v>6448</v>
      </c>
      <c r="I18" s="83">
        <v>0</v>
      </c>
      <c r="J18" s="85"/>
      <c r="K18" s="82">
        <v>13</v>
      </c>
      <c r="L18" s="83">
        <v>4</v>
      </c>
      <c r="M18" s="83">
        <v>6</v>
      </c>
      <c r="N18" s="83">
        <v>3</v>
      </c>
      <c r="O18" s="83">
        <v>13</v>
      </c>
      <c r="P18" s="86">
        <v>6135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6" thickTop="1" thickBot="1" x14ac:dyDescent="0.35">
      <c r="A19" s="82">
        <v>14</v>
      </c>
      <c r="B19" s="83">
        <v>3340</v>
      </c>
      <c r="C19" s="83">
        <v>0</v>
      </c>
      <c r="D19" s="83">
        <v>1383</v>
      </c>
      <c r="E19" s="83">
        <v>262</v>
      </c>
      <c r="F19" s="83">
        <v>254</v>
      </c>
      <c r="G19" s="83">
        <v>452</v>
      </c>
      <c r="H19" s="83">
        <v>5691</v>
      </c>
      <c r="I19" s="83">
        <v>0</v>
      </c>
      <c r="J19" s="85"/>
      <c r="K19" s="82">
        <v>14</v>
      </c>
      <c r="L19" s="83">
        <v>5</v>
      </c>
      <c r="M19" s="83">
        <v>9</v>
      </c>
      <c r="N19" s="83">
        <v>5</v>
      </c>
      <c r="O19" s="83">
        <v>19</v>
      </c>
      <c r="P19" s="86">
        <v>6135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6" thickTop="1" thickBot="1" x14ac:dyDescent="0.35">
      <c r="A20" s="82">
        <v>15</v>
      </c>
      <c r="B20" s="83">
        <v>3399</v>
      </c>
      <c r="C20" s="83">
        <v>0</v>
      </c>
      <c r="D20" s="83">
        <v>1536</v>
      </c>
      <c r="E20" s="83">
        <v>278</v>
      </c>
      <c r="F20" s="83">
        <v>303</v>
      </c>
      <c r="G20" s="83">
        <v>432</v>
      </c>
      <c r="H20" s="83">
        <v>5948</v>
      </c>
      <c r="I20" s="83">
        <v>0</v>
      </c>
      <c r="J20" s="85"/>
      <c r="K20" s="82">
        <v>15</v>
      </c>
      <c r="L20" s="83">
        <v>2</v>
      </c>
      <c r="M20" s="83">
        <v>10</v>
      </c>
      <c r="N20" s="83">
        <v>10</v>
      </c>
      <c r="O20" s="83">
        <v>22</v>
      </c>
      <c r="P20" s="86">
        <v>6135</v>
      </c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6" thickTop="1" thickBot="1" x14ac:dyDescent="0.35">
      <c r="A21" s="82">
        <v>16</v>
      </c>
      <c r="B21" s="83">
        <v>3587</v>
      </c>
      <c r="C21" s="83">
        <v>0</v>
      </c>
      <c r="D21" s="83">
        <v>1709</v>
      </c>
      <c r="E21" s="83">
        <v>288</v>
      </c>
      <c r="F21" s="83">
        <v>338</v>
      </c>
      <c r="G21" s="83">
        <v>528</v>
      </c>
      <c r="H21" s="83">
        <v>6450</v>
      </c>
      <c r="I21" s="83">
        <v>0</v>
      </c>
      <c r="J21" s="85"/>
      <c r="K21" s="82">
        <v>16</v>
      </c>
      <c r="L21" s="83">
        <v>1</v>
      </c>
      <c r="M21" s="83">
        <v>9</v>
      </c>
      <c r="N21" s="83">
        <v>4</v>
      </c>
      <c r="O21" s="83">
        <v>14</v>
      </c>
      <c r="P21" s="86">
        <v>6135</v>
      </c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6" thickTop="1" thickBot="1" x14ac:dyDescent="0.35">
      <c r="A22" s="82">
        <v>17</v>
      </c>
      <c r="B22" s="83">
        <v>4355</v>
      </c>
      <c r="C22" s="83">
        <v>0</v>
      </c>
      <c r="D22" s="83">
        <v>1642</v>
      </c>
      <c r="E22" s="83">
        <v>279</v>
      </c>
      <c r="F22" s="83">
        <v>315</v>
      </c>
      <c r="G22" s="83">
        <v>508</v>
      </c>
      <c r="H22" s="83">
        <v>7099</v>
      </c>
      <c r="I22" s="83">
        <v>0</v>
      </c>
      <c r="J22" s="85"/>
      <c r="K22" s="82">
        <v>17</v>
      </c>
      <c r="L22" s="83">
        <v>6</v>
      </c>
      <c r="M22" s="83">
        <v>20</v>
      </c>
      <c r="N22" s="83">
        <v>4</v>
      </c>
      <c r="O22" s="83">
        <v>30</v>
      </c>
      <c r="P22" s="86">
        <v>6135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6" thickTop="1" thickBot="1" x14ac:dyDescent="0.35">
      <c r="A23" s="82">
        <v>18</v>
      </c>
      <c r="B23" s="83">
        <v>7854</v>
      </c>
      <c r="C23" s="83">
        <v>0</v>
      </c>
      <c r="D23" s="83">
        <v>1581</v>
      </c>
      <c r="E23" s="83">
        <v>221</v>
      </c>
      <c r="F23" s="83">
        <v>283</v>
      </c>
      <c r="G23" s="83">
        <v>471</v>
      </c>
      <c r="H23" s="89">
        <v>10410</v>
      </c>
      <c r="I23" s="83">
        <v>0</v>
      </c>
      <c r="J23" s="85"/>
      <c r="K23" s="82">
        <v>18</v>
      </c>
      <c r="L23" s="83">
        <v>8</v>
      </c>
      <c r="M23" s="83">
        <v>10</v>
      </c>
      <c r="N23" s="83">
        <v>7</v>
      </c>
      <c r="O23" s="83">
        <v>25</v>
      </c>
      <c r="P23" s="86">
        <v>6135</v>
      </c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6" thickTop="1" thickBot="1" x14ac:dyDescent="0.35">
      <c r="A24" s="82">
        <v>19</v>
      </c>
      <c r="B24" s="83">
        <v>11541</v>
      </c>
      <c r="C24" s="83">
        <v>0</v>
      </c>
      <c r="D24" s="83">
        <v>1283</v>
      </c>
      <c r="E24" s="83">
        <v>117</v>
      </c>
      <c r="F24" s="83">
        <v>242</v>
      </c>
      <c r="G24" s="83">
        <v>283</v>
      </c>
      <c r="H24" s="89">
        <v>13466</v>
      </c>
      <c r="I24" s="83">
        <v>0</v>
      </c>
      <c r="J24" s="85"/>
      <c r="K24" s="82">
        <v>19</v>
      </c>
      <c r="L24" s="83">
        <v>0</v>
      </c>
      <c r="M24" s="83">
        <v>12</v>
      </c>
      <c r="N24" s="83">
        <v>5</v>
      </c>
      <c r="O24" s="83">
        <v>17</v>
      </c>
      <c r="P24" s="86">
        <v>6135</v>
      </c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6" thickTop="1" thickBot="1" x14ac:dyDescent="0.35">
      <c r="A25" s="82">
        <v>20</v>
      </c>
      <c r="B25" s="83">
        <v>9874</v>
      </c>
      <c r="C25" s="83">
        <v>0</v>
      </c>
      <c r="D25" s="83">
        <v>1352</v>
      </c>
      <c r="E25" s="83">
        <v>180</v>
      </c>
      <c r="F25" s="83">
        <v>227</v>
      </c>
      <c r="G25" s="83">
        <v>406</v>
      </c>
      <c r="H25" s="83">
        <v>12039</v>
      </c>
      <c r="I25" s="83">
        <v>0</v>
      </c>
      <c r="J25" s="85"/>
      <c r="K25" s="82">
        <v>20</v>
      </c>
      <c r="L25" s="83">
        <v>6</v>
      </c>
      <c r="M25" s="83">
        <v>9</v>
      </c>
      <c r="N25" s="83">
        <v>0</v>
      </c>
      <c r="O25" s="83">
        <v>15</v>
      </c>
      <c r="P25" s="86">
        <v>6135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6" thickTop="1" thickBot="1" x14ac:dyDescent="0.35">
      <c r="A26" s="82">
        <v>21</v>
      </c>
      <c r="B26" s="83">
        <v>16115</v>
      </c>
      <c r="C26" s="83">
        <v>0</v>
      </c>
      <c r="D26" s="83">
        <v>800</v>
      </c>
      <c r="E26" s="83">
        <v>76</v>
      </c>
      <c r="F26" s="83">
        <v>70</v>
      </c>
      <c r="G26" s="83">
        <v>114</v>
      </c>
      <c r="H26" s="83">
        <v>17175</v>
      </c>
      <c r="I26" s="83">
        <v>0</v>
      </c>
      <c r="J26" s="85"/>
      <c r="K26" s="82">
        <v>21</v>
      </c>
      <c r="L26" s="83">
        <v>3</v>
      </c>
      <c r="M26" s="83">
        <v>0</v>
      </c>
      <c r="N26" s="83">
        <v>3</v>
      </c>
      <c r="O26" s="83">
        <v>6</v>
      </c>
      <c r="P26" s="86">
        <v>6135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6" thickTop="1" thickBot="1" x14ac:dyDescent="0.35">
      <c r="A27" s="82">
        <v>22</v>
      </c>
      <c r="B27" s="83">
        <v>4967</v>
      </c>
      <c r="C27" s="83">
        <v>0</v>
      </c>
      <c r="D27" s="83">
        <v>1539</v>
      </c>
      <c r="E27" s="83">
        <v>310</v>
      </c>
      <c r="F27" s="83">
        <v>230</v>
      </c>
      <c r="G27" s="83">
        <v>501</v>
      </c>
      <c r="H27" s="83">
        <v>7547</v>
      </c>
      <c r="I27" s="83">
        <v>0</v>
      </c>
      <c r="J27" s="85"/>
      <c r="K27" s="82">
        <v>22</v>
      </c>
      <c r="L27" s="83">
        <v>4</v>
      </c>
      <c r="M27" s="83">
        <v>16</v>
      </c>
      <c r="N27" s="83">
        <v>3</v>
      </c>
      <c r="O27" s="83">
        <v>23</v>
      </c>
      <c r="P27" s="86">
        <v>6135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6" thickTop="1" thickBot="1" x14ac:dyDescent="0.35">
      <c r="A28" s="82">
        <v>23</v>
      </c>
      <c r="B28" s="83">
        <v>4021</v>
      </c>
      <c r="C28" s="83">
        <v>0</v>
      </c>
      <c r="D28" s="83">
        <v>1791</v>
      </c>
      <c r="E28" s="83">
        <v>252</v>
      </c>
      <c r="F28" s="83">
        <v>289</v>
      </c>
      <c r="G28" s="83">
        <v>468</v>
      </c>
      <c r="H28" s="83">
        <v>6821</v>
      </c>
      <c r="I28" s="83">
        <v>0</v>
      </c>
      <c r="J28" s="85"/>
      <c r="K28" s="82">
        <v>23</v>
      </c>
      <c r="L28" s="83">
        <v>6</v>
      </c>
      <c r="M28" s="83">
        <v>23</v>
      </c>
      <c r="N28" s="83">
        <v>5</v>
      </c>
      <c r="O28" s="83">
        <v>34</v>
      </c>
      <c r="P28" s="86">
        <v>6135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6" thickTop="1" thickBot="1" x14ac:dyDescent="0.35">
      <c r="A29" s="82">
        <v>24</v>
      </c>
      <c r="B29" s="83">
        <v>4029</v>
      </c>
      <c r="C29" s="83">
        <v>0</v>
      </c>
      <c r="D29" s="83">
        <v>1836</v>
      </c>
      <c r="E29" s="83">
        <v>259</v>
      </c>
      <c r="F29" s="83">
        <v>341</v>
      </c>
      <c r="G29" s="83">
        <v>538</v>
      </c>
      <c r="H29" s="83">
        <v>7003</v>
      </c>
      <c r="I29" s="83">
        <v>0</v>
      </c>
      <c r="J29" s="85"/>
      <c r="K29" s="82">
        <v>24</v>
      </c>
      <c r="L29" s="83">
        <v>6</v>
      </c>
      <c r="M29" s="83">
        <v>12</v>
      </c>
      <c r="N29" s="83">
        <v>9</v>
      </c>
      <c r="O29" s="83">
        <v>27</v>
      </c>
      <c r="P29" s="86">
        <v>6135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6" thickTop="1" thickBot="1" x14ac:dyDescent="0.35">
      <c r="A30" s="82">
        <v>25</v>
      </c>
      <c r="B30" s="83">
        <v>5312</v>
      </c>
      <c r="C30" s="83">
        <v>0</v>
      </c>
      <c r="D30" s="83">
        <v>1754</v>
      </c>
      <c r="E30" s="83">
        <v>282</v>
      </c>
      <c r="F30" s="83">
        <v>305</v>
      </c>
      <c r="G30" s="83">
        <v>475</v>
      </c>
      <c r="H30" s="83">
        <v>8128</v>
      </c>
      <c r="I30" s="83">
        <v>0</v>
      </c>
      <c r="J30" s="85"/>
      <c r="K30" s="82">
        <v>25</v>
      </c>
      <c r="L30" s="83">
        <v>10</v>
      </c>
      <c r="M30" s="83">
        <v>4</v>
      </c>
      <c r="N30" s="83">
        <v>9</v>
      </c>
      <c r="O30" s="83">
        <v>23</v>
      </c>
      <c r="P30" s="86">
        <v>6135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6" thickTop="1" thickBot="1" x14ac:dyDescent="0.35">
      <c r="A31" s="82">
        <v>26</v>
      </c>
      <c r="B31" s="83">
        <v>5908</v>
      </c>
      <c r="C31" s="83">
        <v>0</v>
      </c>
      <c r="D31" s="83">
        <v>1550</v>
      </c>
      <c r="E31" s="83">
        <v>239</v>
      </c>
      <c r="F31" s="83">
        <v>280</v>
      </c>
      <c r="G31" s="83">
        <v>407</v>
      </c>
      <c r="H31" s="83">
        <v>8384</v>
      </c>
      <c r="I31" s="83">
        <v>0</v>
      </c>
      <c r="J31" s="85"/>
      <c r="K31" s="82">
        <v>26</v>
      </c>
      <c r="L31" s="83">
        <v>12</v>
      </c>
      <c r="M31" s="83">
        <v>10</v>
      </c>
      <c r="N31" s="83">
        <v>3</v>
      </c>
      <c r="O31" s="83">
        <v>25</v>
      </c>
      <c r="P31" s="86">
        <v>6135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6" thickTop="1" thickBot="1" x14ac:dyDescent="0.35">
      <c r="A32" s="82">
        <v>27</v>
      </c>
      <c r="B32" s="83">
        <v>7021</v>
      </c>
      <c r="C32" s="83">
        <v>0</v>
      </c>
      <c r="D32" s="83">
        <v>1167</v>
      </c>
      <c r="E32" s="83">
        <v>165</v>
      </c>
      <c r="F32" s="83">
        <v>178</v>
      </c>
      <c r="G32" s="83">
        <v>344</v>
      </c>
      <c r="H32" s="83">
        <v>8875</v>
      </c>
      <c r="I32" s="83">
        <v>0</v>
      </c>
      <c r="J32" s="85"/>
      <c r="K32" s="82">
        <v>27</v>
      </c>
      <c r="L32" s="83">
        <v>10</v>
      </c>
      <c r="M32" s="83">
        <v>6</v>
      </c>
      <c r="N32" s="83">
        <v>4</v>
      </c>
      <c r="O32" s="83">
        <v>20</v>
      </c>
      <c r="P32" s="86">
        <v>6135</v>
      </c>
    </row>
    <row r="33" spans="1:16" ht="15.6" thickTop="1" thickBot="1" x14ac:dyDescent="0.35">
      <c r="A33" s="82">
        <v>28</v>
      </c>
      <c r="B33" s="83">
        <v>4003</v>
      </c>
      <c r="C33" s="83">
        <v>0</v>
      </c>
      <c r="D33" s="83">
        <v>1359</v>
      </c>
      <c r="E33" s="83">
        <v>296</v>
      </c>
      <c r="F33" s="83">
        <v>217</v>
      </c>
      <c r="G33" s="83">
        <v>435</v>
      </c>
      <c r="H33" s="83">
        <v>6310</v>
      </c>
      <c r="I33" s="83">
        <v>0</v>
      </c>
      <c r="J33" s="85"/>
      <c r="K33" s="82">
        <v>28</v>
      </c>
      <c r="L33" s="83">
        <v>1</v>
      </c>
      <c r="M33" s="83">
        <v>14</v>
      </c>
      <c r="N33" s="83">
        <v>2</v>
      </c>
      <c r="O33" s="83">
        <v>17</v>
      </c>
      <c r="P33" s="86">
        <v>6135</v>
      </c>
    </row>
    <row r="34" spans="1:16" ht="15.6" thickTop="1" thickBot="1" x14ac:dyDescent="0.35">
      <c r="A34" s="82">
        <v>29</v>
      </c>
      <c r="B34" s="83">
        <v>3657</v>
      </c>
      <c r="C34" s="83">
        <v>0</v>
      </c>
      <c r="D34" s="83">
        <v>1811</v>
      </c>
      <c r="E34" s="83">
        <v>308</v>
      </c>
      <c r="F34" s="83">
        <v>288</v>
      </c>
      <c r="G34" s="83">
        <v>434</v>
      </c>
      <c r="H34" s="83">
        <v>6498</v>
      </c>
      <c r="I34" s="83">
        <v>0</v>
      </c>
      <c r="J34" s="85"/>
      <c r="K34" s="82">
        <v>29</v>
      </c>
      <c r="L34" s="83">
        <v>5</v>
      </c>
      <c r="M34" s="83">
        <v>10</v>
      </c>
      <c r="N34" s="83">
        <v>3</v>
      </c>
      <c r="O34" s="83">
        <v>18</v>
      </c>
      <c r="P34" s="86">
        <v>6135</v>
      </c>
    </row>
    <row r="35" spans="1:16" ht="15.6" thickTop="1" thickBot="1" x14ac:dyDescent="0.35">
      <c r="A35" s="82">
        <v>30</v>
      </c>
      <c r="B35" s="83">
        <v>3716</v>
      </c>
      <c r="C35" s="83">
        <v>0</v>
      </c>
      <c r="D35" s="83">
        <v>1815</v>
      </c>
      <c r="E35" s="83">
        <v>291</v>
      </c>
      <c r="F35" s="83">
        <v>324</v>
      </c>
      <c r="G35" s="83">
        <v>427</v>
      </c>
      <c r="H35" s="83">
        <v>6573</v>
      </c>
      <c r="I35" s="83">
        <v>0</v>
      </c>
      <c r="J35" s="85"/>
      <c r="K35" s="82">
        <v>30</v>
      </c>
      <c r="L35" s="83">
        <v>8</v>
      </c>
      <c r="M35" s="83">
        <v>9</v>
      </c>
      <c r="N35" s="83">
        <v>6</v>
      </c>
      <c r="O35" s="83">
        <v>23</v>
      </c>
      <c r="P35" s="86">
        <v>6135</v>
      </c>
    </row>
    <row r="36" spans="1:16" ht="15.6" thickTop="1" thickBot="1" x14ac:dyDescent="0.35">
      <c r="A36" s="82">
        <v>31</v>
      </c>
      <c r="B36" s="83">
        <v>3581</v>
      </c>
      <c r="C36" s="83">
        <v>0</v>
      </c>
      <c r="D36" s="83">
        <v>1703</v>
      </c>
      <c r="E36" s="83">
        <v>265</v>
      </c>
      <c r="F36" s="83">
        <v>252</v>
      </c>
      <c r="G36" s="83">
        <v>500</v>
      </c>
      <c r="H36" s="83">
        <v>6301</v>
      </c>
      <c r="I36" s="83">
        <v>0</v>
      </c>
      <c r="J36" s="85"/>
      <c r="K36" s="82">
        <v>31</v>
      </c>
      <c r="L36" s="88">
        <v>3</v>
      </c>
      <c r="M36" s="88">
        <v>4</v>
      </c>
      <c r="N36" s="88">
        <v>8</v>
      </c>
      <c r="O36" s="83">
        <v>15</v>
      </c>
      <c r="P36" s="86">
        <v>6135</v>
      </c>
    </row>
    <row r="37" spans="1:16" ht="15" thickTop="1" x14ac:dyDescent="0.3">
      <c r="A37" s="42" t="s">
        <v>19</v>
      </c>
      <c r="B37" s="55">
        <v>164864</v>
      </c>
      <c r="C37" s="55">
        <v>0</v>
      </c>
      <c r="D37" s="55">
        <v>46503</v>
      </c>
      <c r="E37" s="55">
        <v>7426</v>
      </c>
      <c r="F37" s="55">
        <v>8045</v>
      </c>
      <c r="G37" s="55">
        <v>13097</v>
      </c>
      <c r="H37" s="55">
        <v>239935</v>
      </c>
      <c r="I37" s="55">
        <v>0</v>
      </c>
      <c r="J37" s="55"/>
      <c r="K37" s="55"/>
      <c r="L37" s="55">
        <v>173</v>
      </c>
      <c r="M37" s="55">
        <v>374</v>
      </c>
      <c r="N37" s="55">
        <v>150</v>
      </c>
      <c r="O37" s="55">
        <v>697</v>
      </c>
      <c r="P37" s="55">
        <v>190185</v>
      </c>
    </row>
    <row r="38" spans="1:16" x14ac:dyDescent="0.3">
      <c r="A38" s="42" t="s">
        <v>19</v>
      </c>
      <c r="B38" s="166">
        <v>164864</v>
      </c>
      <c r="C38" s="166"/>
      <c r="D38" s="55">
        <v>46503</v>
      </c>
      <c r="E38" s="55">
        <v>7426</v>
      </c>
      <c r="F38" s="55">
        <v>8045</v>
      </c>
      <c r="G38" s="55">
        <v>13097</v>
      </c>
      <c r="H38" s="55">
        <v>239935</v>
      </c>
      <c r="I38" s="55">
        <v>0</v>
      </c>
      <c r="J38" s="66"/>
      <c r="K38" s="42"/>
      <c r="L38" s="67" t="s">
        <v>23</v>
      </c>
      <c r="M38" s="67" t="s">
        <v>24</v>
      </c>
      <c r="N38" s="67" t="s">
        <v>23</v>
      </c>
      <c r="O38" s="67" t="s">
        <v>24</v>
      </c>
      <c r="P38" s="60"/>
    </row>
    <row r="39" spans="1:16" x14ac:dyDescent="0.3">
      <c r="A39" s="68" t="s">
        <v>20</v>
      </c>
      <c r="B39" s="70"/>
      <c r="C39" s="70"/>
      <c r="D39" s="70"/>
      <c r="E39" s="70"/>
      <c r="F39" s="70"/>
      <c r="G39" s="70"/>
      <c r="H39" s="70"/>
      <c r="I39" s="60"/>
      <c r="J39" s="60"/>
      <c r="K39" s="60"/>
      <c r="L39" s="73"/>
      <c r="M39" s="60"/>
      <c r="N39" s="60"/>
      <c r="O39" s="60"/>
      <c r="P39" s="60"/>
    </row>
    <row r="40" spans="1:16" x14ac:dyDescent="0.3">
      <c r="A40" s="78"/>
      <c r="B40" s="79"/>
      <c r="C40" s="79"/>
      <c r="D40" s="79"/>
      <c r="E40" s="79"/>
      <c r="F40" s="79"/>
      <c r="G40" s="79"/>
      <c r="H40" s="79"/>
      <c r="I40" s="79"/>
      <c r="J40" s="73"/>
      <c r="K40" s="23"/>
      <c r="L40" s="22"/>
      <c r="M40" s="60"/>
      <c r="N40" s="60"/>
      <c r="O40" s="60"/>
      <c r="P40" s="60"/>
    </row>
    <row r="41" spans="1:16" x14ac:dyDescent="0.3">
      <c r="A41" s="69"/>
      <c r="B41" s="60"/>
      <c r="C41" s="60"/>
      <c r="D41" s="60"/>
      <c r="E41" s="60"/>
      <c r="F41" s="60"/>
      <c r="G41" s="60"/>
      <c r="H41" s="69"/>
      <c r="I41" s="60"/>
      <c r="J41" s="60"/>
      <c r="K41" s="23"/>
      <c r="L41" s="22"/>
      <c r="M41" s="60"/>
      <c r="N41" s="60"/>
      <c r="O41" s="60"/>
      <c r="P41" s="60"/>
    </row>
    <row r="42" spans="1:16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23"/>
      <c r="L42" s="22"/>
      <c r="M42" s="60"/>
      <c r="N42" s="60"/>
      <c r="O42" s="60"/>
      <c r="P42" s="60"/>
    </row>
    <row r="43" spans="1:16" x14ac:dyDescent="0.3">
      <c r="A43" s="60"/>
      <c r="B43" s="60"/>
      <c r="C43" s="60"/>
      <c r="D43" s="60"/>
      <c r="E43" s="60"/>
      <c r="F43" s="60"/>
      <c r="G43" s="60"/>
      <c r="H43" s="60"/>
      <c r="I43" s="69"/>
      <c r="J43" s="69"/>
      <c r="K43" s="60"/>
      <c r="L43" s="60"/>
      <c r="M43" s="60"/>
      <c r="N43" s="60"/>
      <c r="O43" s="60"/>
      <c r="P43" s="60"/>
    </row>
    <row r="45" spans="1:16" x14ac:dyDescent="0.3">
      <c r="A45" s="77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</row>
    <row r="46" spans="1:16" x14ac:dyDescent="0.3">
      <c r="A46" s="77"/>
      <c r="B46" s="69"/>
      <c r="C46" s="69"/>
      <c r="D46" s="69"/>
      <c r="E46" s="69"/>
      <c r="F46" s="69"/>
      <c r="G46" s="69"/>
      <c r="H46" s="69"/>
      <c r="I46" s="69"/>
      <c r="J46" s="69"/>
      <c r="K46" s="74"/>
      <c r="L46" s="69"/>
      <c r="M46" s="69"/>
      <c r="N46" s="69"/>
      <c r="O46" s="69"/>
      <c r="P46" s="60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BB12-0C1E-48BC-8FEA-CC12480D721D}">
  <dimension ref="A1:Z46"/>
  <sheetViews>
    <sheetView workbookViewId="0">
      <selection activeCell="D12" sqref="D12"/>
    </sheetView>
  </sheetViews>
  <sheetFormatPr baseColWidth="10" defaultRowHeight="14.4" x14ac:dyDescent="0.3"/>
  <cols>
    <col min="16" max="16" width="0" hidden="1" customWidth="1"/>
  </cols>
  <sheetData>
    <row r="1" spans="1:26" s="58" customFormat="1" ht="15.6" x14ac:dyDescent="0.3">
      <c r="A1" s="155" t="s">
        <v>35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26" s="58" customFormat="1" ht="15.6" x14ac:dyDescent="0.3">
      <c r="A2" s="155" t="s">
        <v>36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26" ht="15.6" x14ac:dyDescent="0.3">
      <c r="A3" s="164" t="s">
        <v>26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71"/>
      <c r="Q3" s="71"/>
      <c r="R3" s="71"/>
      <c r="S3" s="71"/>
    </row>
    <row r="4" spans="1:26" ht="82.8" x14ac:dyDescent="0.3">
      <c r="A4" s="162" t="s">
        <v>1</v>
      </c>
      <c r="B4" s="165" t="s">
        <v>2</v>
      </c>
      <c r="C4" s="165"/>
      <c r="D4" s="43" t="s">
        <v>3</v>
      </c>
      <c r="E4" s="43" t="s">
        <v>4</v>
      </c>
      <c r="F4" s="43" t="s">
        <v>5</v>
      </c>
      <c r="G4" s="43" t="s">
        <v>6</v>
      </c>
      <c r="H4" s="165" t="s">
        <v>7</v>
      </c>
      <c r="I4" s="165" t="s">
        <v>8</v>
      </c>
      <c r="J4" s="61"/>
      <c r="K4" s="167" t="s">
        <v>1</v>
      </c>
      <c r="L4" s="165" t="s">
        <v>9</v>
      </c>
      <c r="M4" s="165" t="s">
        <v>10</v>
      </c>
      <c r="N4" s="165" t="s">
        <v>11</v>
      </c>
      <c r="O4" s="165" t="s">
        <v>12</v>
      </c>
      <c r="P4" s="60"/>
      <c r="Q4" s="60"/>
      <c r="R4" s="60"/>
      <c r="S4" s="60"/>
    </row>
    <row r="5" spans="1:26" x14ac:dyDescent="0.3">
      <c r="A5" s="163"/>
      <c r="B5" s="42" t="s">
        <v>13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165"/>
      <c r="I5" s="165"/>
      <c r="J5" s="61"/>
      <c r="K5" s="167"/>
      <c r="L5" s="165"/>
      <c r="M5" s="165"/>
      <c r="N5" s="165"/>
      <c r="O5" s="165"/>
      <c r="P5" s="60"/>
      <c r="Q5" s="60"/>
      <c r="R5" s="60"/>
      <c r="S5" s="60"/>
    </row>
    <row r="6" spans="1:26" ht="15" thickBot="1" x14ac:dyDescent="0.35">
      <c r="A6" s="90">
        <v>1</v>
      </c>
      <c r="B6" s="91">
        <v>5073</v>
      </c>
      <c r="C6" s="91">
        <v>0</v>
      </c>
      <c r="D6" s="91">
        <v>1756</v>
      </c>
      <c r="E6" s="91">
        <v>299</v>
      </c>
      <c r="F6" s="91">
        <v>265</v>
      </c>
      <c r="G6" s="91">
        <v>471</v>
      </c>
      <c r="H6" s="91">
        <v>7864</v>
      </c>
      <c r="I6" s="91">
        <v>0</v>
      </c>
      <c r="J6" s="92"/>
      <c r="K6" s="90">
        <v>1</v>
      </c>
      <c r="L6" s="91">
        <v>4</v>
      </c>
      <c r="M6" s="91">
        <v>14</v>
      </c>
      <c r="N6" s="91">
        <v>4</v>
      </c>
      <c r="O6" s="91">
        <v>22</v>
      </c>
      <c r="P6" s="95">
        <v>6135</v>
      </c>
      <c r="Q6" s="60"/>
      <c r="R6" s="60"/>
      <c r="S6" s="60"/>
    </row>
    <row r="7" spans="1:26" ht="15.6" thickTop="1" thickBot="1" x14ac:dyDescent="0.35">
      <c r="A7" s="90">
        <v>2</v>
      </c>
      <c r="B7" s="91">
        <v>6170</v>
      </c>
      <c r="C7" s="91">
        <v>0</v>
      </c>
      <c r="D7" s="91">
        <v>1716</v>
      </c>
      <c r="E7" s="91">
        <v>219</v>
      </c>
      <c r="F7" s="91">
        <v>327</v>
      </c>
      <c r="G7" s="91">
        <v>368</v>
      </c>
      <c r="H7" s="91">
        <v>8800</v>
      </c>
      <c r="I7" s="91">
        <v>0</v>
      </c>
      <c r="J7" s="92"/>
      <c r="K7" s="90">
        <v>2</v>
      </c>
      <c r="L7" s="91">
        <v>10</v>
      </c>
      <c r="M7" s="91">
        <v>17</v>
      </c>
      <c r="N7" s="91">
        <v>10</v>
      </c>
      <c r="O7" s="91">
        <v>37</v>
      </c>
      <c r="P7" s="95">
        <v>6135</v>
      </c>
      <c r="Q7" s="60"/>
      <c r="R7" s="60"/>
      <c r="S7" s="60"/>
    </row>
    <row r="8" spans="1:26" ht="15.6" thickTop="1" thickBot="1" x14ac:dyDescent="0.35">
      <c r="A8" s="90">
        <v>3</v>
      </c>
      <c r="B8" s="91">
        <v>7154</v>
      </c>
      <c r="C8" s="91">
        <v>0</v>
      </c>
      <c r="D8" s="91">
        <v>1208</v>
      </c>
      <c r="E8" s="91">
        <v>123</v>
      </c>
      <c r="F8" s="91">
        <v>211</v>
      </c>
      <c r="G8" s="91">
        <v>275</v>
      </c>
      <c r="H8" s="91">
        <v>8971</v>
      </c>
      <c r="I8" s="91">
        <v>0</v>
      </c>
      <c r="J8" s="92"/>
      <c r="K8" s="90">
        <v>3</v>
      </c>
      <c r="L8" s="91">
        <v>3</v>
      </c>
      <c r="M8" s="91">
        <v>2</v>
      </c>
      <c r="N8" s="91">
        <v>3</v>
      </c>
      <c r="O8" s="91">
        <v>8</v>
      </c>
      <c r="P8" s="95">
        <v>6135</v>
      </c>
      <c r="Q8" s="60"/>
      <c r="R8" s="60"/>
      <c r="S8" s="69"/>
    </row>
    <row r="9" spans="1:26" ht="15.6" thickTop="1" thickBot="1" x14ac:dyDescent="0.35">
      <c r="A9" s="90">
        <v>4</v>
      </c>
      <c r="B9" s="91">
        <v>3856</v>
      </c>
      <c r="C9" s="91">
        <v>0</v>
      </c>
      <c r="D9" s="91">
        <v>1472</v>
      </c>
      <c r="E9" s="91">
        <v>295</v>
      </c>
      <c r="F9" s="91">
        <v>235</v>
      </c>
      <c r="G9" s="91">
        <v>469</v>
      </c>
      <c r="H9" s="91">
        <v>6327</v>
      </c>
      <c r="I9" s="91">
        <v>0</v>
      </c>
      <c r="J9" s="92"/>
      <c r="K9" s="90">
        <v>4</v>
      </c>
      <c r="L9" s="91">
        <v>16</v>
      </c>
      <c r="M9" s="91">
        <v>4</v>
      </c>
      <c r="N9" s="91">
        <v>3</v>
      </c>
      <c r="O9" s="91">
        <v>23</v>
      </c>
      <c r="P9" s="95">
        <v>6135</v>
      </c>
      <c r="Q9" s="60"/>
      <c r="R9" s="60"/>
      <c r="S9" s="60"/>
    </row>
    <row r="10" spans="1:26" ht="15.6" thickTop="1" thickBot="1" x14ac:dyDescent="0.35">
      <c r="A10" s="90">
        <v>5</v>
      </c>
      <c r="B10" s="91">
        <v>3776</v>
      </c>
      <c r="C10" s="91">
        <v>0</v>
      </c>
      <c r="D10" s="91">
        <v>1807</v>
      </c>
      <c r="E10" s="91">
        <v>273</v>
      </c>
      <c r="F10" s="91">
        <v>283</v>
      </c>
      <c r="G10" s="91">
        <v>510</v>
      </c>
      <c r="H10" s="91">
        <v>6649</v>
      </c>
      <c r="I10" s="91">
        <v>0</v>
      </c>
      <c r="J10" s="92"/>
      <c r="K10" s="90">
        <v>5</v>
      </c>
      <c r="L10" s="91">
        <v>9</v>
      </c>
      <c r="M10" s="91">
        <v>13</v>
      </c>
      <c r="N10" s="91">
        <v>5</v>
      </c>
      <c r="O10" s="91">
        <v>27</v>
      </c>
      <c r="P10" s="95">
        <v>6135</v>
      </c>
      <c r="Q10" s="60"/>
      <c r="R10" s="60"/>
      <c r="S10" s="60"/>
    </row>
    <row r="11" spans="1:26" ht="15.6" thickTop="1" thickBot="1" x14ac:dyDescent="0.35">
      <c r="A11" s="90">
        <v>6</v>
      </c>
      <c r="B11" s="91">
        <v>3515</v>
      </c>
      <c r="C11" s="91">
        <v>0</v>
      </c>
      <c r="D11" s="91">
        <v>1727</v>
      </c>
      <c r="E11" s="91">
        <v>255</v>
      </c>
      <c r="F11" s="91">
        <v>304</v>
      </c>
      <c r="G11" s="91">
        <v>485</v>
      </c>
      <c r="H11" s="91">
        <v>6286</v>
      </c>
      <c r="I11" s="91">
        <v>0</v>
      </c>
      <c r="J11" s="92"/>
      <c r="K11" s="90">
        <v>6</v>
      </c>
      <c r="L11" s="91">
        <v>18</v>
      </c>
      <c r="M11" s="91">
        <v>21</v>
      </c>
      <c r="N11" s="91">
        <v>4</v>
      </c>
      <c r="O11" s="91">
        <v>43</v>
      </c>
      <c r="P11" s="95">
        <v>6135</v>
      </c>
      <c r="Q11" s="60"/>
      <c r="R11" s="60"/>
      <c r="S11" s="60"/>
    </row>
    <row r="12" spans="1:26" ht="15.6" thickTop="1" thickBot="1" x14ac:dyDescent="0.35">
      <c r="A12" s="90">
        <v>7</v>
      </c>
      <c r="B12" s="91">
        <v>4500</v>
      </c>
      <c r="C12" s="91">
        <v>0</v>
      </c>
      <c r="D12" s="91">
        <v>1814</v>
      </c>
      <c r="E12" s="91">
        <v>291</v>
      </c>
      <c r="F12" s="91">
        <v>281</v>
      </c>
      <c r="G12" s="91">
        <v>591</v>
      </c>
      <c r="H12" s="91">
        <v>7477</v>
      </c>
      <c r="I12" s="91">
        <v>0</v>
      </c>
      <c r="J12" s="93"/>
      <c r="K12" s="90">
        <v>7</v>
      </c>
      <c r="L12" s="91">
        <v>5</v>
      </c>
      <c r="M12" s="91">
        <v>16</v>
      </c>
      <c r="N12" s="91">
        <v>6</v>
      </c>
      <c r="O12" s="91">
        <v>27</v>
      </c>
      <c r="P12" s="95">
        <v>6135</v>
      </c>
      <c r="Q12" s="60"/>
      <c r="R12" s="60"/>
      <c r="S12" s="60"/>
    </row>
    <row r="13" spans="1:26" ht="15.6" thickTop="1" thickBot="1" x14ac:dyDescent="0.35">
      <c r="A13" s="90">
        <v>8</v>
      </c>
      <c r="B13" s="91">
        <v>5493</v>
      </c>
      <c r="C13" s="91">
        <v>0</v>
      </c>
      <c r="D13" s="91">
        <v>1209</v>
      </c>
      <c r="E13" s="91">
        <v>196</v>
      </c>
      <c r="F13" s="91">
        <v>171</v>
      </c>
      <c r="G13" s="91">
        <v>322</v>
      </c>
      <c r="H13" s="91">
        <v>7391</v>
      </c>
      <c r="I13" s="91">
        <v>0</v>
      </c>
      <c r="J13" s="93"/>
      <c r="K13" s="90">
        <v>8</v>
      </c>
      <c r="L13" s="91">
        <v>2</v>
      </c>
      <c r="M13" s="91">
        <v>12</v>
      </c>
      <c r="N13" s="91">
        <v>6</v>
      </c>
      <c r="O13" s="91">
        <v>20</v>
      </c>
      <c r="P13" s="95">
        <v>6135</v>
      </c>
      <c r="Q13" s="60"/>
      <c r="R13" s="60"/>
      <c r="S13" s="60"/>
    </row>
    <row r="14" spans="1:26" ht="15.6" thickTop="1" thickBot="1" x14ac:dyDescent="0.35">
      <c r="A14" s="90">
        <v>9</v>
      </c>
      <c r="B14" s="91">
        <v>11025</v>
      </c>
      <c r="C14" s="91">
        <v>0</v>
      </c>
      <c r="D14" s="91">
        <v>1309</v>
      </c>
      <c r="E14" s="91">
        <v>151</v>
      </c>
      <c r="F14" s="91">
        <v>181</v>
      </c>
      <c r="G14" s="91">
        <v>303</v>
      </c>
      <c r="H14" s="91">
        <v>12969</v>
      </c>
      <c r="I14" s="91">
        <v>0</v>
      </c>
      <c r="J14" s="93"/>
      <c r="K14" s="90">
        <v>9</v>
      </c>
      <c r="L14" s="91">
        <v>2</v>
      </c>
      <c r="M14" s="91">
        <v>14</v>
      </c>
      <c r="N14" s="91">
        <v>6</v>
      </c>
      <c r="O14" s="91">
        <v>22</v>
      </c>
      <c r="P14" s="96">
        <v>6135</v>
      </c>
      <c r="Q14" s="72"/>
      <c r="R14" s="72"/>
      <c r="S14" s="72"/>
    </row>
    <row r="15" spans="1:26" ht="15.6" thickTop="1" thickBot="1" x14ac:dyDescent="0.35">
      <c r="A15" s="90">
        <v>10</v>
      </c>
      <c r="B15" s="91">
        <v>9493</v>
      </c>
      <c r="C15" s="91">
        <v>0</v>
      </c>
      <c r="D15" s="91">
        <v>1359</v>
      </c>
      <c r="E15" s="91">
        <v>245</v>
      </c>
      <c r="F15" s="91">
        <v>240</v>
      </c>
      <c r="G15" s="91">
        <v>451</v>
      </c>
      <c r="H15" s="91">
        <v>11788</v>
      </c>
      <c r="I15" s="91">
        <v>0</v>
      </c>
      <c r="J15" s="93"/>
      <c r="K15" s="90">
        <v>10</v>
      </c>
      <c r="L15" s="91">
        <v>10</v>
      </c>
      <c r="M15" s="91">
        <v>13</v>
      </c>
      <c r="N15" s="91">
        <v>5</v>
      </c>
      <c r="O15" s="91">
        <v>28</v>
      </c>
      <c r="P15" s="95">
        <v>6135</v>
      </c>
      <c r="Q15" s="60"/>
      <c r="R15" s="60"/>
      <c r="S15" s="60"/>
    </row>
    <row r="16" spans="1:26" ht="15.6" thickTop="1" thickBot="1" x14ac:dyDescent="0.35">
      <c r="A16" s="90">
        <v>11</v>
      </c>
      <c r="B16" s="91">
        <v>6530</v>
      </c>
      <c r="C16" s="91">
        <v>0</v>
      </c>
      <c r="D16" s="91">
        <v>1415</v>
      </c>
      <c r="E16" s="91">
        <v>250</v>
      </c>
      <c r="F16" s="91">
        <v>230</v>
      </c>
      <c r="G16" s="91">
        <v>421</v>
      </c>
      <c r="H16" s="91">
        <v>8846</v>
      </c>
      <c r="I16" s="91">
        <v>0</v>
      </c>
      <c r="J16" s="93"/>
      <c r="K16" s="90">
        <v>11</v>
      </c>
      <c r="L16" s="91">
        <v>17</v>
      </c>
      <c r="M16" s="91">
        <v>15</v>
      </c>
      <c r="N16" s="91">
        <v>3</v>
      </c>
      <c r="O16" s="91">
        <v>35</v>
      </c>
      <c r="P16" s="95">
        <v>6135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6" thickTop="1" thickBot="1" x14ac:dyDescent="0.35">
      <c r="A17" s="90">
        <v>12</v>
      </c>
      <c r="B17" s="91">
        <v>7679</v>
      </c>
      <c r="C17" s="91">
        <v>0</v>
      </c>
      <c r="D17" s="91">
        <v>1555</v>
      </c>
      <c r="E17" s="91">
        <v>222</v>
      </c>
      <c r="F17" s="91">
        <v>295</v>
      </c>
      <c r="G17" s="91">
        <v>422</v>
      </c>
      <c r="H17" s="91">
        <v>10173</v>
      </c>
      <c r="I17" s="91">
        <v>0</v>
      </c>
      <c r="J17" s="93"/>
      <c r="K17" s="90">
        <v>12</v>
      </c>
      <c r="L17" s="91">
        <v>1</v>
      </c>
      <c r="M17" s="91">
        <v>34</v>
      </c>
      <c r="N17" s="91">
        <v>5</v>
      </c>
      <c r="O17" s="91">
        <v>40</v>
      </c>
      <c r="P17" s="95">
        <v>6135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6" thickTop="1" thickBot="1" x14ac:dyDescent="0.35">
      <c r="A18" s="90">
        <v>13</v>
      </c>
      <c r="B18" s="91">
        <v>12543</v>
      </c>
      <c r="C18" s="91">
        <v>0</v>
      </c>
      <c r="D18" s="91">
        <v>1437</v>
      </c>
      <c r="E18" s="91">
        <v>165</v>
      </c>
      <c r="F18" s="91">
        <v>209</v>
      </c>
      <c r="G18" s="91">
        <v>292</v>
      </c>
      <c r="H18" s="91">
        <v>14646</v>
      </c>
      <c r="I18" s="91">
        <v>0</v>
      </c>
      <c r="J18" s="93"/>
      <c r="K18" s="90">
        <v>13</v>
      </c>
      <c r="L18" s="91">
        <v>3</v>
      </c>
      <c r="M18" s="91">
        <v>16</v>
      </c>
      <c r="N18" s="91">
        <v>4</v>
      </c>
      <c r="O18" s="91">
        <v>23</v>
      </c>
      <c r="P18" s="95">
        <v>6135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6" thickTop="1" thickBot="1" x14ac:dyDescent="0.35">
      <c r="A19" s="90">
        <v>14</v>
      </c>
      <c r="B19" s="91">
        <v>12515</v>
      </c>
      <c r="C19" s="91">
        <v>0</v>
      </c>
      <c r="D19" s="91">
        <v>1033</v>
      </c>
      <c r="E19" s="91">
        <v>91</v>
      </c>
      <c r="F19" s="91">
        <v>182</v>
      </c>
      <c r="G19" s="91">
        <v>171</v>
      </c>
      <c r="H19" s="91">
        <v>13992</v>
      </c>
      <c r="I19" s="91">
        <v>0</v>
      </c>
      <c r="J19" s="93"/>
      <c r="K19" s="90">
        <v>14</v>
      </c>
      <c r="L19" s="91">
        <v>1</v>
      </c>
      <c r="M19" s="91">
        <v>12</v>
      </c>
      <c r="N19" s="91">
        <v>1</v>
      </c>
      <c r="O19" s="91">
        <v>14</v>
      </c>
      <c r="P19" s="95">
        <v>6135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6" thickTop="1" thickBot="1" x14ac:dyDescent="0.35">
      <c r="A20" s="90">
        <v>15</v>
      </c>
      <c r="B20" s="91">
        <v>6683</v>
      </c>
      <c r="C20" s="91">
        <v>0</v>
      </c>
      <c r="D20" s="91">
        <v>578</v>
      </c>
      <c r="E20" s="91">
        <v>74</v>
      </c>
      <c r="F20" s="91">
        <v>111</v>
      </c>
      <c r="G20" s="91">
        <v>155</v>
      </c>
      <c r="H20" s="91">
        <v>7601</v>
      </c>
      <c r="I20" s="91">
        <v>0</v>
      </c>
      <c r="J20" s="93"/>
      <c r="K20" s="90">
        <v>15</v>
      </c>
      <c r="L20" s="91">
        <v>1</v>
      </c>
      <c r="M20" s="91">
        <v>8</v>
      </c>
      <c r="N20" s="91">
        <v>0</v>
      </c>
      <c r="O20" s="91">
        <v>9</v>
      </c>
      <c r="P20" s="95">
        <v>6135</v>
      </c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6" thickTop="1" thickBot="1" x14ac:dyDescent="0.35">
      <c r="A21" s="90">
        <v>16</v>
      </c>
      <c r="B21" s="91">
        <v>14976</v>
      </c>
      <c r="C21" s="91">
        <v>0</v>
      </c>
      <c r="D21" s="91">
        <v>608</v>
      </c>
      <c r="E21" s="91">
        <v>58</v>
      </c>
      <c r="F21" s="91">
        <v>51</v>
      </c>
      <c r="G21" s="91">
        <v>106</v>
      </c>
      <c r="H21" s="91">
        <v>15799</v>
      </c>
      <c r="I21" s="91">
        <v>0</v>
      </c>
      <c r="J21" s="93"/>
      <c r="K21" s="90">
        <v>16</v>
      </c>
      <c r="L21" s="91">
        <v>2</v>
      </c>
      <c r="M21" s="91">
        <v>10</v>
      </c>
      <c r="N21" s="91">
        <v>2</v>
      </c>
      <c r="O21" s="91">
        <v>14</v>
      </c>
      <c r="P21" s="95">
        <v>6135</v>
      </c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6" thickTop="1" thickBot="1" x14ac:dyDescent="0.35">
      <c r="A22" s="90">
        <v>17</v>
      </c>
      <c r="B22" s="91">
        <v>19135</v>
      </c>
      <c r="C22" s="91">
        <v>0</v>
      </c>
      <c r="D22" s="91">
        <v>1025</v>
      </c>
      <c r="E22" s="91">
        <v>65</v>
      </c>
      <c r="F22" s="91">
        <v>79</v>
      </c>
      <c r="G22" s="91">
        <v>164</v>
      </c>
      <c r="H22" s="91">
        <v>20468</v>
      </c>
      <c r="I22" s="91">
        <v>0</v>
      </c>
      <c r="J22" s="93"/>
      <c r="K22" s="90">
        <v>17</v>
      </c>
      <c r="L22" s="91">
        <v>2</v>
      </c>
      <c r="M22" s="91">
        <v>8</v>
      </c>
      <c r="N22" s="91">
        <v>1</v>
      </c>
      <c r="O22" s="91">
        <v>11</v>
      </c>
      <c r="P22" s="95">
        <v>6135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6" thickTop="1" thickBot="1" x14ac:dyDescent="0.35">
      <c r="A23" s="90">
        <v>18</v>
      </c>
      <c r="B23" s="91">
        <v>6919</v>
      </c>
      <c r="C23" s="91">
        <v>0</v>
      </c>
      <c r="D23" s="91">
        <v>1554</v>
      </c>
      <c r="E23" s="91">
        <v>267</v>
      </c>
      <c r="F23" s="91">
        <v>246</v>
      </c>
      <c r="G23" s="91">
        <v>487</v>
      </c>
      <c r="H23" s="98">
        <v>9473</v>
      </c>
      <c r="I23" s="91">
        <v>0</v>
      </c>
      <c r="J23" s="93"/>
      <c r="K23" s="90">
        <v>18</v>
      </c>
      <c r="L23" s="91">
        <v>5</v>
      </c>
      <c r="M23" s="91">
        <v>8</v>
      </c>
      <c r="N23" s="91">
        <v>2</v>
      </c>
      <c r="O23" s="91">
        <v>15</v>
      </c>
      <c r="P23" s="95">
        <v>6135</v>
      </c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6" thickTop="1" thickBot="1" x14ac:dyDescent="0.35">
      <c r="A24" s="90">
        <v>19</v>
      </c>
      <c r="B24" s="91">
        <v>4536</v>
      </c>
      <c r="C24" s="91">
        <v>0</v>
      </c>
      <c r="D24" s="91">
        <v>1742</v>
      </c>
      <c r="E24" s="91">
        <v>270</v>
      </c>
      <c r="F24" s="91">
        <v>302</v>
      </c>
      <c r="G24" s="91">
        <v>530</v>
      </c>
      <c r="H24" s="98">
        <v>7380</v>
      </c>
      <c r="I24" s="91">
        <v>0</v>
      </c>
      <c r="J24" s="93"/>
      <c r="K24" s="90">
        <v>19</v>
      </c>
      <c r="L24" s="91">
        <v>4</v>
      </c>
      <c r="M24" s="91">
        <v>18</v>
      </c>
      <c r="N24" s="91">
        <v>1</v>
      </c>
      <c r="O24" s="91">
        <v>23</v>
      </c>
      <c r="P24" s="95">
        <v>6135</v>
      </c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6" thickTop="1" thickBot="1" x14ac:dyDescent="0.35">
      <c r="A25" s="90">
        <v>20</v>
      </c>
      <c r="B25" s="91">
        <v>3885</v>
      </c>
      <c r="C25" s="91">
        <v>0</v>
      </c>
      <c r="D25" s="91">
        <v>1806</v>
      </c>
      <c r="E25" s="91">
        <v>278</v>
      </c>
      <c r="F25" s="91">
        <v>316</v>
      </c>
      <c r="G25" s="91">
        <v>492</v>
      </c>
      <c r="H25" s="91">
        <v>6777</v>
      </c>
      <c r="I25" s="91">
        <v>0</v>
      </c>
      <c r="J25" s="93"/>
      <c r="K25" s="90">
        <v>20</v>
      </c>
      <c r="L25" s="91">
        <v>1</v>
      </c>
      <c r="M25" s="91">
        <v>12</v>
      </c>
      <c r="N25" s="91">
        <v>4</v>
      </c>
      <c r="O25" s="91">
        <v>17</v>
      </c>
      <c r="P25" s="95">
        <v>6135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6" thickTop="1" thickBot="1" x14ac:dyDescent="0.35">
      <c r="A26" s="90">
        <v>21</v>
      </c>
      <c r="B26" s="91">
        <v>3835</v>
      </c>
      <c r="C26" s="91">
        <v>0</v>
      </c>
      <c r="D26" s="91">
        <v>1730</v>
      </c>
      <c r="E26" s="91">
        <v>281</v>
      </c>
      <c r="F26" s="91">
        <v>283</v>
      </c>
      <c r="G26" s="91">
        <v>497</v>
      </c>
      <c r="H26" s="91">
        <v>6626</v>
      </c>
      <c r="I26" s="91">
        <v>0</v>
      </c>
      <c r="J26" s="93"/>
      <c r="K26" s="90">
        <v>21</v>
      </c>
      <c r="L26" s="91">
        <v>6</v>
      </c>
      <c r="M26" s="91">
        <v>22</v>
      </c>
      <c r="N26" s="91">
        <v>7</v>
      </c>
      <c r="O26" s="91">
        <v>35</v>
      </c>
      <c r="P26" s="95">
        <v>6135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6" thickTop="1" thickBot="1" x14ac:dyDescent="0.35">
      <c r="A27" s="90">
        <v>22</v>
      </c>
      <c r="B27" s="91">
        <v>4771</v>
      </c>
      <c r="C27" s="91">
        <v>0</v>
      </c>
      <c r="D27" s="91">
        <v>1751</v>
      </c>
      <c r="E27" s="91">
        <v>303</v>
      </c>
      <c r="F27" s="91">
        <v>304</v>
      </c>
      <c r="G27" s="91">
        <v>480</v>
      </c>
      <c r="H27" s="91">
        <v>7609</v>
      </c>
      <c r="I27" s="91">
        <v>0</v>
      </c>
      <c r="J27" s="93"/>
      <c r="K27" s="90">
        <v>22</v>
      </c>
      <c r="L27" s="91">
        <v>6</v>
      </c>
      <c r="M27" s="91">
        <v>23</v>
      </c>
      <c r="N27" s="91">
        <v>3</v>
      </c>
      <c r="O27" s="91">
        <v>32</v>
      </c>
      <c r="P27" s="95">
        <v>6135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6" thickTop="1" thickBot="1" x14ac:dyDescent="0.35">
      <c r="A28" s="90">
        <v>23</v>
      </c>
      <c r="B28" s="91">
        <v>5426</v>
      </c>
      <c r="C28" s="91">
        <v>0</v>
      </c>
      <c r="D28" s="91">
        <v>1473</v>
      </c>
      <c r="E28" s="91">
        <v>187</v>
      </c>
      <c r="F28" s="91">
        <v>301</v>
      </c>
      <c r="G28" s="91">
        <v>417</v>
      </c>
      <c r="H28" s="91">
        <v>7804</v>
      </c>
      <c r="I28" s="91">
        <v>0</v>
      </c>
      <c r="J28" s="93"/>
      <c r="K28" s="90">
        <v>23</v>
      </c>
      <c r="L28" s="91">
        <v>5</v>
      </c>
      <c r="M28" s="91">
        <v>20</v>
      </c>
      <c r="N28" s="91">
        <v>11</v>
      </c>
      <c r="O28" s="91">
        <v>36</v>
      </c>
      <c r="P28" s="95">
        <v>6135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6" thickTop="1" thickBot="1" x14ac:dyDescent="0.35">
      <c r="A29" s="90">
        <v>24</v>
      </c>
      <c r="B29" s="91">
        <v>6261</v>
      </c>
      <c r="C29" s="91">
        <v>0</v>
      </c>
      <c r="D29" s="91">
        <v>1234</v>
      </c>
      <c r="E29" s="91">
        <v>256</v>
      </c>
      <c r="F29" s="91">
        <v>185</v>
      </c>
      <c r="G29" s="91">
        <v>364</v>
      </c>
      <c r="H29" s="91">
        <v>8300</v>
      </c>
      <c r="I29" s="91">
        <v>0</v>
      </c>
      <c r="J29" s="93"/>
      <c r="K29" s="90">
        <v>24</v>
      </c>
      <c r="L29" s="91">
        <v>2</v>
      </c>
      <c r="M29" s="91">
        <v>0</v>
      </c>
      <c r="N29" s="91">
        <v>3</v>
      </c>
      <c r="O29" s="91">
        <v>5</v>
      </c>
      <c r="P29" s="95">
        <v>6135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6" thickTop="1" thickBot="1" x14ac:dyDescent="0.35">
      <c r="A30" s="90">
        <v>25</v>
      </c>
      <c r="B30" s="91">
        <v>3722</v>
      </c>
      <c r="C30" s="91">
        <v>0</v>
      </c>
      <c r="D30" s="91">
        <v>1331</v>
      </c>
      <c r="E30" s="91">
        <v>261</v>
      </c>
      <c r="F30" s="91">
        <v>234</v>
      </c>
      <c r="G30" s="91">
        <v>434</v>
      </c>
      <c r="H30" s="91">
        <v>5982</v>
      </c>
      <c r="I30" s="91">
        <v>0</v>
      </c>
      <c r="J30" s="93"/>
      <c r="K30" s="90">
        <v>25</v>
      </c>
      <c r="L30" s="91">
        <v>4</v>
      </c>
      <c r="M30" s="91">
        <v>15</v>
      </c>
      <c r="N30" s="91">
        <v>2</v>
      </c>
      <c r="O30" s="91">
        <v>21</v>
      </c>
      <c r="P30" s="95">
        <v>6135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6" thickTop="1" thickBot="1" x14ac:dyDescent="0.35">
      <c r="A31" s="90">
        <v>26</v>
      </c>
      <c r="B31" s="91">
        <v>3502</v>
      </c>
      <c r="C31" s="91">
        <v>0</v>
      </c>
      <c r="D31" s="91">
        <v>1677</v>
      </c>
      <c r="E31" s="91">
        <v>281</v>
      </c>
      <c r="F31" s="91">
        <v>326</v>
      </c>
      <c r="G31" s="91">
        <v>475</v>
      </c>
      <c r="H31" s="91">
        <v>6261</v>
      </c>
      <c r="I31" s="91">
        <v>0</v>
      </c>
      <c r="J31" s="93"/>
      <c r="K31" s="90">
        <v>26</v>
      </c>
      <c r="L31" s="91">
        <v>8</v>
      </c>
      <c r="M31" s="91">
        <v>11</v>
      </c>
      <c r="N31" s="91">
        <v>5</v>
      </c>
      <c r="O31" s="91">
        <v>24</v>
      </c>
      <c r="P31" s="95">
        <v>6135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6" thickTop="1" thickBot="1" x14ac:dyDescent="0.35">
      <c r="A32" s="90">
        <v>27</v>
      </c>
      <c r="B32" s="91">
        <v>3628</v>
      </c>
      <c r="C32" s="91">
        <v>0</v>
      </c>
      <c r="D32" s="91">
        <v>1854</v>
      </c>
      <c r="E32" s="91">
        <v>336</v>
      </c>
      <c r="F32" s="91">
        <v>319</v>
      </c>
      <c r="G32" s="91">
        <v>516</v>
      </c>
      <c r="H32" s="91">
        <v>6653</v>
      </c>
      <c r="I32" s="91">
        <v>0</v>
      </c>
      <c r="J32" s="93"/>
      <c r="K32" s="90">
        <v>27</v>
      </c>
      <c r="L32" s="91">
        <v>6</v>
      </c>
      <c r="M32" s="91">
        <v>16</v>
      </c>
      <c r="N32" s="91">
        <v>5</v>
      </c>
      <c r="O32" s="91">
        <v>27</v>
      </c>
      <c r="P32" s="95">
        <v>6135</v>
      </c>
    </row>
    <row r="33" spans="1:16" ht="15.6" thickTop="1" thickBot="1" x14ac:dyDescent="0.35">
      <c r="A33" s="90">
        <v>28</v>
      </c>
      <c r="B33" s="91">
        <v>3302</v>
      </c>
      <c r="C33" s="91">
        <v>0</v>
      </c>
      <c r="D33" s="91">
        <v>1615</v>
      </c>
      <c r="E33" s="91">
        <v>288</v>
      </c>
      <c r="F33" s="91">
        <v>305</v>
      </c>
      <c r="G33" s="91">
        <v>470</v>
      </c>
      <c r="H33" s="91">
        <v>5980</v>
      </c>
      <c r="I33" s="91">
        <v>0</v>
      </c>
      <c r="J33" s="93"/>
      <c r="K33" s="90">
        <v>28</v>
      </c>
      <c r="L33" s="91">
        <v>3</v>
      </c>
      <c r="M33" s="91">
        <v>5</v>
      </c>
      <c r="N33" s="91">
        <v>6</v>
      </c>
      <c r="O33" s="91">
        <v>14</v>
      </c>
      <c r="P33" s="95">
        <v>6135</v>
      </c>
    </row>
    <row r="34" spans="1:16" ht="15.6" thickTop="1" thickBot="1" x14ac:dyDescent="0.35">
      <c r="A34" s="90">
        <v>29</v>
      </c>
      <c r="B34" s="91">
        <v>4162</v>
      </c>
      <c r="C34" s="91">
        <v>0</v>
      </c>
      <c r="D34" s="91">
        <v>1367</v>
      </c>
      <c r="E34" s="91">
        <v>206</v>
      </c>
      <c r="F34" s="91">
        <v>223</v>
      </c>
      <c r="G34" s="91">
        <v>371</v>
      </c>
      <c r="H34" s="91">
        <v>6329</v>
      </c>
      <c r="I34" s="91">
        <v>0</v>
      </c>
      <c r="J34" s="93"/>
      <c r="K34" s="90">
        <v>29</v>
      </c>
      <c r="L34" s="91">
        <v>3</v>
      </c>
      <c r="M34" s="91">
        <v>10</v>
      </c>
      <c r="N34" s="91">
        <v>2</v>
      </c>
      <c r="O34" s="91">
        <v>15</v>
      </c>
      <c r="P34" s="95">
        <v>6135</v>
      </c>
    </row>
    <row r="35" spans="1:16" ht="15.6" thickTop="1" thickBot="1" x14ac:dyDescent="0.35">
      <c r="A35" s="90">
        <v>30</v>
      </c>
      <c r="B35" s="91">
        <v>5118</v>
      </c>
      <c r="C35" s="91">
        <v>0</v>
      </c>
      <c r="D35" s="91">
        <v>1148</v>
      </c>
      <c r="E35" s="91">
        <v>235</v>
      </c>
      <c r="F35" s="91">
        <v>247</v>
      </c>
      <c r="G35" s="91">
        <v>351</v>
      </c>
      <c r="H35" s="91">
        <v>7099</v>
      </c>
      <c r="I35" s="91">
        <v>0</v>
      </c>
      <c r="J35" s="93"/>
      <c r="K35" s="90">
        <v>30</v>
      </c>
      <c r="L35" s="91">
        <v>8</v>
      </c>
      <c r="M35" s="91">
        <v>17</v>
      </c>
      <c r="N35" s="91">
        <v>4</v>
      </c>
      <c r="O35" s="91">
        <v>29</v>
      </c>
      <c r="P35" s="95">
        <v>6135</v>
      </c>
    </row>
    <row r="36" spans="1:16" ht="15.6" thickTop="1" thickBot="1" x14ac:dyDescent="0.35">
      <c r="A36" s="90">
        <v>31</v>
      </c>
      <c r="B36" s="91"/>
      <c r="C36" s="91"/>
      <c r="D36" s="91"/>
      <c r="E36" s="91"/>
      <c r="F36" s="91"/>
      <c r="G36" s="91"/>
      <c r="H36" s="91">
        <v>0</v>
      </c>
      <c r="I36" s="91">
        <v>0</v>
      </c>
      <c r="J36" s="93"/>
      <c r="K36" s="90">
        <v>31</v>
      </c>
      <c r="L36" s="97"/>
      <c r="M36" s="97"/>
      <c r="N36" s="97"/>
      <c r="O36" s="91">
        <v>0</v>
      </c>
      <c r="P36" s="95">
        <v>6135</v>
      </c>
    </row>
    <row r="37" spans="1:16" ht="15" thickTop="1" x14ac:dyDescent="0.3">
      <c r="A37" s="42" t="s">
        <v>19</v>
      </c>
      <c r="B37" s="55">
        <v>199183</v>
      </c>
      <c r="C37" s="55">
        <v>0</v>
      </c>
      <c r="D37" s="55">
        <v>43310</v>
      </c>
      <c r="E37" s="55">
        <v>6721</v>
      </c>
      <c r="F37" s="55">
        <v>7246</v>
      </c>
      <c r="G37" s="55">
        <v>11860</v>
      </c>
      <c r="H37" s="55">
        <v>268320</v>
      </c>
      <c r="I37" s="55">
        <v>0</v>
      </c>
      <c r="J37" s="55"/>
      <c r="K37" s="55"/>
      <c r="L37" s="55">
        <v>167</v>
      </c>
      <c r="M37" s="55">
        <v>406</v>
      </c>
      <c r="N37" s="55">
        <v>123</v>
      </c>
      <c r="O37" s="55">
        <v>696</v>
      </c>
      <c r="P37" s="55">
        <v>190185</v>
      </c>
    </row>
    <row r="38" spans="1:16" x14ac:dyDescent="0.3">
      <c r="A38" s="42" t="s">
        <v>19</v>
      </c>
      <c r="B38" s="166">
        <v>199183</v>
      </c>
      <c r="C38" s="166"/>
      <c r="D38" s="55">
        <v>43310</v>
      </c>
      <c r="E38" s="55">
        <v>6721</v>
      </c>
      <c r="F38" s="55">
        <v>7246</v>
      </c>
      <c r="G38" s="55">
        <v>11860</v>
      </c>
      <c r="H38" s="55">
        <v>268320</v>
      </c>
      <c r="I38" s="55">
        <v>0</v>
      </c>
      <c r="J38" s="66"/>
      <c r="K38" s="42"/>
      <c r="L38" s="67" t="s">
        <v>23</v>
      </c>
      <c r="M38" s="67" t="s">
        <v>24</v>
      </c>
      <c r="N38" s="67" t="s">
        <v>23</v>
      </c>
      <c r="O38" s="67" t="s">
        <v>24</v>
      </c>
      <c r="P38" s="60"/>
    </row>
    <row r="39" spans="1:16" x14ac:dyDescent="0.3">
      <c r="A39" s="68" t="s">
        <v>20</v>
      </c>
      <c r="B39" s="70"/>
      <c r="C39" s="70"/>
      <c r="D39" s="70"/>
      <c r="E39" s="70"/>
      <c r="F39" s="70"/>
      <c r="G39" s="70"/>
      <c r="H39" s="70"/>
      <c r="I39" s="60"/>
      <c r="J39" s="60"/>
      <c r="K39" s="60"/>
      <c r="L39" s="73"/>
      <c r="M39" s="60"/>
      <c r="N39" s="60"/>
      <c r="O39" s="60"/>
      <c r="P39" s="60"/>
    </row>
    <row r="40" spans="1:16" x14ac:dyDescent="0.3">
      <c r="A40" s="78"/>
      <c r="B40" s="79"/>
      <c r="C40" s="79"/>
      <c r="D40" s="79"/>
      <c r="E40" s="79"/>
      <c r="F40" s="79"/>
      <c r="G40" s="79"/>
      <c r="H40" s="79"/>
      <c r="I40" s="79"/>
      <c r="J40" s="73"/>
      <c r="K40" s="23"/>
      <c r="L40" s="22"/>
      <c r="M40" s="60"/>
      <c r="N40" s="60"/>
      <c r="O40" s="60"/>
      <c r="P40" s="60"/>
    </row>
    <row r="41" spans="1:16" x14ac:dyDescent="0.3">
      <c r="A41" s="69"/>
      <c r="B41" s="60"/>
      <c r="C41" s="60"/>
      <c r="D41" s="60"/>
      <c r="E41" s="60"/>
      <c r="F41" s="60"/>
      <c r="G41" s="60"/>
      <c r="H41" s="69"/>
      <c r="I41" s="60"/>
      <c r="J41" s="60"/>
      <c r="K41" s="23"/>
      <c r="L41" s="22"/>
      <c r="M41" s="60"/>
      <c r="N41" s="60"/>
      <c r="O41" s="60"/>
      <c r="P41" s="60"/>
    </row>
    <row r="42" spans="1:16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23"/>
      <c r="L42" s="22"/>
      <c r="M42" s="60"/>
      <c r="N42" s="60"/>
      <c r="O42" s="60"/>
      <c r="P42" s="60"/>
    </row>
    <row r="43" spans="1:16" x14ac:dyDescent="0.3">
      <c r="A43" s="60"/>
      <c r="B43" s="60"/>
      <c r="C43" s="60"/>
      <c r="D43" s="60"/>
      <c r="E43" s="60"/>
      <c r="F43" s="60"/>
      <c r="G43" s="94">
        <v>4</v>
      </c>
      <c r="H43" s="60"/>
      <c r="I43" s="69"/>
      <c r="J43" s="69"/>
      <c r="K43" s="60"/>
      <c r="L43" s="60"/>
      <c r="M43" s="60"/>
      <c r="N43" s="60"/>
      <c r="O43" s="60"/>
      <c r="P43" s="60"/>
    </row>
    <row r="45" spans="1:16" x14ac:dyDescent="0.3">
      <c r="A45" s="77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</row>
    <row r="46" spans="1:16" x14ac:dyDescent="0.3">
      <c r="A46" s="77"/>
      <c r="B46" s="69"/>
      <c r="C46" s="69"/>
      <c r="D46" s="69"/>
      <c r="E46" s="69"/>
      <c r="F46" s="69"/>
      <c r="G46" s="69"/>
      <c r="H46" s="69"/>
      <c r="I46" s="69"/>
      <c r="J46" s="69"/>
      <c r="K46" s="74"/>
      <c r="L46" s="69"/>
      <c r="M46" s="69"/>
      <c r="N46" s="69"/>
      <c r="O46" s="69"/>
      <c r="P46" s="60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26B6-27C9-438D-B5F6-9B11A1ADA89F}">
  <dimension ref="A1:Z46"/>
  <sheetViews>
    <sheetView workbookViewId="0">
      <selection activeCell="E10" sqref="E10"/>
    </sheetView>
  </sheetViews>
  <sheetFormatPr baseColWidth="10" defaultColWidth="11.44140625" defaultRowHeight="13.8" x14ac:dyDescent="0.3"/>
  <cols>
    <col min="1" max="9" width="12.6640625" style="46" customWidth="1"/>
    <col min="10" max="10" width="4.6640625" style="46" customWidth="1"/>
    <col min="11" max="11" width="12.5546875" style="35" customWidth="1"/>
    <col min="12" max="15" width="12.5546875" style="46" customWidth="1"/>
    <col min="16" max="16" width="0" style="46" hidden="1" customWidth="1"/>
    <col min="17" max="16384" width="11.44140625" style="46"/>
  </cols>
  <sheetData>
    <row r="1" spans="1:19" s="58" customFormat="1" ht="15.6" x14ac:dyDescent="0.3">
      <c r="A1" s="155" t="s">
        <v>35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9" s="58" customFormat="1" ht="15.6" x14ac:dyDescent="0.3">
      <c r="A2" s="155" t="s">
        <v>36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9" s="58" customFormat="1" ht="15.6" x14ac:dyDescent="0.3">
      <c r="A3" s="170" t="s">
        <v>27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</row>
    <row r="4" spans="1:19" ht="78" customHeight="1" x14ac:dyDescent="0.3">
      <c r="A4" s="171" t="s">
        <v>1</v>
      </c>
      <c r="B4" s="168" t="s">
        <v>2</v>
      </c>
      <c r="C4" s="168"/>
      <c r="D4" s="45" t="s">
        <v>3</v>
      </c>
      <c r="E4" s="45" t="s">
        <v>4</v>
      </c>
      <c r="F4" s="45" t="s">
        <v>5</v>
      </c>
      <c r="G4" s="45" t="s">
        <v>6</v>
      </c>
      <c r="H4" s="168" t="s">
        <v>7</v>
      </c>
      <c r="I4" s="168" t="s">
        <v>8</v>
      </c>
      <c r="J4" s="56"/>
      <c r="K4" s="173" t="s">
        <v>1</v>
      </c>
      <c r="L4" s="168" t="s">
        <v>9</v>
      </c>
      <c r="M4" s="168" t="s">
        <v>10</v>
      </c>
      <c r="N4" s="168" t="s">
        <v>11</v>
      </c>
      <c r="O4" s="168" t="s">
        <v>12</v>
      </c>
    </row>
    <row r="5" spans="1:19" ht="24" customHeight="1" x14ac:dyDescent="0.3">
      <c r="A5" s="172"/>
      <c r="B5" s="51" t="s">
        <v>13</v>
      </c>
      <c r="C5" s="51" t="s">
        <v>14</v>
      </c>
      <c r="D5" s="51" t="s">
        <v>15</v>
      </c>
      <c r="E5" s="51" t="s">
        <v>16</v>
      </c>
      <c r="F5" s="51" t="s">
        <v>17</v>
      </c>
      <c r="G5" s="51" t="s">
        <v>18</v>
      </c>
      <c r="H5" s="168"/>
      <c r="I5" s="168"/>
      <c r="J5" s="56"/>
      <c r="K5" s="173"/>
      <c r="L5" s="168"/>
      <c r="M5" s="168"/>
      <c r="N5" s="168"/>
      <c r="O5" s="168"/>
    </row>
    <row r="6" spans="1:19" ht="18" customHeight="1" thickBot="1" x14ac:dyDescent="0.35">
      <c r="A6" s="59">
        <v>1</v>
      </c>
      <c r="B6" s="33">
        <v>6177</v>
      </c>
      <c r="C6" s="33">
        <v>0</v>
      </c>
      <c r="D6" s="33">
        <v>1041</v>
      </c>
      <c r="E6" s="33">
        <v>139</v>
      </c>
      <c r="F6" s="33">
        <v>144</v>
      </c>
      <c r="G6" s="33">
        <v>272</v>
      </c>
      <c r="H6" s="33">
        <f>SUM(B6:G6)</f>
        <v>7773</v>
      </c>
      <c r="I6" s="33">
        <v>0</v>
      </c>
      <c r="J6" s="31"/>
      <c r="K6" s="59">
        <v>1</v>
      </c>
      <c r="L6" s="33">
        <v>1</v>
      </c>
      <c r="M6" s="33">
        <v>7</v>
      </c>
      <c r="N6" s="33">
        <v>3</v>
      </c>
      <c r="O6" s="33">
        <f>SUM(L6:N6)</f>
        <v>11</v>
      </c>
      <c r="P6" s="50">
        <v>6135</v>
      </c>
    </row>
    <row r="7" spans="1:19" ht="18" customHeight="1" thickTop="1" thickBot="1" x14ac:dyDescent="0.35">
      <c r="A7" s="59">
        <v>2</v>
      </c>
      <c r="B7" s="33">
        <v>3585</v>
      </c>
      <c r="C7" s="33">
        <v>0</v>
      </c>
      <c r="D7" s="33">
        <v>1185</v>
      </c>
      <c r="E7" s="33">
        <v>265</v>
      </c>
      <c r="F7" s="33">
        <v>191</v>
      </c>
      <c r="G7" s="33">
        <v>398</v>
      </c>
      <c r="H7" s="33">
        <f t="shared" ref="H7:H36" si="0">SUM(B7:G7)</f>
        <v>5624</v>
      </c>
      <c r="I7" s="33">
        <v>0</v>
      </c>
      <c r="J7" s="31"/>
      <c r="K7" s="59">
        <v>2</v>
      </c>
      <c r="L7" s="33">
        <v>4</v>
      </c>
      <c r="M7" s="33">
        <v>16</v>
      </c>
      <c r="N7" s="33">
        <v>4</v>
      </c>
      <c r="O7" s="33">
        <f t="shared" ref="O7:O36" si="1">SUM(L7:N7)</f>
        <v>24</v>
      </c>
      <c r="P7" s="50">
        <f>+P6</f>
        <v>6135</v>
      </c>
    </row>
    <row r="8" spans="1:19" ht="18" customHeight="1" thickTop="1" thickBot="1" x14ac:dyDescent="0.35">
      <c r="A8" s="59">
        <v>3</v>
      </c>
      <c r="B8" s="33">
        <v>3017</v>
      </c>
      <c r="C8" s="33">
        <v>0</v>
      </c>
      <c r="D8" s="33">
        <v>1316</v>
      </c>
      <c r="E8" s="33">
        <v>229</v>
      </c>
      <c r="F8" s="33">
        <v>227</v>
      </c>
      <c r="G8" s="33">
        <v>380</v>
      </c>
      <c r="H8" s="33">
        <f t="shared" si="0"/>
        <v>5169</v>
      </c>
      <c r="I8" s="33">
        <v>0</v>
      </c>
      <c r="J8" s="31"/>
      <c r="K8" s="59">
        <v>3</v>
      </c>
      <c r="L8" s="33">
        <v>4</v>
      </c>
      <c r="M8" s="33">
        <v>12</v>
      </c>
      <c r="N8" s="33">
        <v>1</v>
      </c>
      <c r="O8" s="33">
        <f t="shared" si="1"/>
        <v>17</v>
      </c>
      <c r="P8" s="50">
        <f t="shared" ref="P8:P36" si="2">+P7</f>
        <v>6135</v>
      </c>
      <c r="S8" s="57"/>
    </row>
    <row r="9" spans="1:19" ht="18" customHeight="1" thickTop="1" thickBot="1" x14ac:dyDescent="0.35">
      <c r="A9" s="59">
        <v>4</v>
      </c>
      <c r="B9" s="33">
        <v>3163</v>
      </c>
      <c r="C9" s="33">
        <v>0</v>
      </c>
      <c r="D9" s="33">
        <v>1481</v>
      </c>
      <c r="E9" s="33">
        <v>261</v>
      </c>
      <c r="F9" s="33">
        <v>284</v>
      </c>
      <c r="G9" s="33">
        <v>484</v>
      </c>
      <c r="H9" s="33">
        <f t="shared" si="0"/>
        <v>5673</v>
      </c>
      <c r="I9" s="33">
        <v>0</v>
      </c>
      <c r="J9" s="31"/>
      <c r="K9" s="59">
        <v>4</v>
      </c>
      <c r="L9" s="33">
        <v>2</v>
      </c>
      <c r="M9" s="33">
        <v>15</v>
      </c>
      <c r="N9" s="33">
        <v>3</v>
      </c>
      <c r="O9" s="33">
        <f t="shared" si="1"/>
        <v>20</v>
      </c>
      <c r="P9" s="50">
        <f t="shared" si="2"/>
        <v>6135</v>
      </c>
    </row>
    <row r="10" spans="1:19" ht="18" customHeight="1" thickTop="1" thickBot="1" x14ac:dyDescent="0.35">
      <c r="A10" s="59">
        <v>5</v>
      </c>
      <c r="B10" s="33">
        <v>3662</v>
      </c>
      <c r="C10" s="33">
        <v>0</v>
      </c>
      <c r="D10" s="33">
        <v>1584</v>
      </c>
      <c r="E10" s="33">
        <v>302</v>
      </c>
      <c r="F10" s="33">
        <v>270</v>
      </c>
      <c r="G10" s="33">
        <v>456</v>
      </c>
      <c r="H10" s="33">
        <f t="shared" si="0"/>
        <v>6274</v>
      </c>
      <c r="I10" s="33">
        <v>0</v>
      </c>
      <c r="J10" s="31"/>
      <c r="K10" s="59">
        <v>5</v>
      </c>
      <c r="L10" s="33">
        <v>1</v>
      </c>
      <c r="M10" s="33">
        <v>14</v>
      </c>
      <c r="N10" s="33">
        <v>6</v>
      </c>
      <c r="O10" s="33">
        <f t="shared" si="1"/>
        <v>21</v>
      </c>
      <c r="P10" s="50">
        <f t="shared" si="2"/>
        <v>6135</v>
      </c>
    </row>
    <row r="11" spans="1:19" ht="18" customHeight="1" thickTop="1" thickBot="1" x14ac:dyDescent="0.35">
      <c r="A11" s="59">
        <v>6</v>
      </c>
      <c r="B11" s="33">
        <v>4819</v>
      </c>
      <c r="C11" s="33">
        <v>0</v>
      </c>
      <c r="D11" s="33">
        <v>1419</v>
      </c>
      <c r="E11" s="33">
        <v>239</v>
      </c>
      <c r="F11" s="33">
        <v>276</v>
      </c>
      <c r="G11" s="33">
        <v>428</v>
      </c>
      <c r="H11" s="33">
        <f t="shared" si="0"/>
        <v>7181</v>
      </c>
      <c r="I11" s="33">
        <v>0</v>
      </c>
      <c r="J11" s="31"/>
      <c r="K11" s="59">
        <v>6</v>
      </c>
      <c r="L11" s="33">
        <v>5</v>
      </c>
      <c r="M11" s="33">
        <v>11</v>
      </c>
      <c r="N11" s="33">
        <v>5</v>
      </c>
      <c r="O11" s="33">
        <f t="shared" si="1"/>
        <v>21</v>
      </c>
      <c r="P11" s="50">
        <f t="shared" si="2"/>
        <v>6135</v>
      </c>
    </row>
    <row r="12" spans="1:19" ht="18" customHeight="1" thickTop="1" thickBot="1" x14ac:dyDescent="0.35">
      <c r="A12" s="59">
        <v>7</v>
      </c>
      <c r="B12" s="33">
        <v>5421</v>
      </c>
      <c r="C12" s="33">
        <v>0</v>
      </c>
      <c r="D12" s="33">
        <v>1251</v>
      </c>
      <c r="E12" s="33">
        <v>176</v>
      </c>
      <c r="F12" s="33">
        <v>241</v>
      </c>
      <c r="G12" s="33">
        <v>296</v>
      </c>
      <c r="H12" s="33">
        <f>SUM(B12:G12)</f>
        <v>7385</v>
      </c>
      <c r="I12" s="33">
        <v>0</v>
      </c>
      <c r="J12" s="44"/>
      <c r="K12" s="59">
        <v>7</v>
      </c>
      <c r="L12" s="33">
        <v>3</v>
      </c>
      <c r="M12" s="33">
        <v>9</v>
      </c>
      <c r="N12" s="33">
        <v>6</v>
      </c>
      <c r="O12" s="33">
        <f t="shared" si="1"/>
        <v>18</v>
      </c>
      <c r="P12" s="50">
        <f t="shared" si="2"/>
        <v>6135</v>
      </c>
    </row>
    <row r="13" spans="1:19" ht="18" customHeight="1" thickTop="1" thickBot="1" x14ac:dyDescent="0.35">
      <c r="A13" s="59">
        <v>8</v>
      </c>
      <c r="B13" s="33">
        <v>6823</v>
      </c>
      <c r="C13" s="33">
        <v>0</v>
      </c>
      <c r="D13" s="33">
        <v>842</v>
      </c>
      <c r="E13" s="33">
        <v>112</v>
      </c>
      <c r="F13" s="33">
        <v>138</v>
      </c>
      <c r="G13" s="33">
        <v>242</v>
      </c>
      <c r="H13" s="33">
        <f t="shared" si="0"/>
        <v>8157</v>
      </c>
      <c r="I13" s="33">
        <v>0</v>
      </c>
      <c r="J13" s="44"/>
      <c r="K13" s="59">
        <v>8</v>
      </c>
      <c r="L13" s="33">
        <v>3</v>
      </c>
      <c r="M13" s="33">
        <v>6</v>
      </c>
      <c r="N13" s="33">
        <v>1</v>
      </c>
      <c r="O13" s="33">
        <f t="shared" si="1"/>
        <v>10</v>
      </c>
      <c r="P13" s="50">
        <f t="shared" si="2"/>
        <v>6135</v>
      </c>
    </row>
    <row r="14" spans="1:19" s="36" customFormat="1" ht="18" customHeight="1" thickTop="1" thickBot="1" x14ac:dyDescent="0.35">
      <c r="A14" s="59">
        <v>9</v>
      </c>
      <c r="B14" s="33">
        <v>3788</v>
      </c>
      <c r="C14" s="33">
        <v>0</v>
      </c>
      <c r="D14" s="33">
        <v>1279</v>
      </c>
      <c r="E14" s="33">
        <v>303</v>
      </c>
      <c r="F14" s="33">
        <v>262</v>
      </c>
      <c r="G14" s="33">
        <v>438</v>
      </c>
      <c r="H14" s="33">
        <f t="shared" si="0"/>
        <v>6070</v>
      </c>
      <c r="I14" s="33">
        <v>0</v>
      </c>
      <c r="J14" s="44"/>
      <c r="K14" s="59">
        <v>9</v>
      </c>
      <c r="L14" s="33">
        <v>1</v>
      </c>
      <c r="M14" s="33">
        <v>17</v>
      </c>
      <c r="N14" s="33">
        <v>0</v>
      </c>
      <c r="O14" s="33">
        <f t="shared" si="1"/>
        <v>18</v>
      </c>
      <c r="P14" s="37">
        <f t="shared" si="2"/>
        <v>6135</v>
      </c>
    </row>
    <row r="15" spans="1:19" ht="18" customHeight="1" thickTop="1" thickBot="1" x14ac:dyDescent="0.35">
      <c r="A15" s="59">
        <v>10</v>
      </c>
      <c r="B15" s="33">
        <v>3769</v>
      </c>
      <c r="C15" s="33">
        <v>0</v>
      </c>
      <c r="D15" s="33">
        <v>1842</v>
      </c>
      <c r="E15" s="33">
        <v>366</v>
      </c>
      <c r="F15" s="33">
        <v>390</v>
      </c>
      <c r="G15" s="33">
        <v>616</v>
      </c>
      <c r="H15" s="33">
        <f t="shared" si="0"/>
        <v>6983</v>
      </c>
      <c r="I15" s="33">
        <v>0</v>
      </c>
      <c r="J15" s="44"/>
      <c r="K15" s="59">
        <v>10</v>
      </c>
      <c r="L15" s="33">
        <v>4</v>
      </c>
      <c r="M15" s="33">
        <v>14</v>
      </c>
      <c r="N15" s="33">
        <v>1</v>
      </c>
      <c r="O15" s="33">
        <f t="shared" si="1"/>
        <v>19</v>
      </c>
      <c r="P15" s="50">
        <f t="shared" si="2"/>
        <v>6135</v>
      </c>
    </row>
    <row r="16" spans="1:19" ht="18" customHeight="1" thickTop="1" thickBot="1" x14ac:dyDescent="0.35">
      <c r="A16" s="59">
        <v>11</v>
      </c>
      <c r="B16" s="33">
        <v>3609</v>
      </c>
      <c r="C16" s="33">
        <v>0</v>
      </c>
      <c r="D16" s="33">
        <v>1866</v>
      </c>
      <c r="E16" s="33">
        <v>375</v>
      </c>
      <c r="F16" s="33">
        <v>399</v>
      </c>
      <c r="G16" s="33">
        <v>545</v>
      </c>
      <c r="H16" s="33">
        <f t="shared" si="0"/>
        <v>6794</v>
      </c>
      <c r="I16" s="33">
        <v>0</v>
      </c>
      <c r="J16" s="44"/>
      <c r="K16" s="59">
        <v>11</v>
      </c>
      <c r="L16" s="33">
        <v>3</v>
      </c>
      <c r="M16" s="33">
        <v>6</v>
      </c>
      <c r="N16" s="33">
        <v>10</v>
      </c>
      <c r="O16" s="33">
        <f t="shared" si="1"/>
        <v>19</v>
      </c>
      <c r="P16" s="50">
        <f t="shared" si="2"/>
        <v>6135</v>
      </c>
    </row>
    <row r="17" spans="1:26" ht="18" customHeight="1" thickTop="1" thickBot="1" x14ac:dyDescent="0.35">
      <c r="A17" s="59">
        <v>12</v>
      </c>
      <c r="B17" s="33">
        <v>4075</v>
      </c>
      <c r="C17" s="33">
        <v>0</v>
      </c>
      <c r="D17" s="33">
        <v>1730</v>
      </c>
      <c r="E17" s="33">
        <v>379</v>
      </c>
      <c r="F17" s="33">
        <v>396</v>
      </c>
      <c r="G17" s="33">
        <v>590</v>
      </c>
      <c r="H17" s="33">
        <f t="shared" si="0"/>
        <v>7170</v>
      </c>
      <c r="I17" s="33">
        <v>0</v>
      </c>
      <c r="J17" s="44"/>
      <c r="K17" s="59">
        <v>12</v>
      </c>
      <c r="L17" s="33">
        <v>7</v>
      </c>
      <c r="M17" s="33">
        <v>19</v>
      </c>
      <c r="N17" s="33">
        <v>6</v>
      </c>
      <c r="O17" s="33">
        <f t="shared" si="1"/>
        <v>32</v>
      </c>
      <c r="P17" s="50">
        <f t="shared" si="2"/>
        <v>6135</v>
      </c>
    </row>
    <row r="18" spans="1:26" ht="18" customHeight="1" thickTop="1" thickBot="1" x14ac:dyDescent="0.35">
      <c r="A18" s="59">
        <v>13</v>
      </c>
      <c r="B18" s="33">
        <v>5589</v>
      </c>
      <c r="C18" s="33">
        <v>0</v>
      </c>
      <c r="D18" s="33">
        <v>1587</v>
      </c>
      <c r="E18" s="33">
        <v>304</v>
      </c>
      <c r="F18" s="33">
        <v>290</v>
      </c>
      <c r="G18" s="33">
        <v>538</v>
      </c>
      <c r="H18" s="33">
        <f t="shared" si="0"/>
        <v>8308</v>
      </c>
      <c r="I18" s="33">
        <v>0</v>
      </c>
      <c r="J18" s="44"/>
      <c r="K18" s="59">
        <v>13</v>
      </c>
      <c r="L18" s="33">
        <v>6</v>
      </c>
      <c r="M18" s="33">
        <v>19</v>
      </c>
      <c r="N18" s="33">
        <v>6</v>
      </c>
      <c r="O18" s="33">
        <f t="shared" si="1"/>
        <v>31</v>
      </c>
      <c r="P18" s="50">
        <f t="shared" si="2"/>
        <v>6135</v>
      </c>
    </row>
    <row r="19" spans="1:26" ht="18" customHeight="1" thickTop="1" thickBot="1" x14ac:dyDescent="0.35">
      <c r="A19" s="59">
        <v>14</v>
      </c>
      <c r="B19" s="33">
        <v>5843</v>
      </c>
      <c r="C19" s="33">
        <v>0</v>
      </c>
      <c r="D19" s="33">
        <v>1406</v>
      </c>
      <c r="E19" s="33">
        <v>246</v>
      </c>
      <c r="F19" s="33">
        <v>301</v>
      </c>
      <c r="G19" s="33">
        <v>450</v>
      </c>
      <c r="H19" s="33">
        <f t="shared" si="0"/>
        <v>8246</v>
      </c>
      <c r="I19" s="33">
        <v>0</v>
      </c>
      <c r="J19" s="44"/>
      <c r="K19" s="59">
        <v>14</v>
      </c>
      <c r="L19" s="33">
        <v>7</v>
      </c>
      <c r="M19" s="33">
        <v>14</v>
      </c>
      <c r="N19" s="33">
        <v>0</v>
      </c>
      <c r="O19" s="33">
        <f t="shared" si="1"/>
        <v>21</v>
      </c>
      <c r="P19" s="50">
        <f t="shared" si="2"/>
        <v>6135</v>
      </c>
    </row>
    <row r="20" spans="1:26" ht="18" customHeight="1" thickTop="1" thickBot="1" x14ac:dyDescent="0.35">
      <c r="A20" s="59">
        <v>15</v>
      </c>
      <c r="B20" s="33">
        <v>8021</v>
      </c>
      <c r="C20" s="33">
        <v>0</v>
      </c>
      <c r="D20" s="33">
        <v>1057</v>
      </c>
      <c r="E20" s="33">
        <v>175</v>
      </c>
      <c r="F20" s="33">
        <v>176</v>
      </c>
      <c r="G20" s="33">
        <v>327</v>
      </c>
      <c r="H20" s="33">
        <f t="shared" si="0"/>
        <v>9756</v>
      </c>
      <c r="I20" s="33">
        <v>0</v>
      </c>
      <c r="J20" s="44"/>
      <c r="K20" s="59">
        <v>15</v>
      </c>
      <c r="L20" s="33">
        <v>5</v>
      </c>
      <c r="M20" s="33">
        <v>7</v>
      </c>
      <c r="N20" s="33">
        <v>4</v>
      </c>
      <c r="O20" s="33">
        <f t="shared" si="1"/>
        <v>16</v>
      </c>
      <c r="P20" s="50">
        <f t="shared" si="2"/>
        <v>6135</v>
      </c>
    </row>
    <row r="21" spans="1:26" ht="18" customHeight="1" thickTop="1" thickBot="1" x14ac:dyDescent="0.35">
      <c r="A21" s="59">
        <v>16</v>
      </c>
      <c r="B21" s="33">
        <v>4309</v>
      </c>
      <c r="C21" s="33">
        <v>0</v>
      </c>
      <c r="D21" s="33">
        <v>1341</v>
      </c>
      <c r="E21" s="33">
        <v>245</v>
      </c>
      <c r="F21" s="33">
        <v>227</v>
      </c>
      <c r="G21" s="33">
        <v>478</v>
      </c>
      <c r="H21" s="33">
        <f t="shared" si="0"/>
        <v>6600</v>
      </c>
      <c r="I21" s="33">
        <v>0</v>
      </c>
      <c r="J21" s="44"/>
      <c r="K21" s="59">
        <v>16</v>
      </c>
      <c r="L21" s="33">
        <v>23</v>
      </c>
      <c r="M21" s="33">
        <v>14</v>
      </c>
      <c r="N21" s="33">
        <v>3</v>
      </c>
      <c r="O21" s="33">
        <f t="shared" si="1"/>
        <v>40</v>
      </c>
      <c r="P21" s="50">
        <f>+P20</f>
        <v>6135</v>
      </c>
    </row>
    <row r="22" spans="1:26" ht="18" customHeight="1" thickTop="1" thickBot="1" x14ac:dyDescent="0.35">
      <c r="A22" s="59">
        <v>17</v>
      </c>
      <c r="B22" s="33">
        <v>3519</v>
      </c>
      <c r="C22" s="33">
        <v>0</v>
      </c>
      <c r="D22" s="33">
        <v>1597</v>
      </c>
      <c r="E22" s="33">
        <v>293</v>
      </c>
      <c r="F22" s="33">
        <v>310</v>
      </c>
      <c r="G22" s="33">
        <v>488</v>
      </c>
      <c r="H22" s="33">
        <f t="shared" si="0"/>
        <v>6207</v>
      </c>
      <c r="I22" s="33">
        <v>0</v>
      </c>
      <c r="J22" s="44"/>
      <c r="K22" s="59">
        <v>17</v>
      </c>
      <c r="L22" s="33">
        <v>6</v>
      </c>
      <c r="M22" s="33">
        <v>15</v>
      </c>
      <c r="N22" s="33">
        <v>5</v>
      </c>
      <c r="O22" s="33">
        <f t="shared" si="1"/>
        <v>26</v>
      </c>
      <c r="P22" s="50">
        <f t="shared" si="2"/>
        <v>6135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8" customHeight="1" thickTop="1" thickBot="1" x14ac:dyDescent="0.35">
      <c r="A23" s="59">
        <v>18</v>
      </c>
      <c r="B23" s="33">
        <v>3496</v>
      </c>
      <c r="C23" s="33">
        <v>0</v>
      </c>
      <c r="D23" s="33">
        <v>1698</v>
      </c>
      <c r="E23" s="33">
        <v>277</v>
      </c>
      <c r="F23" s="33">
        <v>360</v>
      </c>
      <c r="G23" s="33">
        <v>515</v>
      </c>
      <c r="H23" s="54">
        <f t="shared" si="0"/>
        <v>6346</v>
      </c>
      <c r="I23" s="33">
        <v>0</v>
      </c>
      <c r="J23" s="44"/>
      <c r="K23" s="59">
        <v>18</v>
      </c>
      <c r="L23" s="33">
        <v>9</v>
      </c>
      <c r="M23" s="33">
        <v>23</v>
      </c>
      <c r="N23" s="33">
        <v>6</v>
      </c>
      <c r="O23" s="33">
        <f t="shared" si="1"/>
        <v>38</v>
      </c>
      <c r="P23" s="50">
        <f t="shared" si="2"/>
        <v>6135</v>
      </c>
    </row>
    <row r="24" spans="1:26" ht="18" customHeight="1" thickTop="1" thickBot="1" x14ac:dyDescent="0.35">
      <c r="A24" s="59">
        <v>19</v>
      </c>
      <c r="B24" s="33">
        <v>3844</v>
      </c>
      <c r="C24" s="33">
        <v>0</v>
      </c>
      <c r="D24" s="33">
        <v>1794</v>
      </c>
      <c r="E24" s="33">
        <v>296</v>
      </c>
      <c r="F24" s="33">
        <v>356</v>
      </c>
      <c r="G24" s="33">
        <v>558</v>
      </c>
      <c r="H24" s="54">
        <f t="shared" si="0"/>
        <v>6848</v>
      </c>
      <c r="I24" s="33">
        <v>0</v>
      </c>
      <c r="J24" s="44"/>
      <c r="K24" s="59">
        <v>19</v>
      </c>
      <c r="L24" s="33">
        <v>8</v>
      </c>
      <c r="M24" s="33">
        <v>13</v>
      </c>
      <c r="N24" s="33">
        <v>5</v>
      </c>
      <c r="O24" s="33">
        <f t="shared" si="1"/>
        <v>26</v>
      </c>
      <c r="P24" s="50">
        <f t="shared" si="2"/>
        <v>6135</v>
      </c>
    </row>
    <row r="25" spans="1:26" ht="18" customHeight="1" thickTop="1" thickBot="1" x14ac:dyDescent="0.35">
      <c r="A25" s="59">
        <v>20</v>
      </c>
      <c r="B25" s="33">
        <v>5309</v>
      </c>
      <c r="C25" s="33">
        <v>0</v>
      </c>
      <c r="D25" s="33">
        <v>1711</v>
      </c>
      <c r="E25" s="33">
        <v>320</v>
      </c>
      <c r="F25" s="33">
        <v>362</v>
      </c>
      <c r="G25" s="33">
        <v>486</v>
      </c>
      <c r="H25" s="33">
        <f t="shared" si="0"/>
        <v>8188</v>
      </c>
      <c r="I25" s="33">
        <v>0</v>
      </c>
      <c r="J25" s="44"/>
      <c r="K25" s="59">
        <v>20</v>
      </c>
      <c r="L25" s="33">
        <v>22</v>
      </c>
      <c r="M25" s="33">
        <v>25</v>
      </c>
      <c r="N25" s="33">
        <v>2</v>
      </c>
      <c r="O25" s="33">
        <f t="shared" si="1"/>
        <v>49</v>
      </c>
      <c r="P25" s="50">
        <f t="shared" si="2"/>
        <v>6135</v>
      </c>
    </row>
    <row r="26" spans="1:26" ht="18" customHeight="1" thickTop="1" thickBot="1" x14ac:dyDescent="0.35">
      <c r="A26" s="59">
        <v>21</v>
      </c>
      <c r="B26" s="33">
        <v>5866</v>
      </c>
      <c r="C26" s="33">
        <v>0</v>
      </c>
      <c r="D26" s="33">
        <v>1485</v>
      </c>
      <c r="E26" s="33">
        <v>259</v>
      </c>
      <c r="F26" s="33">
        <v>362</v>
      </c>
      <c r="G26" s="33">
        <v>391</v>
      </c>
      <c r="H26" s="33">
        <f t="shared" si="0"/>
        <v>8363</v>
      </c>
      <c r="I26" s="33">
        <v>0</v>
      </c>
      <c r="J26" s="44"/>
      <c r="K26" s="59">
        <v>21</v>
      </c>
      <c r="L26" s="33">
        <v>7</v>
      </c>
      <c r="M26" s="33">
        <v>14</v>
      </c>
      <c r="N26" s="33">
        <v>3</v>
      </c>
      <c r="O26" s="33">
        <f t="shared" si="1"/>
        <v>24</v>
      </c>
      <c r="P26" s="50">
        <f t="shared" si="2"/>
        <v>6135</v>
      </c>
    </row>
    <row r="27" spans="1:26" ht="18" customHeight="1" thickTop="1" thickBot="1" x14ac:dyDescent="0.35">
      <c r="A27" s="59">
        <v>22</v>
      </c>
      <c r="B27" s="33">
        <v>7506</v>
      </c>
      <c r="C27" s="33">
        <v>0</v>
      </c>
      <c r="D27" s="33">
        <v>1198</v>
      </c>
      <c r="E27" s="33">
        <v>178</v>
      </c>
      <c r="F27" s="33">
        <v>221</v>
      </c>
      <c r="G27" s="33">
        <v>345</v>
      </c>
      <c r="H27" s="33">
        <f t="shared" si="0"/>
        <v>9448</v>
      </c>
      <c r="I27" s="33">
        <v>0</v>
      </c>
      <c r="J27" s="44"/>
      <c r="K27" s="59">
        <v>22</v>
      </c>
      <c r="L27" s="33">
        <v>1</v>
      </c>
      <c r="M27" s="33">
        <v>15</v>
      </c>
      <c r="N27" s="33">
        <v>4</v>
      </c>
      <c r="O27" s="33">
        <f t="shared" si="1"/>
        <v>20</v>
      </c>
      <c r="P27" s="50">
        <f t="shared" si="2"/>
        <v>6135</v>
      </c>
    </row>
    <row r="28" spans="1:26" ht="18" customHeight="1" thickTop="1" thickBot="1" x14ac:dyDescent="0.35">
      <c r="A28" s="59">
        <v>23</v>
      </c>
      <c r="B28" s="33">
        <v>3881</v>
      </c>
      <c r="C28" s="33">
        <v>0</v>
      </c>
      <c r="D28" s="33">
        <v>1509</v>
      </c>
      <c r="E28" s="33">
        <v>373</v>
      </c>
      <c r="F28" s="33">
        <v>298</v>
      </c>
      <c r="G28" s="33">
        <v>555</v>
      </c>
      <c r="H28" s="33">
        <f t="shared" si="0"/>
        <v>6616</v>
      </c>
      <c r="I28" s="33">
        <v>0</v>
      </c>
      <c r="J28" s="44"/>
      <c r="K28" s="59">
        <v>23</v>
      </c>
      <c r="L28" s="33">
        <v>11</v>
      </c>
      <c r="M28" s="33">
        <v>8</v>
      </c>
      <c r="N28" s="33">
        <v>3</v>
      </c>
      <c r="O28" s="33">
        <f t="shared" si="1"/>
        <v>22</v>
      </c>
      <c r="P28" s="50">
        <f t="shared" si="2"/>
        <v>6135</v>
      </c>
    </row>
    <row r="29" spans="1:26" ht="18" customHeight="1" thickTop="1" thickBot="1" x14ac:dyDescent="0.35">
      <c r="A29" s="59">
        <v>24</v>
      </c>
      <c r="B29" s="33">
        <v>3575</v>
      </c>
      <c r="C29" s="33">
        <v>0</v>
      </c>
      <c r="D29" s="33">
        <v>1983</v>
      </c>
      <c r="E29" s="33">
        <v>438</v>
      </c>
      <c r="F29" s="33">
        <v>426</v>
      </c>
      <c r="G29" s="33">
        <v>648</v>
      </c>
      <c r="H29" s="33">
        <f t="shared" si="0"/>
        <v>7070</v>
      </c>
      <c r="I29" s="33">
        <v>0</v>
      </c>
      <c r="J29" s="44"/>
      <c r="K29" s="59">
        <v>24</v>
      </c>
      <c r="L29" s="33">
        <v>2</v>
      </c>
      <c r="M29" s="33">
        <v>6</v>
      </c>
      <c r="N29" s="33">
        <v>5</v>
      </c>
      <c r="O29" s="33">
        <f t="shared" si="1"/>
        <v>13</v>
      </c>
      <c r="P29" s="50">
        <f t="shared" si="2"/>
        <v>6135</v>
      </c>
    </row>
    <row r="30" spans="1:26" ht="18" customHeight="1" thickTop="1" thickBot="1" x14ac:dyDescent="0.35">
      <c r="A30" s="59">
        <v>25</v>
      </c>
      <c r="B30" s="33">
        <v>3650</v>
      </c>
      <c r="C30" s="33">
        <v>0</v>
      </c>
      <c r="D30" s="33">
        <v>2046</v>
      </c>
      <c r="E30" s="33">
        <v>456</v>
      </c>
      <c r="F30" s="33">
        <v>429</v>
      </c>
      <c r="G30" s="33">
        <v>868</v>
      </c>
      <c r="H30" s="33">
        <f>SUM(B30:G30)</f>
        <v>7449</v>
      </c>
      <c r="I30" s="33">
        <v>0</v>
      </c>
      <c r="J30" s="44"/>
      <c r="K30" s="59">
        <v>25</v>
      </c>
      <c r="L30" s="33">
        <v>5</v>
      </c>
      <c r="M30" s="33">
        <v>15</v>
      </c>
      <c r="N30" s="33">
        <v>9</v>
      </c>
      <c r="O30" s="33">
        <f t="shared" si="1"/>
        <v>29</v>
      </c>
      <c r="P30" s="50">
        <f t="shared" si="2"/>
        <v>6135</v>
      </c>
    </row>
    <row r="31" spans="1:26" ht="18" customHeight="1" thickTop="1" thickBot="1" x14ac:dyDescent="0.35">
      <c r="A31" s="59">
        <v>26</v>
      </c>
      <c r="B31" s="33">
        <v>3873</v>
      </c>
      <c r="C31" s="33">
        <v>0</v>
      </c>
      <c r="D31" s="33">
        <v>1846</v>
      </c>
      <c r="E31" s="33">
        <v>384</v>
      </c>
      <c r="F31" s="33">
        <v>352</v>
      </c>
      <c r="G31" s="33">
        <v>640</v>
      </c>
      <c r="H31" s="33">
        <f t="shared" si="0"/>
        <v>7095</v>
      </c>
      <c r="I31" s="33">
        <v>0</v>
      </c>
      <c r="J31" s="44"/>
      <c r="K31" s="59">
        <v>26</v>
      </c>
      <c r="L31" s="33">
        <v>20</v>
      </c>
      <c r="M31" s="33">
        <v>30</v>
      </c>
      <c r="N31" s="33">
        <v>9</v>
      </c>
      <c r="O31" s="33">
        <f t="shared" si="1"/>
        <v>59</v>
      </c>
      <c r="P31" s="50">
        <f t="shared" si="2"/>
        <v>6135</v>
      </c>
    </row>
    <row r="32" spans="1:26" ht="18" customHeight="1" thickTop="1" thickBot="1" x14ac:dyDescent="0.35">
      <c r="A32" s="59">
        <v>27</v>
      </c>
      <c r="B32" s="33">
        <v>5047</v>
      </c>
      <c r="C32" s="33">
        <v>0</v>
      </c>
      <c r="D32" s="33">
        <v>1649</v>
      </c>
      <c r="E32" s="33">
        <v>321</v>
      </c>
      <c r="F32" s="33">
        <v>341</v>
      </c>
      <c r="G32" s="33">
        <v>540</v>
      </c>
      <c r="H32" s="33">
        <f t="shared" si="0"/>
        <v>7898</v>
      </c>
      <c r="I32" s="33">
        <v>0</v>
      </c>
      <c r="J32" s="44"/>
      <c r="K32" s="59">
        <v>27</v>
      </c>
      <c r="L32" s="33">
        <v>3</v>
      </c>
      <c r="M32" s="33">
        <v>9</v>
      </c>
      <c r="N32" s="33">
        <v>9</v>
      </c>
      <c r="O32" s="33">
        <f t="shared" si="1"/>
        <v>21</v>
      </c>
      <c r="P32" s="50">
        <f t="shared" si="2"/>
        <v>6135</v>
      </c>
    </row>
    <row r="33" spans="1:16" ht="18" customHeight="1" thickTop="1" thickBot="1" x14ac:dyDescent="0.35">
      <c r="A33" s="59">
        <v>28</v>
      </c>
      <c r="B33" s="33">
        <v>5227</v>
      </c>
      <c r="C33" s="33">
        <v>0</v>
      </c>
      <c r="D33" s="33">
        <v>1234</v>
      </c>
      <c r="E33" s="33">
        <v>198</v>
      </c>
      <c r="F33" s="33">
        <v>250</v>
      </c>
      <c r="G33" s="33">
        <v>364</v>
      </c>
      <c r="H33" s="33">
        <f t="shared" si="0"/>
        <v>7273</v>
      </c>
      <c r="I33" s="33">
        <v>0</v>
      </c>
      <c r="J33" s="44"/>
      <c r="K33" s="59">
        <v>28</v>
      </c>
      <c r="L33" s="33">
        <v>5</v>
      </c>
      <c r="M33" s="33">
        <v>9</v>
      </c>
      <c r="N33" s="33">
        <v>2</v>
      </c>
      <c r="O33" s="33">
        <f t="shared" si="1"/>
        <v>16</v>
      </c>
      <c r="P33" s="50">
        <f t="shared" si="2"/>
        <v>6135</v>
      </c>
    </row>
    <row r="34" spans="1:16" ht="18" customHeight="1" thickTop="1" thickBot="1" x14ac:dyDescent="0.35">
      <c r="A34" s="59">
        <v>29</v>
      </c>
      <c r="B34" s="33">
        <v>4394</v>
      </c>
      <c r="C34" s="33">
        <v>0</v>
      </c>
      <c r="D34" s="33">
        <v>755</v>
      </c>
      <c r="E34" s="33">
        <v>128</v>
      </c>
      <c r="F34" s="33">
        <v>142</v>
      </c>
      <c r="G34" s="33">
        <v>240</v>
      </c>
      <c r="H34" s="33">
        <f t="shared" si="0"/>
        <v>5659</v>
      </c>
      <c r="I34" s="33">
        <v>0</v>
      </c>
      <c r="J34" s="44"/>
      <c r="K34" s="59">
        <v>29</v>
      </c>
      <c r="L34" s="33">
        <v>6</v>
      </c>
      <c r="M34" s="33">
        <v>5</v>
      </c>
      <c r="N34" s="33">
        <v>5</v>
      </c>
      <c r="O34" s="33">
        <f t="shared" si="1"/>
        <v>16</v>
      </c>
      <c r="P34" s="50">
        <f t="shared" si="2"/>
        <v>6135</v>
      </c>
    </row>
    <row r="35" spans="1:16" ht="18" customHeight="1" thickTop="1" thickBot="1" x14ac:dyDescent="0.35">
      <c r="A35" s="59">
        <v>30</v>
      </c>
      <c r="B35" s="33">
        <v>6312</v>
      </c>
      <c r="C35" s="33">
        <v>0</v>
      </c>
      <c r="D35" s="33">
        <v>923</v>
      </c>
      <c r="E35" s="33">
        <v>144</v>
      </c>
      <c r="F35" s="33">
        <v>133</v>
      </c>
      <c r="G35" s="33">
        <v>365</v>
      </c>
      <c r="H35" s="33">
        <f t="shared" si="0"/>
        <v>7877</v>
      </c>
      <c r="I35" s="33">
        <v>0</v>
      </c>
      <c r="J35" s="44"/>
      <c r="K35" s="59">
        <v>30</v>
      </c>
      <c r="L35" s="33">
        <v>0</v>
      </c>
      <c r="M35" s="33">
        <v>1</v>
      </c>
      <c r="N35" s="33">
        <v>2</v>
      </c>
      <c r="O35" s="33">
        <f t="shared" si="1"/>
        <v>3</v>
      </c>
      <c r="P35" s="50">
        <f t="shared" si="2"/>
        <v>6135</v>
      </c>
    </row>
    <row r="36" spans="1:16" ht="15.75" customHeight="1" thickTop="1" thickBot="1" x14ac:dyDescent="0.35">
      <c r="A36" s="59">
        <v>31</v>
      </c>
      <c r="B36" s="33">
        <v>3687</v>
      </c>
      <c r="C36" s="33">
        <v>0</v>
      </c>
      <c r="D36" s="33">
        <v>1209</v>
      </c>
      <c r="E36" s="33">
        <v>193</v>
      </c>
      <c r="F36" s="33">
        <v>175</v>
      </c>
      <c r="G36" s="33">
        <v>352</v>
      </c>
      <c r="H36" s="33">
        <f t="shared" si="0"/>
        <v>5616</v>
      </c>
      <c r="I36" s="33">
        <v>0</v>
      </c>
      <c r="J36" s="44"/>
      <c r="K36" s="59">
        <v>31</v>
      </c>
      <c r="L36" s="40">
        <v>5</v>
      </c>
      <c r="M36" s="40">
        <v>8</v>
      </c>
      <c r="N36" s="40">
        <v>2</v>
      </c>
      <c r="O36" s="33">
        <f t="shared" si="1"/>
        <v>15</v>
      </c>
      <c r="P36" s="50">
        <f t="shared" si="2"/>
        <v>6135</v>
      </c>
    </row>
    <row r="37" spans="1:16" ht="18" customHeight="1" thickTop="1" x14ac:dyDescent="0.3">
      <c r="A37" s="51" t="s">
        <v>19</v>
      </c>
      <c r="B37" s="48">
        <f>SUM(B6:B36)</f>
        <v>144856</v>
      </c>
      <c r="C37" s="48">
        <f t="shared" ref="C37" si="3">SUM(C6:C36)</f>
        <v>0</v>
      </c>
      <c r="D37" s="48">
        <f>SUM(D6:D36)</f>
        <v>44864</v>
      </c>
      <c r="E37" s="48">
        <f>SUM(E6:E36)</f>
        <v>8374</v>
      </c>
      <c r="F37" s="48">
        <f>SUM(F6:F36)</f>
        <v>8729</v>
      </c>
      <c r="G37" s="48">
        <f>SUM(G6:G36)</f>
        <v>14293</v>
      </c>
      <c r="H37" s="48">
        <f t="shared" ref="H37" si="4">SUM(H6:H36)</f>
        <v>221116</v>
      </c>
      <c r="I37" s="48">
        <f>SUM(I6:I33)</f>
        <v>0</v>
      </c>
      <c r="J37" s="48"/>
      <c r="K37" s="48"/>
      <c r="L37" s="48">
        <f>SUM(L6:L36)</f>
        <v>189</v>
      </c>
      <c r="M37" s="48">
        <f t="shared" ref="M37:P37" si="5">SUM(M6:M36)</f>
        <v>396</v>
      </c>
      <c r="N37" s="48">
        <f t="shared" si="5"/>
        <v>130</v>
      </c>
      <c r="O37" s="48">
        <f t="shared" si="5"/>
        <v>715</v>
      </c>
      <c r="P37" s="48">
        <f t="shared" si="5"/>
        <v>190185</v>
      </c>
    </row>
    <row r="38" spans="1:16" ht="18" customHeight="1" x14ac:dyDescent="0.3">
      <c r="A38" s="51" t="s">
        <v>19</v>
      </c>
      <c r="B38" s="169">
        <f>+B37+C37</f>
        <v>144856</v>
      </c>
      <c r="C38" s="169"/>
      <c r="D38" s="48">
        <f>+D37</f>
        <v>44864</v>
      </c>
      <c r="E38" s="48">
        <f>+E37</f>
        <v>8374</v>
      </c>
      <c r="F38" s="48">
        <f>+F37</f>
        <v>8729</v>
      </c>
      <c r="G38" s="48">
        <f>+G37</f>
        <v>14293</v>
      </c>
      <c r="H38" s="48">
        <f>+H37</f>
        <v>221116</v>
      </c>
      <c r="I38" s="48">
        <v>0</v>
      </c>
      <c r="J38" s="34"/>
      <c r="K38" s="51"/>
      <c r="L38" s="38" t="s">
        <v>23</v>
      </c>
      <c r="M38" s="38" t="s">
        <v>24</v>
      </c>
      <c r="N38" s="38" t="s">
        <v>23</v>
      </c>
      <c r="O38" s="38" t="s">
        <v>24</v>
      </c>
    </row>
    <row r="39" spans="1:16" ht="18" customHeight="1" x14ac:dyDescent="0.3">
      <c r="A39" s="53" t="s">
        <v>20</v>
      </c>
      <c r="B39" s="41"/>
      <c r="C39" s="41"/>
      <c r="D39" s="41"/>
      <c r="E39" s="41"/>
      <c r="F39" s="41"/>
      <c r="G39" s="41"/>
      <c r="H39" s="41"/>
      <c r="L39" s="39"/>
    </row>
    <row r="40" spans="1:16" x14ac:dyDescent="0.3">
      <c r="A40" s="49"/>
      <c r="B40" s="52"/>
      <c r="C40" s="52"/>
      <c r="D40" s="52"/>
      <c r="E40" s="52"/>
      <c r="F40" s="52"/>
      <c r="G40" s="52"/>
      <c r="H40" s="52"/>
      <c r="I40" s="52"/>
      <c r="J40" s="39"/>
      <c r="K40" s="23"/>
      <c r="L40" s="22"/>
    </row>
    <row r="41" spans="1:16" x14ac:dyDescent="0.3">
      <c r="A41" s="57"/>
      <c r="H41" s="57"/>
      <c r="K41" s="23"/>
      <c r="L41" s="22"/>
    </row>
    <row r="42" spans="1:16" x14ac:dyDescent="0.3">
      <c r="K42" s="23"/>
      <c r="L42" s="22"/>
    </row>
    <row r="43" spans="1:16" x14ac:dyDescent="0.3">
      <c r="G43" s="46">
        <v>4</v>
      </c>
      <c r="I43" s="57"/>
      <c r="J43" s="57"/>
    </row>
    <row r="45" spans="1:16" x14ac:dyDescent="0.3">
      <c r="A45" s="47"/>
    </row>
    <row r="46" spans="1:16" x14ac:dyDescent="0.3">
      <c r="A46" s="47"/>
      <c r="B46" s="57"/>
      <c r="C46" s="57"/>
      <c r="D46" s="57"/>
      <c r="E46" s="57"/>
      <c r="F46" s="57"/>
      <c r="G46" s="57"/>
      <c r="H46" s="57"/>
      <c r="I46" s="57"/>
      <c r="J46" s="57"/>
      <c r="K46" s="32"/>
      <c r="L46" s="57"/>
      <c r="M46" s="57"/>
      <c r="N46" s="57"/>
      <c r="O46" s="57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1D2C-12A8-4151-B798-C93AC3B2FBAD}">
  <dimension ref="A1:Z46"/>
  <sheetViews>
    <sheetView workbookViewId="0">
      <selection activeCell="E11" sqref="E11"/>
    </sheetView>
  </sheetViews>
  <sheetFormatPr baseColWidth="10" defaultRowHeight="14.4" x14ac:dyDescent="0.3"/>
  <cols>
    <col min="16" max="16" width="0" hidden="1" customWidth="1"/>
  </cols>
  <sheetData>
    <row r="1" spans="1:26" s="58" customFormat="1" ht="15.6" x14ac:dyDescent="0.3">
      <c r="A1" s="155" t="s">
        <v>35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26" s="58" customFormat="1" ht="15.6" x14ac:dyDescent="0.3">
      <c r="A2" s="155" t="s">
        <v>36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26" ht="15.6" x14ac:dyDescent="0.3">
      <c r="A3" s="164" t="s">
        <v>28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71"/>
      <c r="Q3" s="71"/>
      <c r="R3" s="71"/>
      <c r="S3" s="71"/>
    </row>
    <row r="4" spans="1:26" ht="82.8" x14ac:dyDescent="0.3">
      <c r="A4" s="162" t="s">
        <v>1</v>
      </c>
      <c r="B4" s="165" t="s">
        <v>2</v>
      </c>
      <c r="C4" s="165"/>
      <c r="D4" s="43" t="s">
        <v>3</v>
      </c>
      <c r="E4" s="43" t="s">
        <v>4</v>
      </c>
      <c r="F4" s="43" t="s">
        <v>5</v>
      </c>
      <c r="G4" s="43" t="s">
        <v>6</v>
      </c>
      <c r="H4" s="165" t="s">
        <v>7</v>
      </c>
      <c r="I4" s="165" t="s">
        <v>8</v>
      </c>
      <c r="J4" s="61"/>
      <c r="K4" s="167" t="s">
        <v>1</v>
      </c>
      <c r="L4" s="165" t="s">
        <v>9</v>
      </c>
      <c r="M4" s="165" t="s">
        <v>10</v>
      </c>
      <c r="N4" s="165" t="s">
        <v>11</v>
      </c>
      <c r="O4" s="165" t="s">
        <v>12</v>
      </c>
      <c r="P4" s="60"/>
      <c r="Q4" s="60"/>
      <c r="R4" s="60"/>
      <c r="S4" s="60"/>
    </row>
    <row r="5" spans="1:26" x14ac:dyDescent="0.3">
      <c r="A5" s="163"/>
      <c r="B5" s="42" t="s">
        <v>13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165"/>
      <c r="I5" s="165"/>
      <c r="J5" s="61"/>
      <c r="K5" s="167"/>
      <c r="L5" s="165"/>
      <c r="M5" s="165"/>
      <c r="N5" s="165"/>
      <c r="O5" s="165"/>
      <c r="P5" s="60"/>
      <c r="Q5" s="60"/>
      <c r="R5" s="60"/>
      <c r="S5" s="60"/>
    </row>
    <row r="6" spans="1:26" ht="15" thickBot="1" x14ac:dyDescent="0.35">
      <c r="A6" s="99">
        <v>1</v>
      </c>
      <c r="B6" s="100">
        <v>3514</v>
      </c>
      <c r="C6" s="100">
        <v>0</v>
      </c>
      <c r="D6" s="100">
        <v>1692</v>
      </c>
      <c r="E6" s="100">
        <v>261</v>
      </c>
      <c r="F6" s="100">
        <v>304</v>
      </c>
      <c r="G6" s="100">
        <v>462</v>
      </c>
      <c r="H6" s="100">
        <v>6233</v>
      </c>
      <c r="I6" s="100">
        <v>0</v>
      </c>
      <c r="J6" s="101"/>
      <c r="K6" s="99">
        <v>1</v>
      </c>
      <c r="L6" s="100">
        <v>7</v>
      </c>
      <c r="M6" s="100">
        <v>22</v>
      </c>
      <c r="N6" s="100">
        <v>2</v>
      </c>
      <c r="O6" s="100">
        <v>31</v>
      </c>
      <c r="P6" s="103">
        <v>6135</v>
      </c>
      <c r="Q6" s="60"/>
      <c r="R6" s="60"/>
      <c r="S6" s="60"/>
    </row>
    <row r="7" spans="1:26" ht="15.6" thickTop="1" thickBot="1" x14ac:dyDescent="0.35">
      <c r="A7" s="99">
        <v>2</v>
      </c>
      <c r="B7" s="100">
        <v>3905</v>
      </c>
      <c r="C7" s="100">
        <v>0</v>
      </c>
      <c r="D7" s="100">
        <v>1738</v>
      </c>
      <c r="E7" s="100">
        <v>271</v>
      </c>
      <c r="F7" s="100">
        <v>287</v>
      </c>
      <c r="G7" s="100">
        <v>579</v>
      </c>
      <c r="H7" s="100">
        <v>6780</v>
      </c>
      <c r="I7" s="100">
        <v>0</v>
      </c>
      <c r="J7" s="101"/>
      <c r="K7" s="99">
        <v>2</v>
      </c>
      <c r="L7" s="100">
        <v>7</v>
      </c>
      <c r="M7" s="100">
        <v>12</v>
      </c>
      <c r="N7" s="100">
        <v>6</v>
      </c>
      <c r="O7" s="100">
        <v>25</v>
      </c>
      <c r="P7" s="103">
        <v>6135</v>
      </c>
      <c r="Q7" s="60"/>
      <c r="R7" s="60"/>
      <c r="S7" s="60"/>
    </row>
    <row r="8" spans="1:26" ht="15.6" thickTop="1" thickBot="1" x14ac:dyDescent="0.35">
      <c r="A8" s="99">
        <v>3</v>
      </c>
      <c r="B8" s="100">
        <v>5188</v>
      </c>
      <c r="C8" s="100">
        <v>0</v>
      </c>
      <c r="D8" s="100">
        <v>1567</v>
      </c>
      <c r="E8" s="100">
        <v>274</v>
      </c>
      <c r="F8" s="100">
        <v>290</v>
      </c>
      <c r="G8" s="100">
        <v>445</v>
      </c>
      <c r="H8" s="100">
        <v>7764</v>
      </c>
      <c r="I8" s="100">
        <v>0</v>
      </c>
      <c r="J8" s="101"/>
      <c r="K8" s="99">
        <v>3</v>
      </c>
      <c r="L8" s="100">
        <v>7</v>
      </c>
      <c r="M8" s="100">
        <v>15</v>
      </c>
      <c r="N8" s="100">
        <v>4</v>
      </c>
      <c r="O8" s="100">
        <v>26</v>
      </c>
      <c r="P8" s="103">
        <v>6135</v>
      </c>
      <c r="Q8" s="60"/>
      <c r="R8" s="60"/>
      <c r="S8" s="69"/>
    </row>
    <row r="9" spans="1:26" ht="15.6" thickTop="1" thickBot="1" x14ac:dyDescent="0.35">
      <c r="A9" s="99">
        <v>4</v>
      </c>
      <c r="B9" s="100">
        <v>6011</v>
      </c>
      <c r="C9" s="100">
        <v>0</v>
      </c>
      <c r="D9" s="100">
        <v>1523</v>
      </c>
      <c r="E9" s="100">
        <v>242</v>
      </c>
      <c r="F9" s="100">
        <v>313</v>
      </c>
      <c r="G9" s="100">
        <v>398</v>
      </c>
      <c r="H9" s="100">
        <v>8487</v>
      </c>
      <c r="I9" s="100">
        <v>0</v>
      </c>
      <c r="J9" s="101"/>
      <c r="K9" s="99">
        <v>4</v>
      </c>
      <c r="L9" s="100">
        <v>2</v>
      </c>
      <c r="M9" s="100">
        <v>11</v>
      </c>
      <c r="N9" s="100">
        <v>7</v>
      </c>
      <c r="O9" s="100">
        <v>20</v>
      </c>
      <c r="P9" s="103">
        <v>6135</v>
      </c>
      <c r="Q9" s="60"/>
      <c r="R9" s="60"/>
      <c r="S9" s="60"/>
    </row>
    <row r="10" spans="1:26" ht="15.6" thickTop="1" thickBot="1" x14ac:dyDescent="0.35">
      <c r="A10" s="99">
        <v>5</v>
      </c>
      <c r="B10" s="100">
        <v>7059</v>
      </c>
      <c r="C10" s="100">
        <v>0</v>
      </c>
      <c r="D10" s="100">
        <v>1146</v>
      </c>
      <c r="E10" s="100">
        <v>163</v>
      </c>
      <c r="F10" s="100">
        <v>194</v>
      </c>
      <c r="G10" s="100">
        <v>353</v>
      </c>
      <c r="H10" s="100">
        <v>8915</v>
      </c>
      <c r="I10" s="100">
        <v>0</v>
      </c>
      <c r="J10" s="101"/>
      <c r="K10" s="99">
        <v>5</v>
      </c>
      <c r="L10" s="100">
        <v>6</v>
      </c>
      <c r="M10" s="100">
        <v>8</v>
      </c>
      <c r="N10" s="100">
        <v>0</v>
      </c>
      <c r="O10" s="100">
        <v>14</v>
      </c>
      <c r="P10" s="103">
        <v>6135</v>
      </c>
      <c r="Q10" s="60"/>
      <c r="R10" s="60"/>
      <c r="S10" s="60"/>
    </row>
    <row r="11" spans="1:26" ht="15.6" thickTop="1" thickBot="1" x14ac:dyDescent="0.35">
      <c r="A11" s="99">
        <v>6</v>
      </c>
      <c r="B11" s="100">
        <v>3724</v>
      </c>
      <c r="C11" s="100">
        <v>0</v>
      </c>
      <c r="D11" s="100">
        <v>1254</v>
      </c>
      <c r="E11" s="100">
        <v>277</v>
      </c>
      <c r="F11" s="100">
        <v>223</v>
      </c>
      <c r="G11" s="100">
        <v>462</v>
      </c>
      <c r="H11" s="100">
        <v>5940</v>
      </c>
      <c r="I11" s="100">
        <v>0</v>
      </c>
      <c r="J11" s="101"/>
      <c r="K11" s="99">
        <v>6</v>
      </c>
      <c r="L11" s="100">
        <v>7</v>
      </c>
      <c r="M11" s="100">
        <v>14</v>
      </c>
      <c r="N11" s="100">
        <v>3</v>
      </c>
      <c r="O11" s="100">
        <v>24</v>
      </c>
      <c r="P11" s="103">
        <v>6135</v>
      </c>
      <c r="Q11" s="60"/>
      <c r="R11" s="60"/>
      <c r="S11" s="60"/>
    </row>
    <row r="12" spans="1:26" ht="15.6" thickTop="1" thickBot="1" x14ac:dyDescent="0.35">
      <c r="A12" s="99">
        <v>7</v>
      </c>
      <c r="B12" s="100">
        <v>3384</v>
      </c>
      <c r="C12" s="100">
        <v>0</v>
      </c>
      <c r="D12" s="100">
        <v>1529</v>
      </c>
      <c r="E12" s="100">
        <v>259</v>
      </c>
      <c r="F12" s="100">
        <v>277</v>
      </c>
      <c r="G12" s="100">
        <v>468</v>
      </c>
      <c r="H12" s="100">
        <v>5917</v>
      </c>
      <c r="I12" s="100">
        <v>0</v>
      </c>
      <c r="J12" s="102"/>
      <c r="K12" s="99">
        <v>7</v>
      </c>
      <c r="L12" s="100">
        <v>5</v>
      </c>
      <c r="M12" s="100">
        <v>12</v>
      </c>
      <c r="N12" s="100">
        <v>2</v>
      </c>
      <c r="O12" s="100">
        <v>19</v>
      </c>
      <c r="P12" s="103">
        <v>6135</v>
      </c>
      <c r="Q12" s="60"/>
      <c r="R12" s="60"/>
      <c r="S12" s="60"/>
    </row>
    <row r="13" spans="1:26" ht="15.6" thickTop="1" thickBot="1" x14ac:dyDescent="0.35">
      <c r="A13" s="99">
        <v>8</v>
      </c>
      <c r="B13" s="100">
        <v>3466</v>
      </c>
      <c r="C13" s="100">
        <v>0</v>
      </c>
      <c r="D13" s="100">
        <v>1624</v>
      </c>
      <c r="E13" s="100">
        <v>266</v>
      </c>
      <c r="F13" s="100">
        <v>311</v>
      </c>
      <c r="G13" s="100">
        <v>471</v>
      </c>
      <c r="H13" s="100">
        <v>6138</v>
      </c>
      <c r="I13" s="100">
        <v>0</v>
      </c>
      <c r="J13" s="102"/>
      <c r="K13" s="99">
        <v>8</v>
      </c>
      <c r="L13" s="100">
        <v>8</v>
      </c>
      <c r="M13" s="100">
        <v>25</v>
      </c>
      <c r="N13" s="100">
        <v>7</v>
      </c>
      <c r="O13" s="100">
        <v>40</v>
      </c>
      <c r="P13" s="103">
        <v>6135</v>
      </c>
      <c r="Q13" s="60"/>
      <c r="R13" s="60"/>
      <c r="S13" s="60"/>
    </row>
    <row r="14" spans="1:26" ht="15.6" thickTop="1" thickBot="1" x14ac:dyDescent="0.35">
      <c r="A14" s="99">
        <v>9</v>
      </c>
      <c r="B14" s="100">
        <v>3460</v>
      </c>
      <c r="C14" s="100">
        <v>0</v>
      </c>
      <c r="D14" s="100">
        <v>1478</v>
      </c>
      <c r="E14" s="100">
        <v>262</v>
      </c>
      <c r="F14" s="100">
        <v>330</v>
      </c>
      <c r="G14" s="100">
        <v>486</v>
      </c>
      <c r="H14" s="100">
        <v>6016</v>
      </c>
      <c r="I14" s="100">
        <v>0</v>
      </c>
      <c r="J14" s="102"/>
      <c r="K14" s="99">
        <v>9</v>
      </c>
      <c r="L14" s="100">
        <v>3</v>
      </c>
      <c r="M14" s="100">
        <v>7</v>
      </c>
      <c r="N14" s="100">
        <v>3</v>
      </c>
      <c r="O14" s="100">
        <v>13</v>
      </c>
      <c r="P14" s="104">
        <v>6135</v>
      </c>
      <c r="Q14" s="72"/>
      <c r="R14" s="72"/>
      <c r="S14" s="72"/>
    </row>
    <row r="15" spans="1:26" ht="15.6" thickTop="1" thickBot="1" x14ac:dyDescent="0.35">
      <c r="A15" s="99">
        <v>10</v>
      </c>
      <c r="B15" s="100">
        <v>5550</v>
      </c>
      <c r="C15" s="100">
        <v>0</v>
      </c>
      <c r="D15" s="100">
        <v>1562</v>
      </c>
      <c r="E15" s="100">
        <v>282</v>
      </c>
      <c r="F15" s="100">
        <v>312</v>
      </c>
      <c r="G15" s="100">
        <v>476</v>
      </c>
      <c r="H15" s="100">
        <v>8182</v>
      </c>
      <c r="I15" s="100">
        <v>0</v>
      </c>
      <c r="J15" s="102"/>
      <c r="K15" s="99">
        <v>10</v>
      </c>
      <c r="L15" s="100">
        <v>22</v>
      </c>
      <c r="M15" s="100">
        <v>15</v>
      </c>
      <c r="N15" s="100">
        <v>8</v>
      </c>
      <c r="O15" s="100">
        <v>45</v>
      </c>
      <c r="P15" s="103">
        <v>6135</v>
      </c>
      <c r="Q15" s="60"/>
      <c r="R15" s="60"/>
      <c r="S15" s="60"/>
    </row>
    <row r="16" spans="1:26" ht="15.6" thickTop="1" thickBot="1" x14ac:dyDescent="0.35">
      <c r="A16" s="99">
        <v>11</v>
      </c>
      <c r="B16" s="100">
        <v>6257</v>
      </c>
      <c r="C16" s="100">
        <v>0</v>
      </c>
      <c r="D16" s="100">
        <v>1518</v>
      </c>
      <c r="E16" s="100">
        <v>241</v>
      </c>
      <c r="F16" s="100">
        <v>313</v>
      </c>
      <c r="G16" s="100">
        <v>387</v>
      </c>
      <c r="H16" s="100">
        <v>8716</v>
      </c>
      <c r="I16" s="100">
        <v>0</v>
      </c>
      <c r="J16" s="102"/>
      <c r="K16" s="99">
        <v>11</v>
      </c>
      <c r="L16" s="100">
        <v>13</v>
      </c>
      <c r="M16" s="100">
        <v>19</v>
      </c>
      <c r="N16" s="100">
        <v>7</v>
      </c>
      <c r="O16" s="100">
        <v>39</v>
      </c>
      <c r="P16" s="103">
        <v>6135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6" thickTop="1" thickBot="1" x14ac:dyDescent="0.35">
      <c r="A17" s="99">
        <v>12</v>
      </c>
      <c r="B17" s="100">
        <v>7586</v>
      </c>
      <c r="C17" s="100">
        <v>0</v>
      </c>
      <c r="D17" s="100">
        <v>1129</v>
      </c>
      <c r="E17" s="100">
        <v>182</v>
      </c>
      <c r="F17" s="100">
        <v>206</v>
      </c>
      <c r="G17" s="100">
        <v>303</v>
      </c>
      <c r="H17" s="100">
        <v>9406</v>
      </c>
      <c r="I17" s="100">
        <v>0</v>
      </c>
      <c r="J17" s="102"/>
      <c r="K17" s="99">
        <v>12</v>
      </c>
      <c r="L17" s="100">
        <v>8</v>
      </c>
      <c r="M17" s="100">
        <v>10</v>
      </c>
      <c r="N17" s="100">
        <v>1</v>
      </c>
      <c r="O17" s="100">
        <v>19</v>
      </c>
      <c r="P17" s="103">
        <v>6135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6" thickTop="1" thickBot="1" x14ac:dyDescent="0.35">
      <c r="A18" s="99">
        <v>13</v>
      </c>
      <c r="B18" s="100">
        <v>4050</v>
      </c>
      <c r="C18" s="100">
        <v>0</v>
      </c>
      <c r="D18" s="100">
        <v>1263</v>
      </c>
      <c r="E18" s="100">
        <v>258</v>
      </c>
      <c r="F18" s="100">
        <v>229</v>
      </c>
      <c r="G18" s="100">
        <v>463</v>
      </c>
      <c r="H18" s="100">
        <v>6263</v>
      </c>
      <c r="I18" s="100">
        <v>0</v>
      </c>
      <c r="J18" s="102"/>
      <c r="K18" s="99">
        <v>13</v>
      </c>
      <c r="L18" s="100">
        <v>10</v>
      </c>
      <c r="M18" s="100">
        <v>12</v>
      </c>
      <c r="N18" s="100">
        <v>2</v>
      </c>
      <c r="O18" s="100">
        <v>24</v>
      </c>
      <c r="P18" s="103">
        <v>6135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6" thickTop="1" thickBot="1" x14ac:dyDescent="0.35">
      <c r="A19" s="99">
        <v>14</v>
      </c>
      <c r="B19" s="100">
        <v>3415</v>
      </c>
      <c r="C19" s="100">
        <v>0</v>
      </c>
      <c r="D19" s="100">
        <v>1606</v>
      </c>
      <c r="E19" s="100">
        <v>241</v>
      </c>
      <c r="F19" s="100">
        <v>314</v>
      </c>
      <c r="G19" s="100">
        <v>505</v>
      </c>
      <c r="H19" s="100">
        <v>6081</v>
      </c>
      <c r="I19" s="100">
        <v>0</v>
      </c>
      <c r="J19" s="102"/>
      <c r="K19" s="99">
        <v>14</v>
      </c>
      <c r="L19" s="100">
        <v>11</v>
      </c>
      <c r="M19" s="100">
        <v>10</v>
      </c>
      <c r="N19" s="100">
        <v>6</v>
      </c>
      <c r="O19" s="100">
        <v>27</v>
      </c>
      <c r="P19" s="103">
        <v>6135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6" thickTop="1" thickBot="1" x14ac:dyDescent="0.35">
      <c r="A20" s="99">
        <v>15</v>
      </c>
      <c r="B20" s="100">
        <v>3645</v>
      </c>
      <c r="C20" s="100">
        <v>0</v>
      </c>
      <c r="D20" s="100">
        <v>1681</v>
      </c>
      <c r="E20" s="100">
        <v>281</v>
      </c>
      <c r="F20" s="100">
        <v>349</v>
      </c>
      <c r="G20" s="100">
        <v>498</v>
      </c>
      <c r="H20" s="100">
        <v>6454</v>
      </c>
      <c r="I20" s="100">
        <v>0</v>
      </c>
      <c r="J20" s="102"/>
      <c r="K20" s="99">
        <v>15</v>
      </c>
      <c r="L20" s="100">
        <v>3</v>
      </c>
      <c r="M20" s="100">
        <v>8</v>
      </c>
      <c r="N20" s="100">
        <v>5</v>
      </c>
      <c r="O20" s="100">
        <v>16</v>
      </c>
      <c r="P20" s="103">
        <v>6135</v>
      </c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6" thickTop="1" thickBot="1" x14ac:dyDescent="0.35">
      <c r="A21" s="99">
        <v>16</v>
      </c>
      <c r="B21" s="100">
        <v>4065</v>
      </c>
      <c r="C21" s="100">
        <v>0</v>
      </c>
      <c r="D21" s="100">
        <v>1733</v>
      </c>
      <c r="E21" s="100">
        <v>269</v>
      </c>
      <c r="F21" s="100">
        <v>355</v>
      </c>
      <c r="G21" s="100">
        <v>493</v>
      </c>
      <c r="H21" s="100">
        <v>6915</v>
      </c>
      <c r="I21" s="100">
        <v>0</v>
      </c>
      <c r="J21" s="102"/>
      <c r="K21" s="99">
        <v>16</v>
      </c>
      <c r="L21" s="100">
        <v>6</v>
      </c>
      <c r="M21" s="100">
        <v>22</v>
      </c>
      <c r="N21" s="100">
        <v>7</v>
      </c>
      <c r="O21" s="100">
        <v>35</v>
      </c>
      <c r="P21" s="103">
        <v>6135</v>
      </c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6" thickTop="1" thickBot="1" x14ac:dyDescent="0.35">
      <c r="A22" s="99">
        <v>17</v>
      </c>
      <c r="B22" s="100">
        <v>5373</v>
      </c>
      <c r="C22" s="100">
        <v>0</v>
      </c>
      <c r="D22" s="100">
        <v>1679</v>
      </c>
      <c r="E22" s="100">
        <v>265</v>
      </c>
      <c r="F22" s="100">
        <v>370</v>
      </c>
      <c r="G22" s="100">
        <v>488</v>
      </c>
      <c r="H22" s="100">
        <v>8175</v>
      </c>
      <c r="I22" s="100">
        <v>0</v>
      </c>
      <c r="J22" s="102"/>
      <c r="K22" s="99">
        <v>17</v>
      </c>
      <c r="L22" s="100">
        <v>6</v>
      </c>
      <c r="M22" s="100">
        <v>19</v>
      </c>
      <c r="N22" s="100">
        <v>7</v>
      </c>
      <c r="O22" s="100">
        <v>32</v>
      </c>
      <c r="P22" s="103">
        <v>6135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6" thickTop="1" thickBot="1" x14ac:dyDescent="0.35">
      <c r="A23" s="99">
        <v>18</v>
      </c>
      <c r="B23" s="100">
        <v>6466</v>
      </c>
      <c r="C23" s="100">
        <v>0</v>
      </c>
      <c r="D23" s="100">
        <v>1343</v>
      </c>
      <c r="E23" s="100">
        <v>201</v>
      </c>
      <c r="F23" s="100">
        <v>312</v>
      </c>
      <c r="G23" s="100">
        <v>374</v>
      </c>
      <c r="H23" s="106">
        <v>8696</v>
      </c>
      <c r="I23" s="100">
        <v>0</v>
      </c>
      <c r="J23" s="102"/>
      <c r="K23" s="99">
        <v>18</v>
      </c>
      <c r="L23" s="100">
        <v>3</v>
      </c>
      <c r="M23" s="100">
        <v>7</v>
      </c>
      <c r="N23" s="100">
        <v>0</v>
      </c>
      <c r="O23" s="100">
        <v>10</v>
      </c>
      <c r="P23" s="103">
        <v>6135</v>
      </c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6" thickTop="1" thickBot="1" x14ac:dyDescent="0.35">
      <c r="A24" s="99">
        <v>19</v>
      </c>
      <c r="B24" s="100">
        <v>5765</v>
      </c>
      <c r="C24" s="100">
        <v>0</v>
      </c>
      <c r="D24" s="100">
        <v>926</v>
      </c>
      <c r="E24" s="100">
        <v>161</v>
      </c>
      <c r="F24" s="100">
        <v>193</v>
      </c>
      <c r="G24" s="100">
        <v>239</v>
      </c>
      <c r="H24" s="106">
        <v>7284</v>
      </c>
      <c r="I24" s="100">
        <v>0</v>
      </c>
      <c r="J24" s="102"/>
      <c r="K24" s="99">
        <v>19</v>
      </c>
      <c r="L24" s="100">
        <v>1</v>
      </c>
      <c r="M24" s="100">
        <v>6</v>
      </c>
      <c r="N24" s="100">
        <v>5</v>
      </c>
      <c r="O24" s="100">
        <v>12</v>
      </c>
      <c r="P24" s="103">
        <v>6135</v>
      </c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6" thickTop="1" thickBot="1" x14ac:dyDescent="0.35">
      <c r="A25" s="99">
        <v>20</v>
      </c>
      <c r="B25" s="100">
        <v>6942</v>
      </c>
      <c r="C25" s="100">
        <v>0</v>
      </c>
      <c r="D25" s="100">
        <v>928</v>
      </c>
      <c r="E25" s="100">
        <v>150</v>
      </c>
      <c r="F25" s="100">
        <v>159</v>
      </c>
      <c r="G25" s="100">
        <v>316</v>
      </c>
      <c r="H25" s="100">
        <v>8495</v>
      </c>
      <c r="I25" s="100">
        <v>0</v>
      </c>
      <c r="J25" s="102"/>
      <c r="K25" s="99">
        <v>20</v>
      </c>
      <c r="L25" s="100">
        <v>3</v>
      </c>
      <c r="M25" s="100">
        <v>0</v>
      </c>
      <c r="N25" s="100">
        <v>2</v>
      </c>
      <c r="O25" s="100">
        <v>5</v>
      </c>
      <c r="P25" s="103">
        <v>6135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6" thickTop="1" thickBot="1" x14ac:dyDescent="0.35">
      <c r="A26" s="99">
        <v>21</v>
      </c>
      <c r="B26" s="100">
        <v>4808</v>
      </c>
      <c r="C26" s="100">
        <v>0</v>
      </c>
      <c r="D26" s="100">
        <v>1235</v>
      </c>
      <c r="E26" s="100">
        <v>197</v>
      </c>
      <c r="F26" s="100">
        <v>240</v>
      </c>
      <c r="G26" s="100">
        <v>335</v>
      </c>
      <c r="H26" s="100">
        <v>6815</v>
      </c>
      <c r="I26" s="100">
        <v>0</v>
      </c>
      <c r="J26" s="102"/>
      <c r="K26" s="99">
        <v>21</v>
      </c>
      <c r="L26" s="100">
        <v>1</v>
      </c>
      <c r="M26" s="100">
        <v>7</v>
      </c>
      <c r="N26" s="100">
        <v>5</v>
      </c>
      <c r="O26" s="100">
        <v>13</v>
      </c>
      <c r="P26" s="103">
        <v>6135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6" thickTop="1" thickBot="1" x14ac:dyDescent="0.35">
      <c r="A27" s="99">
        <v>22</v>
      </c>
      <c r="B27" s="100">
        <v>4647</v>
      </c>
      <c r="C27" s="100">
        <v>0</v>
      </c>
      <c r="D27" s="100">
        <v>1761</v>
      </c>
      <c r="E27" s="100">
        <v>231</v>
      </c>
      <c r="F27" s="100">
        <v>321</v>
      </c>
      <c r="G27" s="100">
        <v>481</v>
      </c>
      <c r="H27" s="100">
        <v>7441</v>
      </c>
      <c r="I27" s="100">
        <v>0</v>
      </c>
      <c r="J27" s="102"/>
      <c r="K27" s="99">
        <v>22</v>
      </c>
      <c r="L27" s="100">
        <v>2</v>
      </c>
      <c r="M27" s="100">
        <v>15</v>
      </c>
      <c r="N27" s="100">
        <v>3</v>
      </c>
      <c r="O27" s="100">
        <v>20</v>
      </c>
      <c r="P27" s="103">
        <v>6135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6" thickTop="1" thickBot="1" x14ac:dyDescent="0.35">
      <c r="A28" s="99">
        <v>23</v>
      </c>
      <c r="B28" s="100">
        <v>5796</v>
      </c>
      <c r="C28" s="100">
        <v>0</v>
      </c>
      <c r="D28" s="100">
        <v>1635</v>
      </c>
      <c r="E28" s="100">
        <v>284</v>
      </c>
      <c r="F28" s="100">
        <v>339</v>
      </c>
      <c r="G28" s="100">
        <v>517</v>
      </c>
      <c r="H28" s="100">
        <v>8571</v>
      </c>
      <c r="I28" s="100">
        <v>0</v>
      </c>
      <c r="J28" s="102"/>
      <c r="K28" s="99">
        <v>23</v>
      </c>
      <c r="L28" s="100">
        <v>9</v>
      </c>
      <c r="M28" s="100">
        <v>20</v>
      </c>
      <c r="N28" s="100">
        <v>7</v>
      </c>
      <c r="O28" s="100">
        <v>36</v>
      </c>
      <c r="P28" s="103">
        <v>6135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6" thickTop="1" thickBot="1" x14ac:dyDescent="0.35">
      <c r="A29" s="99">
        <v>24</v>
      </c>
      <c r="B29" s="100">
        <v>9201</v>
      </c>
      <c r="C29" s="100">
        <v>0</v>
      </c>
      <c r="D29" s="100">
        <v>1693</v>
      </c>
      <c r="E29" s="100">
        <v>267</v>
      </c>
      <c r="F29" s="100">
        <v>332</v>
      </c>
      <c r="G29" s="100">
        <v>430</v>
      </c>
      <c r="H29" s="100">
        <v>11923</v>
      </c>
      <c r="I29" s="100">
        <v>0</v>
      </c>
      <c r="J29" s="102"/>
      <c r="K29" s="99">
        <v>24</v>
      </c>
      <c r="L29" s="100">
        <v>5</v>
      </c>
      <c r="M29" s="100">
        <v>27</v>
      </c>
      <c r="N29" s="100">
        <v>4</v>
      </c>
      <c r="O29" s="100">
        <v>36</v>
      </c>
      <c r="P29" s="103">
        <v>6135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6" thickTop="1" thickBot="1" x14ac:dyDescent="0.35">
      <c r="A30" s="99">
        <v>25</v>
      </c>
      <c r="B30" s="100">
        <v>12844</v>
      </c>
      <c r="C30" s="100">
        <v>0</v>
      </c>
      <c r="D30" s="100">
        <v>1548</v>
      </c>
      <c r="E30" s="100">
        <v>207</v>
      </c>
      <c r="F30" s="100">
        <v>342</v>
      </c>
      <c r="G30" s="100">
        <v>374</v>
      </c>
      <c r="H30" s="100">
        <v>15315</v>
      </c>
      <c r="I30" s="100">
        <v>0</v>
      </c>
      <c r="J30" s="102"/>
      <c r="K30" s="99">
        <v>25</v>
      </c>
      <c r="L30" s="100">
        <v>4</v>
      </c>
      <c r="M30" s="100">
        <v>8</v>
      </c>
      <c r="N30" s="100">
        <v>3</v>
      </c>
      <c r="O30" s="100">
        <v>15</v>
      </c>
      <c r="P30" s="103">
        <v>6135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6" thickTop="1" thickBot="1" x14ac:dyDescent="0.35">
      <c r="A31" s="99">
        <v>26</v>
      </c>
      <c r="B31" s="100">
        <v>10269</v>
      </c>
      <c r="C31" s="100">
        <v>0</v>
      </c>
      <c r="D31" s="100">
        <v>1256</v>
      </c>
      <c r="E31" s="100">
        <v>169</v>
      </c>
      <c r="F31" s="100">
        <v>194</v>
      </c>
      <c r="G31" s="100">
        <v>331</v>
      </c>
      <c r="H31" s="100">
        <v>12219</v>
      </c>
      <c r="I31" s="100">
        <v>0</v>
      </c>
      <c r="J31" s="102"/>
      <c r="K31" s="99">
        <v>26</v>
      </c>
      <c r="L31" s="100">
        <v>6</v>
      </c>
      <c r="M31" s="100">
        <v>8</v>
      </c>
      <c r="N31" s="100">
        <v>2</v>
      </c>
      <c r="O31" s="100">
        <v>16</v>
      </c>
      <c r="P31" s="103">
        <v>6135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6" thickTop="1" thickBot="1" x14ac:dyDescent="0.35">
      <c r="A32" s="99">
        <v>27</v>
      </c>
      <c r="B32" s="100">
        <v>14544</v>
      </c>
      <c r="C32" s="100">
        <v>0</v>
      </c>
      <c r="D32" s="100">
        <v>763</v>
      </c>
      <c r="E32" s="100">
        <v>72</v>
      </c>
      <c r="F32" s="100">
        <v>101</v>
      </c>
      <c r="G32" s="100">
        <v>125</v>
      </c>
      <c r="H32" s="100">
        <v>15605</v>
      </c>
      <c r="I32" s="100">
        <v>0</v>
      </c>
      <c r="J32" s="102"/>
      <c r="K32" s="99">
        <v>27</v>
      </c>
      <c r="L32" s="100">
        <v>2</v>
      </c>
      <c r="M32" s="100">
        <v>3</v>
      </c>
      <c r="N32" s="100">
        <v>2</v>
      </c>
      <c r="O32" s="100">
        <v>7</v>
      </c>
      <c r="P32" s="103">
        <v>6135</v>
      </c>
    </row>
    <row r="33" spans="1:16" ht="15.6" thickTop="1" thickBot="1" x14ac:dyDescent="0.35">
      <c r="A33" s="99">
        <v>28</v>
      </c>
      <c r="B33" s="100">
        <v>6886</v>
      </c>
      <c r="C33" s="100">
        <v>0</v>
      </c>
      <c r="D33" s="100">
        <v>1414</v>
      </c>
      <c r="E33" s="100">
        <v>272</v>
      </c>
      <c r="F33" s="100">
        <v>225</v>
      </c>
      <c r="G33" s="100">
        <v>448</v>
      </c>
      <c r="H33" s="100">
        <v>9245</v>
      </c>
      <c r="I33" s="100">
        <v>0</v>
      </c>
      <c r="J33" s="102"/>
      <c r="K33" s="99">
        <v>28</v>
      </c>
      <c r="L33" s="100">
        <v>11</v>
      </c>
      <c r="M33" s="100">
        <v>6</v>
      </c>
      <c r="N33" s="100">
        <v>3</v>
      </c>
      <c r="O33" s="100">
        <v>20</v>
      </c>
      <c r="P33" s="103">
        <v>6135</v>
      </c>
    </row>
    <row r="34" spans="1:16" ht="15.6" thickTop="1" thickBot="1" x14ac:dyDescent="0.35">
      <c r="A34" s="99">
        <v>29</v>
      </c>
      <c r="B34" s="100">
        <v>5732</v>
      </c>
      <c r="C34" s="100">
        <v>0</v>
      </c>
      <c r="D34" s="100">
        <v>1827</v>
      </c>
      <c r="E34" s="100">
        <v>271</v>
      </c>
      <c r="F34" s="100">
        <v>346</v>
      </c>
      <c r="G34" s="100">
        <v>472</v>
      </c>
      <c r="H34" s="100">
        <v>8648</v>
      </c>
      <c r="I34" s="100">
        <v>0</v>
      </c>
      <c r="J34" s="102"/>
      <c r="K34" s="99">
        <v>29</v>
      </c>
      <c r="L34" s="100">
        <v>5</v>
      </c>
      <c r="M34" s="100">
        <v>10</v>
      </c>
      <c r="N34" s="100">
        <v>5</v>
      </c>
      <c r="O34" s="100">
        <v>20</v>
      </c>
      <c r="P34" s="103">
        <v>6135</v>
      </c>
    </row>
    <row r="35" spans="1:16" ht="15.6" thickTop="1" thickBot="1" x14ac:dyDescent="0.35">
      <c r="A35" s="99">
        <v>30</v>
      </c>
      <c r="B35" s="100">
        <v>6529</v>
      </c>
      <c r="C35" s="100">
        <v>0</v>
      </c>
      <c r="D35" s="100">
        <v>2069</v>
      </c>
      <c r="E35" s="100">
        <v>288</v>
      </c>
      <c r="F35" s="100">
        <v>327</v>
      </c>
      <c r="G35" s="100">
        <v>557</v>
      </c>
      <c r="H35" s="100">
        <v>9770</v>
      </c>
      <c r="I35" s="100">
        <v>0</v>
      </c>
      <c r="J35" s="102"/>
      <c r="K35" s="99">
        <v>30</v>
      </c>
      <c r="L35" s="100">
        <v>19</v>
      </c>
      <c r="M35" s="100">
        <v>7</v>
      </c>
      <c r="N35" s="100">
        <v>8</v>
      </c>
      <c r="O35" s="100">
        <v>34</v>
      </c>
      <c r="P35" s="103">
        <v>6135</v>
      </c>
    </row>
    <row r="36" spans="1:16" ht="15.6" thickTop="1" thickBot="1" x14ac:dyDescent="0.35">
      <c r="A36" s="99">
        <v>31</v>
      </c>
      <c r="B36" s="100"/>
      <c r="C36" s="100"/>
      <c r="D36" s="100"/>
      <c r="E36" s="100"/>
      <c r="F36" s="100"/>
      <c r="G36" s="100"/>
      <c r="H36" s="100">
        <v>0</v>
      </c>
      <c r="I36" s="100">
        <v>0</v>
      </c>
      <c r="J36" s="102"/>
      <c r="K36" s="99">
        <v>31</v>
      </c>
      <c r="L36" s="105"/>
      <c r="M36" s="105"/>
      <c r="N36" s="105"/>
      <c r="O36" s="100">
        <v>0</v>
      </c>
      <c r="P36" s="103">
        <v>6135</v>
      </c>
    </row>
    <row r="37" spans="1:16" ht="15" thickTop="1" x14ac:dyDescent="0.3">
      <c r="A37" s="42" t="s">
        <v>19</v>
      </c>
      <c r="B37" s="55">
        <v>180081</v>
      </c>
      <c r="C37" s="55">
        <v>0</v>
      </c>
      <c r="D37" s="55">
        <v>44120</v>
      </c>
      <c r="E37" s="55">
        <v>7064</v>
      </c>
      <c r="F37" s="55">
        <v>8408</v>
      </c>
      <c r="G37" s="55">
        <v>12736</v>
      </c>
      <c r="H37" s="55">
        <v>252409</v>
      </c>
      <c r="I37" s="55">
        <v>0</v>
      </c>
      <c r="J37" s="55"/>
      <c r="K37" s="55"/>
      <c r="L37" s="55">
        <v>202</v>
      </c>
      <c r="M37" s="55">
        <v>365</v>
      </c>
      <c r="N37" s="55">
        <v>126</v>
      </c>
      <c r="O37" s="55">
        <v>693</v>
      </c>
      <c r="P37" s="55">
        <v>190185</v>
      </c>
    </row>
    <row r="38" spans="1:16" x14ac:dyDescent="0.3">
      <c r="A38" s="42" t="s">
        <v>19</v>
      </c>
      <c r="B38" s="166">
        <v>180081</v>
      </c>
      <c r="C38" s="166"/>
      <c r="D38" s="55">
        <v>44120</v>
      </c>
      <c r="E38" s="55">
        <v>7064</v>
      </c>
      <c r="F38" s="55">
        <v>8408</v>
      </c>
      <c r="G38" s="55">
        <v>12736</v>
      </c>
      <c r="H38" s="55">
        <v>252409</v>
      </c>
      <c r="I38" s="55">
        <v>0</v>
      </c>
      <c r="J38" s="66"/>
      <c r="K38" s="42"/>
      <c r="L38" s="67" t="s">
        <v>23</v>
      </c>
      <c r="M38" s="67" t="s">
        <v>24</v>
      </c>
      <c r="N38" s="67" t="s">
        <v>23</v>
      </c>
      <c r="O38" s="67" t="s">
        <v>24</v>
      </c>
      <c r="P38" s="60"/>
    </row>
    <row r="39" spans="1:16" x14ac:dyDescent="0.3">
      <c r="A39" s="68" t="s">
        <v>20</v>
      </c>
      <c r="B39" s="70"/>
      <c r="C39" s="70"/>
      <c r="D39" s="70"/>
      <c r="E39" s="70"/>
      <c r="F39" s="70"/>
      <c r="G39" s="70"/>
      <c r="H39" s="70"/>
      <c r="I39" s="60"/>
      <c r="J39" s="60"/>
      <c r="K39" s="60"/>
      <c r="L39" s="73"/>
      <c r="M39" s="60"/>
      <c r="N39" s="60"/>
      <c r="O39" s="60"/>
      <c r="P39" s="60"/>
    </row>
    <row r="40" spans="1:16" x14ac:dyDescent="0.3">
      <c r="A40" s="78"/>
      <c r="B40" s="79"/>
      <c r="C40" s="79"/>
      <c r="D40" s="79"/>
      <c r="E40" s="79"/>
      <c r="F40" s="79"/>
      <c r="G40" s="79"/>
      <c r="H40" s="79"/>
      <c r="I40" s="79"/>
      <c r="J40" s="73"/>
      <c r="K40" s="23"/>
      <c r="L40" s="22"/>
      <c r="M40" s="60"/>
      <c r="N40" s="60"/>
      <c r="O40" s="60"/>
      <c r="P40" s="60"/>
    </row>
    <row r="41" spans="1:16" x14ac:dyDescent="0.3">
      <c r="A41" s="69"/>
      <c r="B41" s="60"/>
      <c r="C41" s="60"/>
      <c r="D41" s="60"/>
      <c r="E41" s="60"/>
      <c r="F41" s="60"/>
      <c r="G41" s="60"/>
      <c r="H41" s="69"/>
      <c r="I41" s="60"/>
      <c r="J41" s="60"/>
      <c r="K41" s="23"/>
      <c r="L41" s="22"/>
      <c r="M41" s="60"/>
      <c r="N41" s="60"/>
      <c r="O41" s="60"/>
      <c r="P41" s="60"/>
    </row>
    <row r="42" spans="1:16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23"/>
      <c r="L42" s="22"/>
      <c r="M42" s="60"/>
      <c r="N42" s="60"/>
      <c r="O42" s="60"/>
      <c r="P42" s="60"/>
    </row>
    <row r="43" spans="1:16" x14ac:dyDescent="0.3">
      <c r="A43" s="60"/>
      <c r="B43" s="60"/>
      <c r="C43" s="60"/>
      <c r="D43" s="60"/>
      <c r="E43" s="60"/>
      <c r="F43" s="60"/>
      <c r="G43" s="94">
        <v>4</v>
      </c>
      <c r="H43" s="60"/>
      <c r="I43" s="69"/>
      <c r="J43" s="69"/>
      <c r="K43" s="60"/>
      <c r="L43" s="60"/>
      <c r="M43" s="60"/>
      <c r="N43" s="60"/>
      <c r="O43" s="60"/>
      <c r="P43" s="60"/>
    </row>
    <row r="45" spans="1:16" x14ac:dyDescent="0.3">
      <c r="A45" s="77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</row>
    <row r="46" spans="1:16" x14ac:dyDescent="0.3">
      <c r="A46" s="77"/>
      <c r="B46" s="69"/>
      <c r="C46" s="69"/>
      <c r="D46" s="69"/>
      <c r="E46" s="69"/>
      <c r="F46" s="69"/>
      <c r="G46" s="69"/>
      <c r="H46" s="69"/>
      <c r="I46" s="69"/>
      <c r="J46" s="69"/>
      <c r="K46" s="74"/>
      <c r="L46" s="69"/>
      <c r="M46" s="69"/>
      <c r="N46" s="69"/>
      <c r="O46" s="69"/>
      <c r="P46" s="60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498B-6025-406E-8C24-1D107D3D1AB2}">
  <dimension ref="A1:Z46"/>
  <sheetViews>
    <sheetView workbookViewId="0">
      <selection activeCell="D34" sqref="D34"/>
    </sheetView>
  </sheetViews>
  <sheetFormatPr baseColWidth="10" defaultRowHeight="14.4" x14ac:dyDescent="0.3"/>
  <cols>
    <col min="16" max="16" width="0" hidden="1" customWidth="1"/>
  </cols>
  <sheetData>
    <row r="1" spans="1:26" s="58" customFormat="1" ht="15.6" x14ac:dyDescent="0.3">
      <c r="A1" s="155" t="s">
        <v>35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26" s="58" customFormat="1" ht="15.6" x14ac:dyDescent="0.3">
      <c r="A2" s="155" t="s">
        <v>36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26" ht="15.6" x14ac:dyDescent="0.3">
      <c r="A3" s="164" t="s">
        <v>29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71"/>
      <c r="Q3" s="71"/>
      <c r="R3" s="71"/>
      <c r="S3" s="71"/>
    </row>
    <row r="4" spans="1:26" ht="82.8" x14ac:dyDescent="0.3">
      <c r="A4" s="162" t="s">
        <v>1</v>
      </c>
      <c r="B4" s="165" t="s">
        <v>2</v>
      </c>
      <c r="C4" s="165"/>
      <c r="D4" s="43" t="s">
        <v>3</v>
      </c>
      <c r="E4" s="43" t="s">
        <v>4</v>
      </c>
      <c r="F4" s="43" t="s">
        <v>5</v>
      </c>
      <c r="G4" s="43" t="s">
        <v>6</v>
      </c>
      <c r="H4" s="165" t="s">
        <v>7</v>
      </c>
      <c r="I4" s="165" t="s">
        <v>8</v>
      </c>
      <c r="J4" s="61"/>
      <c r="K4" s="167" t="s">
        <v>1</v>
      </c>
      <c r="L4" s="165" t="s">
        <v>9</v>
      </c>
      <c r="M4" s="165" t="s">
        <v>10</v>
      </c>
      <c r="N4" s="165" t="s">
        <v>11</v>
      </c>
      <c r="O4" s="165" t="s">
        <v>12</v>
      </c>
      <c r="P4" s="60"/>
      <c r="Q4" s="60"/>
      <c r="R4" s="60"/>
      <c r="S4" s="60"/>
    </row>
    <row r="5" spans="1:26" x14ac:dyDescent="0.3">
      <c r="A5" s="163"/>
      <c r="B5" s="42" t="s">
        <v>13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165"/>
      <c r="I5" s="165"/>
      <c r="J5" s="61"/>
      <c r="K5" s="167"/>
      <c r="L5" s="165"/>
      <c r="M5" s="165"/>
      <c r="N5" s="165"/>
      <c r="O5" s="165"/>
      <c r="P5" s="60"/>
      <c r="Q5" s="60"/>
      <c r="R5" s="60"/>
      <c r="S5" s="60"/>
    </row>
    <row r="6" spans="1:26" ht="15" thickBot="1" x14ac:dyDescent="0.35">
      <c r="A6" s="107">
        <v>1</v>
      </c>
      <c r="B6" s="108">
        <v>10270</v>
      </c>
      <c r="C6" s="108">
        <v>0</v>
      </c>
      <c r="D6" s="108">
        <v>1671</v>
      </c>
      <c r="E6" s="108">
        <v>256</v>
      </c>
      <c r="F6" s="108">
        <v>256</v>
      </c>
      <c r="G6" s="108">
        <v>373</v>
      </c>
      <c r="H6" s="108">
        <v>12826</v>
      </c>
      <c r="I6" s="108">
        <v>0</v>
      </c>
      <c r="J6" s="109"/>
      <c r="K6" s="107">
        <v>1</v>
      </c>
      <c r="L6" s="108">
        <v>6</v>
      </c>
      <c r="M6" s="108">
        <v>2</v>
      </c>
      <c r="N6" s="108">
        <v>3</v>
      </c>
      <c r="O6" s="108">
        <v>11</v>
      </c>
      <c r="P6" s="111">
        <v>6135</v>
      </c>
      <c r="Q6" s="60"/>
      <c r="R6" s="60"/>
      <c r="S6" s="60"/>
    </row>
    <row r="7" spans="1:26" ht="15.6" thickTop="1" thickBot="1" x14ac:dyDescent="0.35">
      <c r="A7" s="107">
        <v>2</v>
      </c>
      <c r="B7" s="108">
        <v>14419</v>
      </c>
      <c r="C7" s="108">
        <v>0</v>
      </c>
      <c r="D7" s="108">
        <v>1588</v>
      </c>
      <c r="E7" s="108">
        <v>177</v>
      </c>
      <c r="F7" s="108">
        <v>284</v>
      </c>
      <c r="G7" s="108">
        <v>329</v>
      </c>
      <c r="H7" s="108">
        <v>16797</v>
      </c>
      <c r="I7" s="108">
        <v>0</v>
      </c>
      <c r="J7" s="109"/>
      <c r="K7" s="107">
        <v>2</v>
      </c>
      <c r="L7" s="108">
        <v>6</v>
      </c>
      <c r="M7" s="108">
        <v>2</v>
      </c>
      <c r="N7" s="108">
        <v>5</v>
      </c>
      <c r="O7" s="108">
        <v>13</v>
      </c>
      <c r="P7" s="111">
        <v>6135</v>
      </c>
      <c r="Q7" s="60"/>
      <c r="R7" s="60"/>
      <c r="S7" s="60"/>
    </row>
    <row r="8" spans="1:26" ht="15.6" thickTop="1" thickBot="1" x14ac:dyDescent="0.35">
      <c r="A8" s="107">
        <v>3</v>
      </c>
      <c r="B8" s="108">
        <v>11954</v>
      </c>
      <c r="C8" s="108">
        <v>0</v>
      </c>
      <c r="D8" s="108">
        <v>1273</v>
      </c>
      <c r="E8" s="108">
        <v>179</v>
      </c>
      <c r="F8" s="108">
        <v>221</v>
      </c>
      <c r="G8" s="108">
        <v>327</v>
      </c>
      <c r="H8" s="108">
        <v>13954</v>
      </c>
      <c r="I8" s="108">
        <v>0</v>
      </c>
      <c r="J8" s="109"/>
      <c r="K8" s="107">
        <v>3</v>
      </c>
      <c r="L8" s="108">
        <v>2</v>
      </c>
      <c r="M8" s="108">
        <v>6</v>
      </c>
      <c r="N8" s="108">
        <v>3</v>
      </c>
      <c r="O8" s="108">
        <v>11</v>
      </c>
      <c r="P8" s="111">
        <v>6135</v>
      </c>
      <c r="Q8" s="60"/>
      <c r="R8" s="60"/>
      <c r="S8" s="69"/>
    </row>
    <row r="9" spans="1:26" ht="15.6" thickTop="1" thickBot="1" x14ac:dyDescent="0.35">
      <c r="A9" s="107">
        <v>4</v>
      </c>
      <c r="B9" s="108">
        <v>16261</v>
      </c>
      <c r="C9" s="108">
        <v>0</v>
      </c>
      <c r="D9" s="108">
        <v>869</v>
      </c>
      <c r="E9" s="108">
        <v>66</v>
      </c>
      <c r="F9" s="108">
        <v>74</v>
      </c>
      <c r="G9" s="108">
        <v>124</v>
      </c>
      <c r="H9" s="108">
        <v>17394</v>
      </c>
      <c r="I9" s="108">
        <v>0</v>
      </c>
      <c r="J9" s="109"/>
      <c r="K9" s="107">
        <v>4</v>
      </c>
      <c r="L9" s="108">
        <v>3</v>
      </c>
      <c r="M9" s="108">
        <v>2</v>
      </c>
      <c r="N9" s="108">
        <v>1</v>
      </c>
      <c r="O9" s="108">
        <v>6</v>
      </c>
      <c r="P9" s="111">
        <v>6135</v>
      </c>
      <c r="Q9" s="60"/>
      <c r="R9" s="60"/>
      <c r="S9" s="60"/>
    </row>
    <row r="10" spans="1:26" ht="15.6" thickTop="1" thickBot="1" x14ac:dyDescent="0.35">
      <c r="A10" s="107">
        <v>5</v>
      </c>
      <c r="B10" s="108">
        <v>7491</v>
      </c>
      <c r="C10" s="108">
        <v>0</v>
      </c>
      <c r="D10" s="108">
        <v>1503</v>
      </c>
      <c r="E10" s="108">
        <v>304</v>
      </c>
      <c r="F10" s="108">
        <v>265</v>
      </c>
      <c r="G10" s="108">
        <v>484</v>
      </c>
      <c r="H10" s="108">
        <v>10047</v>
      </c>
      <c r="I10" s="108">
        <v>0</v>
      </c>
      <c r="J10" s="109"/>
      <c r="K10" s="107">
        <v>5</v>
      </c>
      <c r="L10" s="108">
        <v>8</v>
      </c>
      <c r="M10" s="108">
        <v>8</v>
      </c>
      <c r="N10" s="108">
        <v>3</v>
      </c>
      <c r="O10" s="108">
        <v>19</v>
      </c>
      <c r="P10" s="111">
        <v>6135</v>
      </c>
      <c r="Q10" s="60"/>
      <c r="R10" s="60"/>
      <c r="S10" s="60"/>
    </row>
    <row r="11" spans="1:26" ht="15.6" thickTop="1" thickBot="1" x14ac:dyDescent="0.35">
      <c r="A11" s="107">
        <v>6</v>
      </c>
      <c r="B11" s="108">
        <v>5705</v>
      </c>
      <c r="C11" s="108">
        <v>0</v>
      </c>
      <c r="D11" s="108">
        <v>1765</v>
      </c>
      <c r="E11" s="108">
        <v>279</v>
      </c>
      <c r="F11" s="108">
        <v>352</v>
      </c>
      <c r="G11" s="108">
        <v>451</v>
      </c>
      <c r="H11" s="108">
        <v>8552</v>
      </c>
      <c r="I11" s="108">
        <v>0</v>
      </c>
      <c r="J11" s="109"/>
      <c r="K11" s="107">
        <v>6</v>
      </c>
      <c r="L11" s="108">
        <v>8</v>
      </c>
      <c r="M11" s="108">
        <v>20</v>
      </c>
      <c r="N11" s="108">
        <v>6</v>
      </c>
      <c r="O11" s="108">
        <v>34</v>
      </c>
      <c r="P11" s="111">
        <v>6135</v>
      </c>
      <c r="Q11" s="60"/>
      <c r="R11" s="60"/>
      <c r="S11" s="60"/>
    </row>
    <row r="12" spans="1:26" ht="15.6" thickTop="1" thickBot="1" x14ac:dyDescent="0.35">
      <c r="A12" s="107">
        <v>7</v>
      </c>
      <c r="B12" s="108">
        <v>5702</v>
      </c>
      <c r="C12" s="108">
        <v>0</v>
      </c>
      <c r="D12" s="108">
        <v>1797</v>
      </c>
      <c r="E12" s="108">
        <v>297</v>
      </c>
      <c r="F12" s="108">
        <v>326</v>
      </c>
      <c r="G12" s="108">
        <v>494</v>
      </c>
      <c r="H12" s="108">
        <v>8616</v>
      </c>
      <c r="I12" s="108">
        <v>0</v>
      </c>
      <c r="J12" s="110"/>
      <c r="K12" s="107">
        <v>7</v>
      </c>
      <c r="L12" s="108">
        <v>4</v>
      </c>
      <c r="M12" s="108">
        <v>16</v>
      </c>
      <c r="N12" s="108">
        <v>4</v>
      </c>
      <c r="O12" s="108">
        <v>24</v>
      </c>
      <c r="P12" s="111">
        <v>6135</v>
      </c>
      <c r="Q12" s="60"/>
      <c r="R12" s="60"/>
      <c r="S12" s="60"/>
    </row>
    <row r="13" spans="1:26" ht="15.6" thickTop="1" thickBot="1" x14ac:dyDescent="0.35">
      <c r="A13" s="107">
        <v>8</v>
      </c>
      <c r="B13" s="108">
        <v>7161</v>
      </c>
      <c r="C13" s="108">
        <v>0</v>
      </c>
      <c r="D13" s="108">
        <v>1649</v>
      </c>
      <c r="E13" s="108">
        <v>306</v>
      </c>
      <c r="F13" s="108">
        <v>329</v>
      </c>
      <c r="G13" s="108">
        <v>440</v>
      </c>
      <c r="H13" s="108">
        <v>9885</v>
      </c>
      <c r="I13" s="108">
        <v>0</v>
      </c>
      <c r="J13" s="110"/>
      <c r="K13" s="107">
        <v>8</v>
      </c>
      <c r="L13" s="108">
        <v>5</v>
      </c>
      <c r="M13" s="108">
        <v>12</v>
      </c>
      <c r="N13" s="108">
        <v>8</v>
      </c>
      <c r="O13" s="108">
        <v>25</v>
      </c>
      <c r="P13" s="111">
        <v>6135</v>
      </c>
      <c r="Q13" s="60"/>
      <c r="R13" s="60"/>
      <c r="S13" s="60"/>
    </row>
    <row r="14" spans="1:26" ht="15.6" thickTop="1" thickBot="1" x14ac:dyDescent="0.35">
      <c r="A14" s="107">
        <v>9</v>
      </c>
      <c r="B14" s="108">
        <v>8189</v>
      </c>
      <c r="C14" s="108">
        <v>0</v>
      </c>
      <c r="D14" s="108">
        <v>1550</v>
      </c>
      <c r="E14" s="108">
        <v>216</v>
      </c>
      <c r="F14" s="108">
        <v>344</v>
      </c>
      <c r="G14" s="108">
        <v>364</v>
      </c>
      <c r="H14" s="108">
        <v>10663</v>
      </c>
      <c r="I14" s="108">
        <v>0</v>
      </c>
      <c r="J14" s="110"/>
      <c r="K14" s="107">
        <v>9</v>
      </c>
      <c r="L14" s="108">
        <v>6</v>
      </c>
      <c r="M14" s="108">
        <v>10</v>
      </c>
      <c r="N14" s="108">
        <v>4</v>
      </c>
      <c r="O14" s="108">
        <v>20</v>
      </c>
      <c r="P14" s="112">
        <v>6135</v>
      </c>
      <c r="Q14" s="72"/>
      <c r="R14" s="72"/>
      <c r="S14" s="72"/>
    </row>
    <row r="15" spans="1:26" ht="15.6" thickTop="1" thickBot="1" x14ac:dyDescent="0.35">
      <c r="A15" s="107">
        <v>10</v>
      </c>
      <c r="B15" s="108">
        <v>9912</v>
      </c>
      <c r="C15" s="108">
        <v>0</v>
      </c>
      <c r="D15" s="108">
        <v>1237</v>
      </c>
      <c r="E15" s="108">
        <v>155</v>
      </c>
      <c r="F15" s="108">
        <v>194</v>
      </c>
      <c r="G15" s="108">
        <v>298</v>
      </c>
      <c r="H15" s="108">
        <v>11796</v>
      </c>
      <c r="I15" s="108">
        <v>0</v>
      </c>
      <c r="J15" s="110"/>
      <c r="K15" s="107">
        <v>10</v>
      </c>
      <c r="L15" s="108">
        <v>2</v>
      </c>
      <c r="M15" s="108">
        <v>8</v>
      </c>
      <c r="N15" s="108">
        <v>3</v>
      </c>
      <c r="O15" s="108">
        <v>13</v>
      </c>
      <c r="P15" s="111">
        <v>6135</v>
      </c>
      <c r="Q15" s="60"/>
      <c r="R15" s="60"/>
      <c r="S15" s="60"/>
    </row>
    <row r="16" spans="1:26" ht="15.6" thickTop="1" thickBot="1" x14ac:dyDescent="0.35">
      <c r="A16" s="107">
        <v>11</v>
      </c>
      <c r="B16" s="108">
        <v>5227</v>
      </c>
      <c r="C16" s="108">
        <v>0</v>
      </c>
      <c r="D16" s="108">
        <v>1320</v>
      </c>
      <c r="E16" s="108">
        <v>298</v>
      </c>
      <c r="F16" s="108">
        <v>249</v>
      </c>
      <c r="G16" s="108">
        <v>414</v>
      </c>
      <c r="H16" s="108">
        <v>7508</v>
      </c>
      <c r="I16" s="108">
        <v>0</v>
      </c>
      <c r="J16" s="110"/>
      <c r="K16" s="107">
        <v>11</v>
      </c>
      <c r="L16" s="108">
        <v>4</v>
      </c>
      <c r="M16" s="108">
        <v>8</v>
      </c>
      <c r="N16" s="108">
        <v>1</v>
      </c>
      <c r="O16" s="108">
        <v>13</v>
      </c>
      <c r="P16" s="111">
        <v>6135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6" thickTop="1" thickBot="1" x14ac:dyDescent="0.35">
      <c r="A17" s="107">
        <v>12</v>
      </c>
      <c r="B17" s="108">
        <v>4327</v>
      </c>
      <c r="C17" s="108">
        <v>0</v>
      </c>
      <c r="D17" s="108">
        <v>1638</v>
      </c>
      <c r="E17" s="108">
        <v>312</v>
      </c>
      <c r="F17" s="108">
        <v>327</v>
      </c>
      <c r="G17" s="108">
        <v>410</v>
      </c>
      <c r="H17" s="108">
        <v>7014</v>
      </c>
      <c r="I17" s="108">
        <v>0</v>
      </c>
      <c r="J17" s="110"/>
      <c r="K17" s="107">
        <v>12</v>
      </c>
      <c r="L17" s="108">
        <v>4</v>
      </c>
      <c r="M17" s="108">
        <v>10</v>
      </c>
      <c r="N17" s="108">
        <v>7</v>
      </c>
      <c r="O17" s="108">
        <v>21</v>
      </c>
      <c r="P17" s="111">
        <v>6135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6" thickTop="1" thickBot="1" x14ac:dyDescent="0.35">
      <c r="A18" s="107">
        <v>13</v>
      </c>
      <c r="B18" s="108">
        <v>4276</v>
      </c>
      <c r="C18" s="108">
        <v>0</v>
      </c>
      <c r="D18" s="108">
        <v>1704</v>
      </c>
      <c r="E18" s="108">
        <v>267</v>
      </c>
      <c r="F18" s="108">
        <v>323</v>
      </c>
      <c r="G18" s="108">
        <v>518</v>
      </c>
      <c r="H18" s="108">
        <v>7088</v>
      </c>
      <c r="I18" s="108">
        <v>0</v>
      </c>
      <c r="J18" s="110"/>
      <c r="K18" s="107">
        <v>13</v>
      </c>
      <c r="L18" s="108">
        <v>11</v>
      </c>
      <c r="M18" s="108">
        <v>15</v>
      </c>
      <c r="N18" s="108">
        <v>3</v>
      </c>
      <c r="O18" s="108">
        <v>29</v>
      </c>
      <c r="P18" s="111">
        <v>6135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6" thickTop="1" thickBot="1" x14ac:dyDescent="0.35">
      <c r="A19" s="107">
        <v>14</v>
      </c>
      <c r="B19" s="108">
        <v>4524</v>
      </c>
      <c r="C19" s="108">
        <v>0</v>
      </c>
      <c r="D19" s="108">
        <v>1745</v>
      </c>
      <c r="E19" s="108">
        <v>317</v>
      </c>
      <c r="F19" s="108">
        <v>348</v>
      </c>
      <c r="G19" s="108">
        <v>486</v>
      </c>
      <c r="H19" s="108">
        <v>7420</v>
      </c>
      <c r="I19" s="108">
        <v>0</v>
      </c>
      <c r="J19" s="110"/>
      <c r="K19" s="107">
        <v>14</v>
      </c>
      <c r="L19" s="108">
        <v>8</v>
      </c>
      <c r="M19" s="108">
        <v>10</v>
      </c>
      <c r="N19" s="108">
        <v>6</v>
      </c>
      <c r="O19" s="108">
        <v>24</v>
      </c>
      <c r="P19" s="111">
        <v>6135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6" thickTop="1" thickBot="1" x14ac:dyDescent="0.35">
      <c r="A20" s="107">
        <v>15</v>
      </c>
      <c r="B20" s="108">
        <v>6370</v>
      </c>
      <c r="C20" s="108">
        <v>0</v>
      </c>
      <c r="D20" s="108">
        <v>1688</v>
      </c>
      <c r="E20" s="108">
        <v>326</v>
      </c>
      <c r="F20" s="108">
        <v>329</v>
      </c>
      <c r="G20" s="108">
        <v>477</v>
      </c>
      <c r="H20" s="108">
        <v>9190</v>
      </c>
      <c r="I20" s="108">
        <v>0</v>
      </c>
      <c r="J20" s="110"/>
      <c r="K20" s="107">
        <v>15</v>
      </c>
      <c r="L20" s="108">
        <v>5</v>
      </c>
      <c r="M20" s="108">
        <v>20</v>
      </c>
      <c r="N20" s="108">
        <v>8</v>
      </c>
      <c r="O20" s="108">
        <v>33</v>
      </c>
      <c r="P20" s="111">
        <v>6135</v>
      </c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6" thickTop="1" thickBot="1" x14ac:dyDescent="0.35">
      <c r="A21" s="107">
        <v>16</v>
      </c>
      <c r="B21" s="108">
        <v>7135</v>
      </c>
      <c r="C21" s="108">
        <v>0</v>
      </c>
      <c r="D21" s="108">
        <v>1496</v>
      </c>
      <c r="E21" s="108">
        <v>240</v>
      </c>
      <c r="F21" s="108">
        <v>338</v>
      </c>
      <c r="G21" s="108">
        <v>370</v>
      </c>
      <c r="H21" s="108">
        <v>9579</v>
      </c>
      <c r="I21" s="108">
        <v>0</v>
      </c>
      <c r="J21" s="110"/>
      <c r="K21" s="107">
        <v>16</v>
      </c>
      <c r="L21" s="108">
        <v>13</v>
      </c>
      <c r="M21" s="108">
        <v>12</v>
      </c>
      <c r="N21" s="108">
        <v>5</v>
      </c>
      <c r="O21" s="108">
        <v>30</v>
      </c>
      <c r="P21" s="111">
        <v>6135</v>
      </c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6" thickTop="1" thickBot="1" x14ac:dyDescent="0.35">
      <c r="A22" s="107">
        <v>17</v>
      </c>
      <c r="B22" s="108">
        <v>9133</v>
      </c>
      <c r="C22" s="108">
        <v>0</v>
      </c>
      <c r="D22" s="108">
        <v>1271</v>
      </c>
      <c r="E22" s="108">
        <v>154</v>
      </c>
      <c r="F22" s="108">
        <v>185</v>
      </c>
      <c r="G22" s="108">
        <v>286</v>
      </c>
      <c r="H22" s="108">
        <v>11029</v>
      </c>
      <c r="I22" s="108">
        <v>0</v>
      </c>
      <c r="J22" s="110"/>
      <c r="K22" s="107">
        <v>17</v>
      </c>
      <c r="L22" s="108">
        <v>4</v>
      </c>
      <c r="M22" s="108">
        <v>3</v>
      </c>
      <c r="N22" s="108">
        <v>4</v>
      </c>
      <c r="O22" s="108">
        <v>11</v>
      </c>
      <c r="P22" s="111">
        <v>6135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6" thickTop="1" thickBot="1" x14ac:dyDescent="0.35">
      <c r="A23" s="107">
        <v>18</v>
      </c>
      <c r="B23" s="108">
        <v>4473</v>
      </c>
      <c r="C23" s="108">
        <v>0</v>
      </c>
      <c r="D23" s="108">
        <v>1348</v>
      </c>
      <c r="E23" s="108">
        <v>264</v>
      </c>
      <c r="F23" s="108">
        <v>214</v>
      </c>
      <c r="G23" s="108">
        <v>431</v>
      </c>
      <c r="H23" s="114">
        <v>6730</v>
      </c>
      <c r="I23" s="108">
        <v>0</v>
      </c>
      <c r="J23" s="110"/>
      <c r="K23" s="107">
        <v>18</v>
      </c>
      <c r="L23" s="108">
        <v>5</v>
      </c>
      <c r="M23" s="108">
        <v>11</v>
      </c>
      <c r="N23" s="108">
        <v>3</v>
      </c>
      <c r="O23" s="108">
        <v>19</v>
      </c>
      <c r="P23" s="111">
        <v>6135</v>
      </c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6" thickTop="1" thickBot="1" x14ac:dyDescent="0.35">
      <c r="A24" s="107">
        <v>19</v>
      </c>
      <c r="B24" s="108">
        <v>4735</v>
      </c>
      <c r="C24" s="108">
        <v>0</v>
      </c>
      <c r="D24" s="108">
        <v>1577</v>
      </c>
      <c r="E24" s="108">
        <v>252</v>
      </c>
      <c r="F24" s="108">
        <v>321</v>
      </c>
      <c r="G24" s="108">
        <v>414</v>
      </c>
      <c r="H24" s="114">
        <v>7299</v>
      </c>
      <c r="I24" s="108">
        <v>0</v>
      </c>
      <c r="J24" s="110"/>
      <c r="K24" s="107">
        <v>19</v>
      </c>
      <c r="L24" s="108">
        <v>2</v>
      </c>
      <c r="M24" s="108">
        <v>12</v>
      </c>
      <c r="N24" s="108">
        <v>6</v>
      </c>
      <c r="O24" s="108">
        <v>20</v>
      </c>
      <c r="P24" s="111">
        <v>6135</v>
      </c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6" thickTop="1" thickBot="1" x14ac:dyDescent="0.35">
      <c r="A25" s="107">
        <v>20</v>
      </c>
      <c r="B25" s="108">
        <v>6754</v>
      </c>
      <c r="C25" s="108">
        <v>0</v>
      </c>
      <c r="D25" s="108">
        <v>1521</v>
      </c>
      <c r="E25" s="108">
        <v>231</v>
      </c>
      <c r="F25" s="108">
        <v>296</v>
      </c>
      <c r="G25" s="108">
        <v>408</v>
      </c>
      <c r="H25" s="108">
        <v>9210</v>
      </c>
      <c r="I25" s="108">
        <v>0</v>
      </c>
      <c r="J25" s="110"/>
      <c r="K25" s="107">
        <v>20</v>
      </c>
      <c r="L25" s="108">
        <v>7</v>
      </c>
      <c r="M25" s="108">
        <v>16</v>
      </c>
      <c r="N25" s="108">
        <v>2</v>
      </c>
      <c r="O25" s="108">
        <v>25</v>
      </c>
      <c r="P25" s="111">
        <v>6135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6" thickTop="1" thickBot="1" x14ac:dyDescent="0.35">
      <c r="A26" s="107">
        <v>21</v>
      </c>
      <c r="B26" s="108">
        <v>4372</v>
      </c>
      <c r="C26" s="108">
        <v>0</v>
      </c>
      <c r="D26" s="108">
        <v>1499</v>
      </c>
      <c r="E26" s="108">
        <v>294</v>
      </c>
      <c r="F26" s="108">
        <v>250</v>
      </c>
      <c r="G26" s="108">
        <v>434</v>
      </c>
      <c r="H26" s="108">
        <v>6849</v>
      </c>
      <c r="I26" s="108">
        <v>0</v>
      </c>
      <c r="J26" s="110"/>
      <c r="K26" s="107">
        <v>21</v>
      </c>
      <c r="L26" s="108">
        <v>2</v>
      </c>
      <c r="M26" s="108">
        <v>7</v>
      </c>
      <c r="N26" s="108">
        <v>6</v>
      </c>
      <c r="O26" s="108">
        <v>15</v>
      </c>
      <c r="P26" s="111">
        <v>6135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6" thickTop="1" thickBot="1" x14ac:dyDescent="0.35">
      <c r="A27" s="107">
        <v>22</v>
      </c>
      <c r="B27" s="108">
        <v>5770</v>
      </c>
      <c r="C27" s="108">
        <v>0</v>
      </c>
      <c r="D27" s="108">
        <v>1583</v>
      </c>
      <c r="E27" s="108">
        <v>248</v>
      </c>
      <c r="F27" s="108">
        <v>290</v>
      </c>
      <c r="G27" s="108">
        <v>437</v>
      </c>
      <c r="H27" s="108">
        <v>8328</v>
      </c>
      <c r="I27" s="108">
        <v>0</v>
      </c>
      <c r="J27" s="110"/>
      <c r="K27" s="107">
        <v>22</v>
      </c>
      <c r="L27" s="108">
        <v>6</v>
      </c>
      <c r="M27" s="108">
        <v>7</v>
      </c>
      <c r="N27" s="108">
        <v>1</v>
      </c>
      <c r="O27" s="108">
        <v>14</v>
      </c>
      <c r="P27" s="111">
        <v>6135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6" thickTop="1" thickBot="1" x14ac:dyDescent="0.35">
      <c r="A28" s="107">
        <v>23</v>
      </c>
      <c r="B28" s="108">
        <v>7046</v>
      </c>
      <c r="C28" s="108">
        <v>0</v>
      </c>
      <c r="D28" s="108">
        <v>1536</v>
      </c>
      <c r="E28" s="108">
        <v>232</v>
      </c>
      <c r="F28" s="108">
        <v>333</v>
      </c>
      <c r="G28" s="108">
        <v>376</v>
      </c>
      <c r="H28" s="108">
        <v>9523</v>
      </c>
      <c r="I28" s="108">
        <v>0</v>
      </c>
      <c r="J28" s="110"/>
      <c r="K28" s="107">
        <v>23</v>
      </c>
      <c r="L28" s="108">
        <v>7</v>
      </c>
      <c r="M28" s="108">
        <v>21</v>
      </c>
      <c r="N28" s="108">
        <v>3</v>
      </c>
      <c r="O28" s="108">
        <v>31</v>
      </c>
      <c r="P28" s="111">
        <v>6135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6" thickTop="1" thickBot="1" x14ac:dyDescent="0.35">
      <c r="A29" s="107">
        <v>24</v>
      </c>
      <c r="B29" s="108">
        <v>9110</v>
      </c>
      <c r="C29" s="108">
        <v>0</v>
      </c>
      <c r="D29" s="108">
        <v>1148</v>
      </c>
      <c r="E29" s="108">
        <v>169</v>
      </c>
      <c r="F29" s="108">
        <v>164</v>
      </c>
      <c r="G29" s="108">
        <v>279</v>
      </c>
      <c r="H29" s="108">
        <v>10870</v>
      </c>
      <c r="I29" s="108">
        <v>0</v>
      </c>
      <c r="J29" s="110"/>
      <c r="K29" s="107">
        <v>24</v>
      </c>
      <c r="L29" s="108">
        <v>0</v>
      </c>
      <c r="M29" s="108">
        <v>4</v>
      </c>
      <c r="N29" s="108">
        <v>3</v>
      </c>
      <c r="O29" s="108">
        <v>7</v>
      </c>
      <c r="P29" s="111">
        <v>6135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6" thickTop="1" thickBot="1" x14ac:dyDescent="0.35">
      <c r="A30" s="107">
        <v>25</v>
      </c>
      <c r="B30" s="108">
        <v>4592</v>
      </c>
      <c r="C30" s="108">
        <v>0</v>
      </c>
      <c r="D30" s="108">
        <v>1379</v>
      </c>
      <c r="E30" s="108">
        <v>292</v>
      </c>
      <c r="F30" s="108">
        <v>242</v>
      </c>
      <c r="G30" s="108">
        <v>387</v>
      </c>
      <c r="H30" s="108">
        <v>6892</v>
      </c>
      <c r="I30" s="108">
        <v>0</v>
      </c>
      <c r="J30" s="110"/>
      <c r="K30" s="107">
        <v>25</v>
      </c>
      <c r="L30" s="108">
        <v>7</v>
      </c>
      <c r="M30" s="108">
        <v>13</v>
      </c>
      <c r="N30" s="108">
        <v>7</v>
      </c>
      <c r="O30" s="108">
        <v>27</v>
      </c>
      <c r="P30" s="111">
        <v>6135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6" thickTop="1" thickBot="1" x14ac:dyDescent="0.35">
      <c r="A31" s="107">
        <v>26</v>
      </c>
      <c r="B31" s="108">
        <v>3904</v>
      </c>
      <c r="C31" s="108">
        <v>0</v>
      </c>
      <c r="D31" s="108">
        <v>1713</v>
      </c>
      <c r="E31" s="108">
        <v>274</v>
      </c>
      <c r="F31" s="108">
        <v>265</v>
      </c>
      <c r="G31" s="108">
        <v>445</v>
      </c>
      <c r="H31" s="108">
        <v>6601</v>
      </c>
      <c r="I31" s="108">
        <v>0</v>
      </c>
      <c r="J31" s="110"/>
      <c r="K31" s="107">
        <v>26</v>
      </c>
      <c r="L31" s="108">
        <v>8</v>
      </c>
      <c r="M31" s="108">
        <v>14</v>
      </c>
      <c r="N31" s="108">
        <v>3</v>
      </c>
      <c r="O31" s="108">
        <v>25</v>
      </c>
      <c r="P31" s="111">
        <v>6135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6" thickTop="1" thickBot="1" x14ac:dyDescent="0.35">
      <c r="A32" s="107">
        <v>27</v>
      </c>
      <c r="B32" s="108">
        <v>4080</v>
      </c>
      <c r="C32" s="108">
        <v>0</v>
      </c>
      <c r="D32" s="108">
        <v>1723</v>
      </c>
      <c r="E32" s="108">
        <v>345</v>
      </c>
      <c r="F32" s="108">
        <v>322</v>
      </c>
      <c r="G32" s="108">
        <v>488</v>
      </c>
      <c r="H32" s="108">
        <v>6958</v>
      </c>
      <c r="I32" s="108">
        <v>0</v>
      </c>
      <c r="J32" s="110"/>
      <c r="K32" s="107">
        <v>27</v>
      </c>
      <c r="L32" s="108">
        <v>10</v>
      </c>
      <c r="M32" s="108">
        <v>14</v>
      </c>
      <c r="N32" s="108">
        <v>2</v>
      </c>
      <c r="O32" s="108">
        <v>26</v>
      </c>
      <c r="P32" s="111">
        <v>6135</v>
      </c>
    </row>
    <row r="33" spans="1:16" ht="15.6" thickTop="1" thickBot="1" x14ac:dyDescent="0.35">
      <c r="A33" s="107">
        <v>28</v>
      </c>
      <c r="B33" s="108">
        <v>4397</v>
      </c>
      <c r="C33" s="108">
        <v>0</v>
      </c>
      <c r="D33" s="108">
        <v>1827</v>
      </c>
      <c r="E33" s="108">
        <v>331</v>
      </c>
      <c r="F33" s="108">
        <v>319</v>
      </c>
      <c r="G33" s="108">
        <v>499</v>
      </c>
      <c r="H33" s="108">
        <v>7373</v>
      </c>
      <c r="I33" s="108">
        <v>0</v>
      </c>
      <c r="J33" s="110"/>
      <c r="K33" s="107">
        <v>28</v>
      </c>
      <c r="L33" s="108">
        <v>7</v>
      </c>
      <c r="M33" s="108">
        <v>11</v>
      </c>
      <c r="N33" s="108">
        <v>8</v>
      </c>
      <c r="O33" s="108">
        <v>26</v>
      </c>
      <c r="P33" s="111">
        <v>6135</v>
      </c>
    </row>
    <row r="34" spans="1:16" ht="15.6" thickTop="1" thickBot="1" x14ac:dyDescent="0.35">
      <c r="A34" s="107">
        <v>29</v>
      </c>
      <c r="B34" s="108">
        <v>6090</v>
      </c>
      <c r="C34" s="108">
        <v>0</v>
      </c>
      <c r="D34" s="108">
        <v>1737</v>
      </c>
      <c r="E34" s="108">
        <v>293</v>
      </c>
      <c r="F34" s="108">
        <v>311</v>
      </c>
      <c r="G34" s="108">
        <v>484</v>
      </c>
      <c r="H34" s="108">
        <v>8915</v>
      </c>
      <c r="I34" s="108">
        <v>0</v>
      </c>
      <c r="J34" s="110"/>
      <c r="K34" s="107">
        <v>29</v>
      </c>
      <c r="L34" s="108">
        <v>10</v>
      </c>
      <c r="M34" s="108">
        <v>22</v>
      </c>
      <c r="N34" s="108">
        <v>7</v>
      </c>
      <c r="O34" s="108">
        <v>39</v>
      </c>
      <c r="P34" s="111">
        <v>6135</v>
      </c>
    </row>
    <row r="35" spans="1:16" ht="15.6" thickTop="1" thickBot="1" x14ac:dyDescent="0.35">
      <c r="A35" s="107">
        <v>30</v>
      </c>
      <c r="B35" s="108">
        <v>6880</v>
      </c>
      <c r="C35" s="108">
        <v>0</v>
      </c>
      <c r="D35" s="108">
        <v>1489</v>
      </c>
      <c r="E35" s="108">
        <v>270</v>
      </c>
      <c r="F35" s="108">
        <v>298</v>
      </c>
      <c r="G35" s="108">
        <v>383</v>
      </c>
      <c r="H35" s="108">
        <v>9320</v>
      </c>
      <c r="I35" s="108">
        <v>0</v>
      </c>
      <c r="J35" s="110"/>
      <c r="K35" s="107">
        <v>30</v>
      </c>
      <c r="L35" s="108">
        <v>6</v>
      </c>
      <c r="M35" s="108">
        <v>12</v>
      </c>
      <c r="N35" s="108">
        <v>4</v>
      </c>
      <c r="O35" s="108">
        <v>22</v>
      </c>
      <c r="P35" s="111">
        <v>6135</v>
      </c>
    </row>
    <row r="36" spans="1:16" ht="15.6" thickTop="1" thickBot="1" x14ac:dyDescent="0.35">
      <c r="A36" s="107">
        <v>31</v>
      </c>
      <c r="B36" s="108">
        <v>8706</v>
      </c>
      <c r="C36" s="108">
        <v>0</v>
      </c>
      <c r="D36" s="108">
        <v>1116</v>
      </c>
      <c r="E36" s="108">
        <v>166</v>
      </c>
      <c r="F36" s="108">
        <v>157</v>
      </c>
      <c r="G36" s="108">
        <v>276</v>
      </c>
      <c r="H36" s="108">
        <v>10421</v>
      </c>
      <c r="I36" s="108">
        <v>0</v>
      </c>
      <c r="J36" s="110"/>
      <c r="K36" s="107">
        <v>31</v>
      </c>
      <c r="L36" s="113">
        <v>7</v>
      </c>
      <c r="M36" s="113">
        <v>5</v>
      </c>
      <c r="N36" s="113">
        <v>5</v>
      </c>
      <c r="O36" s="108">
        <v>17</v>
      </c>
      <c r="P36" s="111">
        <v>6135</v>
      </c>
    </row>
    <row r="37" spans="1:16" ht="15" thickTop="1" x14ac:dyDescent="0.3">
      <c r="A37" s="42" t="s">
        <v>19</v>
      </c>
      <c r="B37" s="55">
        <v>218965</v>
      </c>
      <c r="C37" s="55">
        <v>0</v>
      </c>
      <c r="D37" s="55">
        <v>46960</v>
      </c>
      <c r="E37" s="55">
        <v>7810</v>
      </c>
      <c r="F37" s="55">
        <v>8526</v>
      </c>
      <c r="G37" s="55">
        <v>12386</v>
      </c>
      <c r="H37" s="55">
        <v>294647</v>
      </c>
      <c r="I37" s="55">
        <v>0</v>
      </c>
      <c r="J37" s="55"/>
      <c r="K37" s="55"/>
      <c r="L37" s="55">
        <v>183</v>
      </c>
      <c r="M37" s="55">
        <v>333</v>
      </c>
      <c r="N37" s="55">
        <v>134</v>
      </c>
      <c r="O37" s="55">
        <v>650</v>
      </c>
      <c r="P37" s="55">
        <v>190185</v>
      </c>
    </row>
    <row r="38" spans="1:16" x14ac:dyDescent="0.3">
      <c r="A38" s="42" t="s">
        <v>19</v>
      </c>
      <c r="B38" s="166">
        <v>218965</v>
      </c>
      <c r="C38" s="166"/>
      <c r="D38" s="55">
        <v>46960</v>
      </c>
      <c r="E38" s="55">
        <v>7810</v>
      </c>
      <c r="F38" s="55">
        <v>8526</v>
      </c>
      <c r="G38" s="55">
        <v>12386</v>
      </c>
      <c r="H38" s="55">
        <v>294647</v>
      </c>
      <c r="I38" s="55">
        <v>0</v>
      </c>
      <c r="J38" s="66"/>
      <c r="K38" s="42"/>
      <c r="L38" s="67" t="s">
        <v>23</v>
      </c>
      <c r="M38" s="67" t="s">
        <v>24</v>
      </c>
      <c r="N38" s="67" t="s">
        <v>23</v>
      </c>
      <c r="O38" s="67" t="s">
        <v>24</v>
      </c>
      <c r="P38" s="60"/>
    </row>
    <row r="39" spans="1:16" x14ac:dyDescent="0.3">
      <c r="A39" s="68" t="s">
        <v>20</v>
      </c>
      <c r="B39" s="70"/>
      <c r="C39" s="70"/>
      <c r="D39" s="70"/>
      <c r="E39" s="70"/>
      <c r="F39" s="70"/>
      <c r="G39" s="70"/>
      <c r="H39" s="70"/>
      <c r="I39" s="60"/>
      <c r="J39" s="60"/>
      <c r="K39" s="60"/>
      <c r="L39" s="73"/>
      <c r="M39" s="60"/>
      <c r="N39" s="60"/>
      <c r="O39" s="60"/>
      <c r="P39" s="60"/>
    </row>
    <row r="40" spans="1:16" x14ac:dyDescent="0.3">
      <c r="A40" s="78"/>
      <c r="B40" s="79"/>
      <c r="C40" s="79"/>
      <c r="D40" s="79"/>
      <c r="E40" s="79"/>
      <c r="F40" s="79"/>
      <c r="G40" s="79"/>
      <c r="H40" s="79"/>
      <c r="I40" s="79"/>
      <c r="J40" s="73"/>
      <c r="K40" s="23"/>
      <c r="L40" s="22"/>
      <c r="M40" s="60"/>
      <c r="N40" s="60"/>
      <c r="O40" s="60"/>
      <c r="P40" s="60"/>
    </row>
    <row r="41" spans="1:16" x14ac:dyDescent="0.3">
      <c r="A41" s="69"/>
      <c r="B41" s="60"/>
      <c r="C41" s="60"/>
      <c r="D41" s="60"/>
      <c r="E41" s="60"/>
      <c r="F41" s="60"/>
      <c r="G41" s="60"/>
      <c r="H41" s="69"/>
      <c r="I41" s="60"/>
      <c r="J41" s="60"/>
      <c r="K41" s="23"/>
      <c r="L41" s="22"/>
      <c r="M41" s="60"/>
      <c r="N41" s="60"/>
      <c r="O41" s="60"/>
      <c r="P41" s="60"/>
    </row>
    <row r="42" spans="1:16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23"/>
      <c r="L42" s="22"/>
      <c r="M42" s="60"/>
      <c r="N42" s="60"/>
      <c r="O42" s="60"/>
      <c r="P42" s="60"/>
    </row>
    <row r="43" spans="1:16" x14ac:dyDescent="0.3">
      <c r="A43" s="60"/>
      <c r="B43" s="60"/>
      <c r="C43" s="60"/>
      <c r="D43" s="60"/>
      <c r="E43" s="60"/>
      <c r="F43" s="60"/>
      <c r="G43" s="94">
        <v>4</v>
      </c>
      <c r="H43" s="60"/>
      <c r="I43" s="69"/>
      <c r="J43" s="69"/>
      <c r="K43" s="60"/>
      <c r="L43" s="60"/>
      <c r="M43" s="60"/>
      <c r="N43" s="60"/>
      <c r="O43" s="60"/>
      <c r="P43" s="60"/>
    </row>
    <row r="45" spans="1:16" x14ac:dyDescent="0.3">
      <c r="A45" s="77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</row>
    <row r="46" spans="1:16" x14ac:dyDescent="0.3">
      <c r="A46" s="77"/>
      <c r="B46" s="69"/>
      <c r="C46" s="69"/>
      <c r="D46" s="69"/>
      <c r="E46" s="69"/>
      <c r="F46" s="69"/>
      <c r="G46" s="69"/>
      <c r="H46" s="69"/>
      <c r="I46" s="69"/>
      <c r="J46" s="69"/>
      <c r="K46" s="74"/>
      <c r="L46" s="69"/>
      <c r="M46" s="69"/>
      <c r="N46" s="69"/>
      <c r="O46" s="69"/>
      <c r="P46" s="60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62B9-E6ED-437E-A244-21BECA52D34F}">
  <dimension ref="A1:Z46"/>
  <sheetViews>
    <sheetView workbookViewId="0">
      <selection activeCell="E16" sqref="E16"/>
    </sheetView>
  </sheetViews>
  <sheetFormatPr baseColWidth="10" defaultRowHeight="14.4" x14ac:dyDescent="0.3"/>
  <cols>
    <col min="16" max="16" width="0" hidden="1" customWidth="1"/>
  </cols>
  <sheetData>
    <row r="1" spans="1:26" s="58" customFormat="1" ht="15.6" x14ac:dyDescent="0.3">
      <c r="A1" s="155" t="s">
        <v>35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26" s="58" customFormat="1" ht="15.6" x14ac:dyDescent="0.3">
      <c r="A2" s="155" t="s">
        <v>36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26" ht="15.6" x14ac:dyDescent="0.3">
      <c r="A3" s="164" t="s">
        <v>30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71"/>
      <c r="Q3" s="71"/>
      <c r="R3" s="71"/>
      <c r="S3" s="71"/>
    </row>
    <row r="4" spans="1:26" ht="82.8" x14ac:dyDescent="0.3">
      <c r="A4" s="162" t="s">
        <v>1</v>
      </c>
      <c r="B4" s="165" t="s">
        <v>2</v>
      </c>
      <c r="C4" s="165"/>
      <c r="D4" s="43" t="s">
        <v>3</v>
      </c>
      <c r="E4" s="43" t="s">
        <v>4</v>
      </c>
      <c r="F4" s="43" t="s">
        <v>5</v>
      </c>
      <c r="G4" s="43" t="s">
        <v>6</v>
      </c>
      <c r="H4" s="165" t="s">
        <v>7</v>
      </c>
      <c r="I4" s="165" t="s">
        <v>8</v>
      </c>
      <c r="J4" s="61"/>
      <c r="K4" s="167" t="s">
        <v>1</v>
      </c>
      <c r="L4" s="165" t="s">
        <v>9</v>
      </c>
      <c r="M4" s="165" t="s">
        <v>10</v>
      </c>
      <c r="N4" s="165" t="s">
        <v>11</v>
      </c>
      <c r="O4" s="165" t="s">
        <v>12</v>
      </c>
      <c r="P4" s="60"/>
      <c r="Q4" s="60"/>
      <c r="R4" s="60"/>
      <c r="S4" s="60"/>
    </row>
    <row r="5" spans="1:26" x14ac:dyDescent="0.3">
      <c r="A5" s="163"/>
      <c r="B5" s="42" t="s">
        <v>13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165"/>
      <c r="I5" s="165"/>
      <c r="J5" s="61"/>
      <c r="K5" s="167"/>
      <c r="L5" s="165"/>
      <c r="M5" s="165"/>
      <c r="N5" s="165"/>
      <c r="O5" s="165"/>
      <c r="P5" s="60"/>
      <c r="Q5" s="60"/>
      <c r="R5" s="60"/>
      <c r="S5" s="60"/>
    </row>
    <row r="6" spans="1:26" ht="15" thickBot="1" x14ac:dyDescent="0.35">
      <c r="A6" s="115">
        <v>1</v>
      </c>
      <c r="B6" s="116">
        <v>4487</v>
      </c>
      <c r="C6" s="116">
        <v>0</v>
      </c>
      <c r="D6" s="116">
        <v>1306</v>
      </c>
      <c r="E6" s="116">
        <v>335</v>
      </c>
      <c r="F6" s="116">
        <v>199</v>
      </c>
      <c r="G6" s="116">
        <v>377</v>
      </c>
      <c r="H6" s="116">
        <v>6704</v>
      </c>
      <c r="I6" s="116">
        <v>0</v>
      </c>
      <c r="J6" s="117"/>
      <c r="K6" s="115">
        <v>1</v>
      </c>
      <c r="L6" s="116">
        <v>6</v>
      </c>
      <c r="M6" s="116">
        <v>20</v>
      </c>
      <c r="N6" s="116">
        <v>5</v>
      </c>
      <c r="O6" s="116">
        <v>31</v>
      </c>
      <c r="P6" s="119">
        <v>6135</v>
      </c>
      <c r="Q6" s="60"/>
      <c r="R6" s="60"/>
      <c r="S6" s="60"/>
    </row>
    <row r="7" spans="1:26" ht="15.6" thickTop="1" thickBot="1" x14ac:dyDescent="0.35">
      <c r="A7" s="115">
        <v>2</v>
      </c>
      <c r="B7" s="116">
        <v>3837</v>
      </c>
      <c r="C7" s="116">
        <v>0</v>
      </c>
      <c r="D7" s="116">
        <v>1554</v>
      </c>
      <c r="E7" s="116">
        <v>300</v>
      </c>
      <c r="F7" s="116">
        <v>255</v>
      </c>
      <c r="G7" s="116">
        <v>402</v>
      </c>
      <c r="H7" s="116">
        <v>6348</v>
      </c>
      <c r="I7" s="116">
        <v>0</v>
      </c>
      <c r="J7" s="117"/>
      <c r="K7" s="115">
        <v>2</v>
      </c>
      <c r="L7" s="116">
        <v>8</v>
      </c>
      <c r="M7" s="116">
        <v>20</v>
      </c>
      <c r="N7" s="116">
        <v>6</v>
      </c>
      <c r="O7" s="116">
        <v>34</v>
      </c>
      <c r="P7" s="119">
        <v>6135</v>
      </c>
      <c r="Q7" s="60"/>
      <c r="R7" s="60"/>
      <c r="S7" s="60"/>
    </row>
    <row r="8" spans="1:26" ht="15.6" thickTop="1" thickBot="1" x14ac:dyDescent="0.35">
      <c r="A8" s="115">
        <v>3</v>
      </c>
      <c r="B8" s="116">
        <v>3902</v>
      </c>
      <c r="C8" s="116">
        <v>0</v>
      </c>
      <c r="D8" s="116">
        <v>1682</v>
      </c>
      <c r="E8" s="116">
        <v>299</v>
      </c>
      <c r="F8" s="116">
        <v>348</v>
      </c>
      <c r="G8" s="116">
        <v>525</v>
      </c>
      <c r="H8" s="116">
        <v>6756</v>
      </c>
      <c r="I8" s="116">
        <v>0</v>
      </c>
      <c r="J8" s="117"/>
      <c r="K8" s="115">
        <v>3</v>
      </c>
      <c r="L8" s="116">
        <v>5</v>
      </c>
      <c r="M8" s="116">
        <v>11</v>
      </c>
      <c r="N8" s="116">
        <v>5</v>
      </c>
      <c r="O8" s="116">
        <v>21</v>
      </c>
      <c r="P8" s="119">
        <v>6135</v>
      </c>
      <c r="Q8" s="60"/>
      <c r="R8" s="60"/>
      <c r="S8" s="69"/>
    </row>
    <row r="9" spans="1:26" ht="15.6" thickTop="1" thickBot="1" x14ac:dyDescent="0.35">
      <c r="A9" s="115">
        <v>4</v>
      </c>
      <c r="B9" s="116">
        <v>4305</v>
      </c>
      <c r="C9" s="116">
        <v>0</v>
      </c>
      <c r="D9" s="116">
        <v>1756</v>
      </c>
      <c r="E9" s="116">
        <v>303</v>
      </c>
      <c r="F9" s="116">
        <v>304</v>
      </c>
      <c r="G9" s="116">
        <v>508</v>
      </c>
      <c r="H9" s="116">
        <v>7176</v>
      </c>
      <c r="I9" s="116">
        <v>0</v>
      </c>
      <c r="J9" s="117"/>
      <c r="K9" s="115">
        <v>4</v>
      </c>
      <c r="L9" s="116">
        <v>4</v>
      </c>
      <c r="M9" s="116">
        <v>14</v>
      </c>
      <c r="N9" s="116">
        <v>4</v>
      </c>
      <c r="O9" s="116">
        <v>22</v>
      </c>
      <c r="P9" s="119">
        <v>6135</v>
      </c>
      <c r="Q9" s="60"/>
      <c r="R9" s="60"/>
      <c r="S9" s="60"/>
    </row>
    <row r="10" spans="1:26" ht="15.6" thickTop="1" thickBot="1" x14ac:dyDescent="0.35">
      <c r="A10" s="115">
        <v>5</v>
      </c>
      <c r="B10" s="116">
        <v>5798</v>
      </c>
      <c r="C10" s="116">
        <v>0</v>
      </c>
      <c r="D10" s="116">
        <v>1661</v>
      </c>
      <c r="E10" s="116">
        <v>268</v>
      </c>
      <c r="F10" s="116">
        <v>324</v>
      </c>
      <c r="G10" s="116">
        <v>454</v>
      </c>
      <c r="H10" s="116">
        <v>8505</v>
      </c>
      <c r="I10" s="116">
        <v>0</v>
      </c>
      <c r="J10" s="117"/>
      <c r="K10" s="115">
        <v>5</v>
      </c>
      <c r="L10" s="116">
        <v>10</v>
      </c>
      <c r="M10" s="116">
        <v>6</v>
      </c>
      <c r="N10" s="116">
        <v>5</v>
      </c>
      <c r="O10" s="116">
        <v>21</v>
      </c>
      <c r="P10" s="119">
        <v>6135</v>
      </c>
      <c r="Q10" s="60"/>
      <c r="R10" s="60"/>
      <c r="S10" s="60"/>
    </row>
    <row r="11" spans="1:26" ht="15.6" thickTop="1" thickBot="1" x14ac:dyDescent="0.35">
      <c r="A11" s="115">
        <v>6</v>
      </c>
      <c r="B11" s="116">
        <v>6762</v>
      </c>
      <c r="C11" s="116">
        <v>0</v>
      </c>
      <c r="D11" s="116">
        <v>1523</v>
      </c>
      <c r="E11" s="116">
        <v>246</v>
      </c>
      <c r="F11" s="116">
        <v>325</v>
      </c>
      <c r="G11" s="116">
        <v>381</v>
      </c>
      <c r="H11" s="116">
        <v>9237</v>
      </c>
      <c r="I11" s="116">
        <v>0</v>
      </c>
      <c r="J11" s="117"/>
      <c r="K11" s="115">
        <v>6</v>
      </c>
      <c r="L11" s="116">
        <v>6</v>
      </c>
      <c r="M11" s="116">
        <v>11</v>
      </c>
      <c r="N11" s="116">
        <v>4</v>
      </c>
      <c r="O11" s="116">
        <v>21</v>
      </c>
      <c r="P11" s="119">
        <v>6135</v>
      </c>
      <c r="Q11" s="60"/>
      <c r="R11" s="60"/>
      <c r="S11" s="60"/>
    </row>
    <row r="12" spans="1:26" ht="15.6" thickTop="1" thickBot="1" x14ac:dyDescent="0.35">
      <c r="A12" s="115">
        <v>7</v>
      </c>
      <c r="B12" s="116">
        <v>8120</v>
      </c>
      <c r="C12" s="116">
        <v>0</v>
      </c>
      <c r="D12" s="116">
        <v>1179</v>
      </c>
      <c r="E12" s="116">
        <v>169</v>
      </c>
      <c r="F12" s="116">
        <v>172</v>
      </c>
      <c r="G12" s="116">
        <v>297</v>
      </c>
      <c r="H12" s="116">
        <v>9937</v>
      </c>
      <c r="I12" s="116">
        <v>0</v>
      </c>
      <c r="J12" s="118"/>
      <c r="K12" s="115">
        <v>7</v>
      </c>
      <c r="L12" s="116">
        <v>3</v>
      </c>
      <c r="M12" s="116">
        <v>0</v>
      </c>
      <c r="N12" s="116">
        <v>3</v>
      </c>
      <c r="O12" s="116">
        <v>6</v>
      </c>
      <c r="P12" s="119">
        <v>6135</v>
      </c>
      <c r="Q12" s="60"/>
      <c r="R12" s="60"/>
      <c r="S12" s="60"/>
    </row>
    <row r="13" spans="1:26" ht="15.6" thickTop="1" thickBot="1" x14ac:dyDescent="0.35">
      <c r="A13" s="115">
        <v>8</v>
      </c>
      <c r="B13" s="116">
        <v>4190</v>
      </c>
      <c r="C13" s="116">
        <v>0</v>
      </c>
      <c r="D13" s="116">
        <v>1347</v>
      </c>
      <c r="E13" s="116">
        <v>277</v>
      </c>
      <c r="F13" s="116">
        <v>230</v>
      </c>
      <c r="G13" s="116">
        <v>412</v>
      </c>
      <c r="H13" s="116">
        <v>6456</v>
      </c>
      <c r="I13" s="116">
        <v>0</v>
      </c>
      <c r="J13" s="118"/>
      <c r="K13" s="115">
        <v>8</v>
      </c>
      <c r="L13" s="116">
        <v>8</v>
      </c>
      <c r="M13" s="116">
        <v>9</v>
      </c>
      <c r="N13" s="116">
        <v>8</v>
      </c>
      <c r="O13" s="116">
        <v>25</v>
      </c>
      <c r="P13" s="119">
        <v>6135</v>
      </c>
      <c r="Q13" s="60"/>
      <c r="R13" s="60"/>
      <c r="S13" s="60"/>
    </row>
    <row r="14" spans="1:26" ht="15.6" thickTop="1" thickBot="1" x14ac:dyDescent="0.35">
      <c r="A14" s="115">
        <v>9</v>
      </c>
      <c r="B14" s="116">
        <v>3945</v>
      </c>
      <c r="C14" s="116">
        <v>0</v>
      </c>
      <c r="D14" s="116">
        <v>1613</v>
      </c>
      <c r="E14" s="116">
        <v>281</v>
      </c>
      <c r="F14" s="116">
        <v>296</v>
      </c>
      <c r="G14" s="116">
        <v>416</v>
      </c>
      <c r="H14" s="116">
        <v>6551</v>
      </c>
      <c r="I14" s="116">
        <v>0</v>
      </c>
      <c r="J14" s="118"/>
      <c r="K14" s="115">
        <v>9</v>
      </c>
      <c r="L14" s="116">
        <v>9</v>
      </c>
      <c r="M14" s="116">
        <v>11</v>
      </c>
      <c r="N14" s="116">
        <v>5</v>
      </c>
      <c r="O14" s="116">
        <v>25</v>
      </c>
      <c r="P14" s="120">
        <v>6135</v>
      </c>
      <c r="Q14" s="72"/>
      <c r="R14" s="72"/>
      <c r="S14" s="72"/>
    </row>
    <row r="15" spans="1:26" ht="15.6" thickTop="1" thickBot="1" x14ac:dyDescent="0.35">
      <c r="A15" s="115">
        <v>10</v>
      </c>
      <c r="B15" s="116">
        <v>4285</v>
      </c>
      <c r="C15" s="116">
        <v>0</v>
      </c>
      <c r="D15" s="116">
        <v>1797</v>
      </c>
      <c r="E15" s="116">
        <v>291</v>
      </c>
      <c r="F15" s="116">
        <v>333</v>
      </c>
      <c r="G15" s="116">
        <v>453</v>
      </c>
      <c r="H15" s="116">
        <v>7159</v>
      </c>
      <c r="I15" s="116">
        <v>0</v>
      </c>
      <c r="J15" s="118"/>
      <c r="K15" s="115">
        <v>10</v>
      </c>
      <c r="L15" s="116">
        <v>4</v>
      </c>
      <c r="M15" s="116">
        <v>17</v>
      </c>
      <c r="N15" s="116">
        <v>5</v>
      </c>
      <c r="O15" s="116">
        <v>26</v>
      </c>
      <c r="P15" s="119">
        <v>6135</v>
      </c>
      <c r="Q15" s="60"/>
      <c r="R15" s="60"/>
      <c r="S15" s="60"/>
    </row>
    <row r="16" spans="1:26" ht="15.6" thickTop="1" thickBot="1" x14ac:dyDescent="0.35">
      <c r="A16" s="115">
        <v>11</v>
      </c>
      <c r="B16" s="116">
        <v>5596</v>
      </c>
      <c r="C16" s="116">
        <v>0</v>
      </c>
      <c r="D16" s="116">
        <v>1746</v>
      </c>
      <c r="E16" s="116">
        <v>273</v>
      </c>
      <c r="F16" s="116">
        <v>324</v>
      </c>
      <c r="G16" s="116">
        <v>546</v>
      </c>
      <c r="H16" s="116">
        <v>8485</v>
      </c>
      <c r="I16" s="116">
        <v>0</v>
      </c>
      <c r="J16" s="118"/>
      <c r="K16" s="115">
        <v>11</v>
      </c>
      <c r="L16" s="116">
        <v>7</v>
      </c>
      <c r="M16" s="116">
        <v>16</v>
      </c>
      <c r="N16" s="116">
        <v>5</v>
      </c>
      <c r="O16" s="116">
        <v>28</v>
      </c>
      <c r="P16" s="119">
        <v>6135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6" thickTop="1" thickBot="1" x14ac:dyDescent="0.35">
      <c r="A17" s="115">
        <v>12</v>
      </c>
      <c r="B17" s="116">
        <v>9461</v>
      </c>
      <c r="C17" s="116">
        <v>0</v>
      </c>
      <c r="D17" s="116">
        <v>1576</v>
      </c>
      <c r="E17" s="116">
        <v>260</v>
      </c>
      <c r="F17" s="116">
        <v>285</v>
      </c>
      <c r="G17" s="116">
        <v>384</v>
      </c>
      <c r="H17" s="116">
        <v>11966</v>
      </c>
      <c r="I17" s="116">
        <v>0</v>
      </c>
      <c r="J17" s="118"/>
      <c r="K17" s="115">
        <v>12</v>
      </c>
      <c r="L17" s="116">
        <v>5</v>
      </c>
      <c r="M17" s="116">
        <v>20</v>
      </c>
      <c r="N17" s="116">
        <v>8</v>
      </c>
      <c r="O17" s="116">
        <v>33</v>
      </c>
      <c r="P17" s="119">
        <v>6135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6" thickTop="1" thickBot="1" x14ac:dyDescent="0.35">
      <c r="A18" s="115">
        <v>13</v>
      </c>
      <c r="B18" s="116">
        <v>13966</v>
      </c>
      <c r="C18" s="116">
        <v>0</v>
      </c>
      <c r="D18" s="116">
        <v>1427</v>
      </c>
      <c r="E18" s="116">
        <v>146</v>
      </c>
      <c r="F18" s="116">
        <v>308</v>
      </c>
      <c r="G18" s="116">
        <v>245</v>
      </c>
      <c r="H18" s="116">
        <v>16092</v>
      </c>
      <c r="I18" s="116">
        <v>0</v>
      </c>
      <c r="J18" s="118"/>
      <c r="K18" s="115">
        <v>13</v>
      </c>
      <c r="L18" s="116">
        <v>3</v>
      </c>
      <c r="M18" s="116">
        <v>18</v>
      </c>
      <c r="N18" s="116">
        <v>4</v>
      </c>
      <c r="O18" s="116">
        <v>25</v>
      </c>
      <c r="P18" s="119">
        <v>6135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6" thickTop="1" thickBot="1" x14ac:dyDescent="0.35">
      <c r="A19" s="115">
        <v>14</v>
      </c>
      <c r="B19" s="116">
        <v>10165</v>
      </c>
      <c r="C19" s="116">
        <v>0</v>
      </c>
      <c r="D19" s="116">
        <v>1276</v>
      </c>
      <c r="E19" s="116">
        <v>186</v>
      </c>
      <c r="F19" s="116">
        <v>184</v>
      </c>
      <c r="G19" s="116">
        <v>289</v>
      </c>
      <c r="H19" s="116">
        <v>12100</v>
      </c>
      <c r="I19" s="116">
        <v>0</v>
      </c>
      <c r="J19" s="118"/>
      <c r="K19" s="115">
        <v>14</v>
      </c>
      <c r="L19" s="116">
        <v>7</v>
      </c>
      <c r="M19" s="116">
        <v>12</v>
      </c>
      <c r="N19" s="116">
        <v>5</v>
      </c>
      <c r="O19" s="116">
        <v>24</v>
      </c>
      <c r="P19" s="119">
        <v>6135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6" thickTop="1" thickBot="1" x14ac:dyDescent="0.35">
      <c r="A20" s="115">
        <v>15</v>
      </c>
      <c r="B20" s="116">
        <v>17776</v>
      </c>
      <c r="C20" s="116">
        <v>0</v>
      </c>
      <c r="D20" s="116">
        <v>923</v>
      </c>
      <c r="E20" s="116">
        <v>91</v>
      </c>
      <c r="F20" s="116">
        <v>74</v>
      </c>
      <c r="G20" s="116">
        <v>125</v>
      </c>
      <c r="H20" s="116">
        <v>18989</v>
      </c>
      <c r="I20" s="116">
        <v>0</v>
      </c>
      <c r="J20" s="118"/>
      <c r="K20" s="115">
        <v>15</v>
      </c>
      <c r="L20" s="116">
        <v>1</v>
      </c>
      <c r="M20" s="116">
        <v>1</v>
      </c>
      <c r="N20" s="116">
        <v>2</v>
      </c>
      <c r="O20" s="116">
        <v>4</v>
      </c>
      <c r="P20" s="119">
        <v>6135</v>
      </c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6" thickTop="1" thickBot="1" x14ac:dyDescent="0.35">
      <c r="A21" s="115">
        <v>16</v>
      </c>
      <c r="B21" s="116">
        <v>6645</v>
      </c>
      <c r="C21" s="116">
        <v>0</v>
      </c>
      <c r="D21" s="116">
        <v>1494</v>
      </c>
      <c r="E21" s="116">
        <v>279</v>
      </c>
      <c r="F21" s="116">
        <v>240</v>
      </c>
      <c r="G21" s="116">
        <v>460</v>
      </c>
      <c r="H21" s="116">
        <v>9118</v>
      </c>
      <c r="I21" s="116">
        <v>0</v>
      </c>
      <c r="J21" s="118"/>
      <c r="K21" s="115">
        <v>16</v>
      </c>
      <c r="L21" s="116">
        <v>6</v>
      </c>
      <c r="M21" s="116">
        <v>11</v>
      </c>
      <c r="N21" s="116">
        <v>6</v>
      </c>
      <c r="O21" s="116">
        <v>23</v>
      </c>
      <c r="P21" s="119">
        <v>6135</v>
      </c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6" thickTop="1" thickBot="1" x14ac:dyDescent="0.35">
      <c r="A22" s="115">
        <v>17</v>
      </c>
      <c r="B22" s="116">
        <v>4405</v>
      </c>
      <c r="C22" s="116">
        <v>0</v>
      </c>
      <c r="D22" s="116">
        <v>1799</v>
      </c>
      <c r="E22" s="116">
        <v>280</v>
      </c>
      <c r="F22" s="116">
        <v>320</v>
      </c>
      <c r="G22" s="116">
        <v>496</v>
      </c>
      <c r="H22" s="116">
        <v>7300</v>
      </c>
      <c r="I22" s="116">
        <v>0</v>
      </c>
      <c r="J22" s="118"/>
      <c r="K22" s="115">
        <v>17</v>
      </c>
      <c r="L22" s="116">
        <v>9</v>
      </c>
      <c r="M22" s="116">
        <v>12</v>
      </c>
      <c r="N22" s="116">
        <v>3</v>
      </c>
      <c r="O22" s="116">
        <v>24</v>
      </c>
      <c r="P22" s="119">
        <v>6135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6" thickTop="1" thickBot="1" x14ac:dyDescent="0.35">
      <c r="A23" s="115">
        <v>18</v>
      </c>
      <c r="B23" s="116">
        <v>4359</v>
      </c>
      <c r="C23" s="116">
        <v>0</v>
      </c>
      <c r="D23" s="116">
        <v>1708</v>
      </c>
      <c r="E23" s="116">
        <v>300</v>
      </c>
      <c r="F23" s="116">
        <v>341</v>
      </c>
      <c r="G23" s="116">
        <v>517</v>
      </c>
      <c r="H23" s="122">
        <v>7225</v>
      </c>
      <c r="I23" s="116">
        <v>0</v>
      </c>
      <c r="J23" s="118"/>
      <c r="K23" s="115">
        <v>18</v>
      </c>
      <c r="L23" s="116">
        <v>0</v>
      </c>
      <c r="M23" s="116">
        <v>8</v>
      </c>
      <c r="N23" s="116">
        <v>4</v>
      </c>
      <c r="O23" s="116">
        <v>12</v>
      </c>
      <c r="P23" s="119">
        <v>6135</v>
      </c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6" thickTop="1" thickBot="1" x14ac:dyDescent="0.35">
      <c r="A24" s="115">
        <v>19</v>
      </c>
      <c r="B24" s="116">
        <v>5445</v>
      </c>
      <c r="C24" s="116">
        <v>0</v>
      </c>
      <c r="D24" s="116">
        <v>1647</v>
      </c>
      <c r="E24" s="116">
        <v>298</v>
      </c>
      <c r="F24" s="116">
        <v>308</v>
      </c>
      <c r="G24" s="116">
        <v>469</v>
      </c>
      <c r="H24" s="122">
        <v>8167</v>
      </c>
      <c r="I24" s="116">
        <v>0</v>
      </c>
      <c r="J24" s="118"/>
      <c r="K24" s="115">
        <v>19</v>
      </c>
      <c r="L24" s="116">
        <v>9</v>
      </c>
      <c r="M24" s="116">
        <v>20</v>
      </c>
      <c r="N24" s="116">
        <v>2</v>
      </c>
      <c r="O24" s="116">
        <v>31</v>
      </c>
      <c r="P24" s="119">
        <v>6135</v>
      </c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6" thickTop="1" thickBot="1" x14ac:dyDescent="0.35">
      <c r="A25" s="115">
        <v>20</v>
      </c>
      <c r="B25" s="116">
        <v>6430</v>
      </c>
      <c r="C25" s="116">
        <v>0</v>
      </c>
      <c r="D25" s="116">
        <v>1487</v>
      </c>
      <c r="E25" s="116">
        <v>248</v>
      </c>
      <c r="F25" s="116">
        <v>345</v>
      </c>
      <c r="G25" s="116">
        <v>422</v>
      </c>
      <c r="H25" s="116">
        <v>8932</v>
      </c>
      <c r="I25" s="116">
        <v>0</v>
      </c>
      <c r="J25" s="118"/>
      <c r="K25" s="115">
        <v>20</v>
      </c>
      <c r="L25" s="116">
        <v>10</v>
      </c>
      <c r="M25" s="116">
        <v>22</v>
      </c>
      <c r="N25" s="116">
        <v>6</v>
      </c>
      <c r="O25" s="116">
        <v>38</v>
      </c>
      <c r="P25" s="119">
        <v>6135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6" thickTop="1" thickBot="1" x14ac:dyDescent="0.35">
      <c r="A26" s="115">
        <v>21</v>
      </c>
      <c r="B26" s="116">
        <v>7627</v>
      </c>
      <c r="C26" s="116">
        <v>0</v>
      </c>
      <c r="D26" s="116">
        <v>1105</v>
      </c>
      <c r="E26" s="116">
        <v>156</v>
      </c>
      <c r="F26" s="116">
        <v>156</v>
      </c>
      <c r="G26" s="116">
        <v>332</v>
      </c>
      <c r="H26" s="116">
        <v>9376</v>
      </c>
      <c r="I26" s="116">
        <v>0</v>
      </c>
      <c r="J26" s="118"/>
      <c r="K26" s="115">
        <v>21</v>
      </c>
      <c r="L26" s="116">
        <v>3</v>
      </c>
      <c r="M26" s="116">
        <v>7</v>
      </c>
      <c r="N26" s="116">
        <v>3</v>
      </c>
      <c r="O26" s="116">
        <v>13</v>
      </c>
      <c r="P26" s="119">
        <v>6135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6" thickTop="1" thickBot="1" x14ac:dyDescent="0.35">
      <c r="A27" s="115">
        <v>22</v>
      </c>
      <c r="B27" s="116">
        <v>4206</v>
      </c>
      <c r="C27" s="116">
        <v>0</v>
      </c>
      <c r="D27" s="116">
        <v>1517</v>
      </c>
      <c r="E27" s="116">
        <v>360</v>
      </c>
      <c r="F27" s="116">
        <v>279</v>
      </c>
      <c r="G27" s="116">
        <v>585</v>
      </c>
      <c r="H27" s="116">
        <v>6947</v>
      </c>
      <c r="I27" s="116">
        <v>0</v>
      </c>
      <c r="J27" s="118"/>
      <c r="K27" s="115">
        <v>22</v>
      </c>
      <c r="L27" s="116">
        <v>6</v>
      </c>
      <c r="M27" s="116">
        <v>14</v>
      </c>
      <c r="N27" s="116">
        <v>2</v>
      </c>
      <c r="O27" s="116">
        <v>22</v>
      </c>
      <c r="P27" s="119">
        <v>6135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6" thickTop="1" thickBot="1" x14ac:dyDescent="0.35">
      <c r="A28" s="115">
        <v>23</v>
      </c>
      <c r="B28" s="116">
        <v>3829</v>
      </c>
      <c r="C28" s="116">
        <v>0</v>
      </c>
      <c r="D28" s="116">
        <v>1625</v>
      </c>
      <c r="E28" s="116">
        <v>255</v>
      </c>
      <c r="F28" s="116">
        <v>299</v>
      </c>
      <c r="G28" s="116">
        <v>474</v>
      </c>
      <c r="H28" s="116">
        <v>6482</v>
      </c>
      <c r="I28" s="116">
        <v>0</v>
      </c>
      <c r="J28" s="118"/>
      <c r="K28" s="115">
        <v>23</v>
      </c>
      <c r="L28" s="116">
        <v>7</v>
      </c>
      <c r="M28" s="116">
        <v>16</v>
      </c>
      <c r="N28" s="116">
        <v>6</v>
      </c>
      <c r="O28" s="116">
        <v>29</v>
      </c>
      <c r="P28" s="119">
        <v>6135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6" thickTop="1" thickBot="1" x14ac:dyDescent="0.35">
      <c r="A29" s="115">
        <v>24</v>
      </c>
      <c r="B29" s="116">
        <v>3841</v>
      </c>
      <c r="C29" s="116">
        <v>0</v>
      </c>
      <c r="D29" s="116">
        <v>1679</v>
      </c>
      <c r="E29" s="116">
        <v>298</v>
      </c>
      <c r="F29" s="116">
        <v>326</v>
      </c>
      <c r="G29" s="116">
        <v>523</v>
      </c>
      <c r="H29" s="116">
        <v>6667</v>
      </c>
      <c r="I29" s="116">
        <v>0</v>
      </c>
      <c r="J29" s="118"/>
      <c r="K29" s="115">
        <v>24</v>
      </c>
      <c r="L29" s="116">
        <v>6</v>
      </c>
      <c r="M29" s="116">
        <v>13</v>
      </c>
      <c r="N29" s="116">
        <v>5</v>
      </c>
      <c r="O29" s="116">
        <v>24</v>
      </c>
      <c r="P29" s="119">
        <v>6135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6" thickTop="1" thickBot="1" x14ac:dyDescent="0.35">
      <c r="A30" s="115">
        <v>25</v>
      </c>
      <c r="B30" s="116">
        <v>4217</v>
      </c>
      <c r="C30" s="116">
        <v>0</v>
      </c>
      <c r="D30" s="116">
        <v>1656</v>
      </c>
      <c r="E30" s="116">
        <v>293</v>
      </c>
      <c r="F30" s="116">
        <v>273</v>
      </c>
      <c r="G30" s="116">
        <v>458</v>
      </c>
      <c r="H30" s="116">
        <v>6897</v>
      </c>
      <c r="I30" s="116">
        <v>0</v>
      </c>
      <c r="J30" s="118"/>
      <c r="K30" s="115">
        <v>25</v>
      </c>
      <c r="L30" s="116">
        <v>16</v>
      </c>
      <c r="M30" s="116">
        <v>11</v>
      </c>
      <c r="N30" s="116">
        <v>13</v>
      </c>
      <c r="O30" s="116">
        <v>40</v>
      </c>
      <c r="P30" s="119">
        <v>6135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6" thickTop="1" thickBot="1" x14ac:dyDescent="0.35">
      <c r="A31" s="115">
        <v>26</v>
      </c>
      <c r="B31" s="116">
        <v>5895</v>
      </c>
      <c r="C31" s="116">
        <v>0</v>
      </c>
      <c r="D31" s="116">
        <v>1741</v>
      </c>
      <c r="E31" s="116">
        <v>290</v>
      </c>
      <c r="F31" s="116">
        <v>353</v>
      </c>
      <c r="G31" s="116">
        <v>488</v>
      </c>
      <c r="H31" s="116">
        <v>8767</v>
      </c>
      <c r="I31" s="116">
        <v>0</v>
      </c>
      <c r="J31" s="118"/>
      <c r="K31" s="115">
        <v>26</v>
      </c>
      <c r="L31" s="116">
        <v>9</v>
      </c>
      <c r="M31" s="116">
        <v>23</v>
      </c>
      <c r="N31" s="116">
        <v>7</v>
      </c>
      <c r="O31" s="116">
        <v>39</v>
      </c>
      <c r="P31" s="119">
        <v>6135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6" thickTop="1" thickBot="1" x14ac:dyDescent="0.35">
      <c r="A32" s="115">
        <v>27</v>
      </c>
      <c r="B32" s="116">
        <v>6517</v>
      </c>
      <c r="C32" s="116">
        <v>0</v>
      </c>
      <c r="D32" s="116">
        <v>1534</v>
      </c>
      <c r="E32" s="116">
        <v>273</v>
      </c>
      <c r="F32" s="116">
        <v>307</v>
      </c>
      <c r="G32" s="116">
        <v>377</v>
      </c>
      <c r="H32" s="116">
        <v>9008</v>
      </c>
      <c r="I32" s="116">
        <v>0</v>
      </c>
      <c r="J32" s="118"/>
      <c r="K32" s="115">
        <v>27</v>
      </c>
      <c r="L32" s="116">
        <v>8</v>
      </c>
      <c r="M32" s="116">
        <v>19</v>
      </c>
      <c r="N32" s="116">
        <v>6</v>
      </c>
      <c r="O32" s="116">
        <v>33</v>
      </c>
      <c r="P32" s="119">
        <v>6135</v>
      </c>
    </row>
    <row r="33" spans="1:16" ht="15.6" thickTop="1" thickBot="1" x14ac:dyDescent="0.35">
      <c r="A33" s="115">
        <v>28</v>
      </c>
      <c r="B33" s="116">
        <v>8489</v>
      </c>
      <c r="C33" s="116">
        <v>0</v>
      </c>
      <c r="D33" s="116">
        <v>1125</v>
      </c>
      <c r="E33" s="116">
        <v>172</v>
      </c>
      <c r="F33" s="116">
        <v>184</v>
      </c>
      <c r="G33" s="116">
        <v>289</v>
      </c>
      <c r="H33" s="116">
        <v>10259</v>
      </c>
      <c r="I33" s="116">
        <v>0</v>
      </c>
      <c r="J33" s="118"/>
      <c r="K33" s="115">
        <v>28</v>
      </c>
      <c r="L33" s="116">
        <v>6</v>
      </c>
      <c r="M33" s="116">
        <v>4</v>
      </c>
      <c r="N33" s="116">
        <v>9</v>
      </c>
      <c r="O33" s="116">
        <v>19</v>
      </c>
      <c r="P33" s="119">
        <v>6135</v>
      </c>
    </row>
    <row r="34" spans="1:16" ht="15.6" thickTop="1" thickBot="1" x14ac:dyDescent="0.35">
      <c r="A34" s="115">
        <v>29</v>
      </c>
      <c r="B34" s="116">
        <v>4374</v>
      </c>
      <c r="C34" s="116">
        <v>0</v>
      </c>
      <c r="D34" s="116">
        <v>1451</v>
      </c>
      <c r="E34" s="116">
        <v>303</v>
      </c>
      <c r="F34" s="116">
        <v>278</v>
      </c>
      <c r="G34" s="116">
        <v>525</v>
      </c>
      <c r="H34" s="116">
        <v>6931</v>
      </c>
      <c r="I34" s="116">
        <v>0</v>
      </c>
      <c r="J34" s="118"/>
      <c r="K34" s="115">
        <v>29</v>
      </c>
      <c r="L34" s="116">
        <v>12</v>
      </c>
      <c r="M34" s="116">
        <v>18</v>
      </c>
      <c r="N34" s="116">
        <v>5</v>
      </c>
      <c r="O34" s="116">
        <v>35</v>
      </c>
      <c r="P34" s="119">
        <v>6135</v>
      </c>
    </row>
    <row r="35" spans="1:16" ht="15.6" thickTop="1" thickBot="1" x14ac:dyDescent="0.35">
      <c r="A35" s="115">
        <v>30</v>
      </c>
      <c r="B35" s="116">
        <v>3679</v>
      </c>
      <c r="C35" s="116">
        <v>0</v>
      </c>
      <c r="D35" s="116">
        <v>1585</v>
      </c>
      <c r="E35" s="116">
        <v>314</v>
      </c>
      <c r="F35" s="116">
        <v>323</v>
      </c>
      <c r="G35" s="116">
        <v>443</v>
      </c>
      <c r="H35" s="116">
        <v>6344</v>
      </c>
      <c r="I35" s="116">
        <v>0</v>
      </c>
      <c r="J35" s="118"/>
      <c r="K35" s="115">
        <v>30</v>
      </c>
      <c r="L35" s="116">
        <v>13</v>
      </c>
      <c r="M35" s="116">
        <v>20</v>
      </c>
      <c r="N35" s="116">
        <v>7</v>
      </c>
      <c r="O35" s="116">
        <v>40</v>
      </c>
      <c r="P35" s="119">
        <v>6135</v>
      </c>
    </row>
    <row r="36" spans="1:16" ht="15.6" thickTop="1" thickBot="1" x14ac:dyDescent="0.35">
      <c r="A36" s="115">
        <v>31</v>
      </c>
      <c r="B36" s="116">
        <v>3811</v>
      </c>
      <c r="C36" s="116">
        <v>0</v>
      </c>
      <c r="D36" s="116">
        <v>1643</v>
      </c>
      <c r="E36" s="116">
        <v>268</v>
      </c>
      <c r="F36" s="116">
        <v>317</v>
      </c>
      <c r="G36" s="116">
        <v>501</v>
      </c>
      <c r="H36" s="116">
        <v>6540</v>
      </c>
      <c r="I36" s="116">
        <v>0</v>
      </c>
      <c r="J36" s="118"/>
      <c r="K36" s="115">
        <v>31</v>
      </c>
      <c r="L36" s="121">
        <v>13</v>
      </c>
      <c r="M36" s="121">
        <v>7</v>
      </c>
      <c r="N36" s="121">
        <v>15</v>
      </c>
      <c r="O36" s="116">
        <v>35</v>
      </c>
      <c r="P36" s="119">
        <v>6135</v>
      </c>
    </row>
    <row r="37" spans="1:16" ht="15" thickTop="1" x14ac:dyDescent="0.3">
      <c r="A37" s="42" t="s">
        <v>19</v>
      </c>
      <c r="B37" s="55">
        <v>190364</v>
      </c>
      <c r="C37" s="55">
        <v>0</v>
      </c>
      <c r="D37" s="55">
        <v>47162</v>
      </c>
      <c r="E37" s="55">
        <v>8112</v>
      </c>
      <c r="F37" s="55">
        <v>8610</v>
      </c>
      <c r="G37" s="55">
        <v>13173</v>
      </c>
      <c r="H37" s="55">
        <v>267421</v>
      </c>
      <c r="I37" s="55">
        <v>0</v>
      </c>
      <c r="J37" s="55"/>
      <c r="K37" s="55"/>
      <c r="L37" s="55">
        <v>219</v>
      </c>
      <c r="M37" s="55">
        <v>411</v>
      </c>
      <c r="N37" s="55">
        <v>173</v>
      </c>
      <c r="O37" s="55">
        <v>803</v>
      </c>
      <c r="P37" s="55">
        <v>190185</v>
      </c>
    </row>
    <row r="38" spans="1:16" x14ac:dyDescent="0.3">
      <c r="A38" s="42" t="s">
        <v>19</v>
      </c>
      <c r="B38" s="166">
        <v>190364</v>
      </c>
      <c r="C38" s="166"/>
      <c r="D38" s="55">
        <v>47162</v>
      </c>
      <c r="E38" s="55">
        <v>8112</v>
      </c>
      <c r="F38" s="55">
        <v>8610</v>
      </c>
      <c r="G38" s="55">
        <v>13173</v>
      </c>
      <c r="H38" s="55">
        <v>267421</v>
      </c>
      <c r="I38" s="55">
        <v>0</v>
      </c>
      <c r="J38" s="66"/>
      <c r="K38" s="42"/>
      <c r="L38" s="67" t="s">
        <v>23</v>
      </c>
      <c r="M38" s="67" t="s">
        <v>24</v>
      </c>
      <c r="N38" s="67" t="s">
        <v>23</v>
      </c>
      <c r="O38" s="67" t="s">
        <v>24</v>
      </c>
      <c r="P38" s="60"/>
    </row>
    <row r="39" spans="1:16" x14ac:dyDescent="0.3">
      <c r="A39" s="68" t="s">
        <v>20</v>
      </c>
      <c r="B39" s="70"/>
      <c r="C39" s="70"/>
      <c r="D39" s="70"/>
      <c r="E39" s="70"/>
      <c r="F39" s="70"/>
      <c r="G39" s="70"/>
      <c r="H39" s="70"/>
      <c r="I39" s="60"/>
      <c r="J39" s="60"/>
      <c r="K39" s="60"/>
      <c r="L39" s="73"/>
      <c r="M39" s="60"/>
      <c r="N39" s="60"/>
      <c r="O39" s="60"/>
      <c r="P39" s="60"/>
    </row>
    <row r="40" spans="1:16" x14ac:dyDescent="0.3">
      <c r="A40" s="78"/>
      <c r="B40" s="79"/>
      <c r="C40" s="79"/>
      <c r="D40" s="79"/>
      <c r="E40" s="79"/>
      <c r="F40" s="79"/>
      <c r="G40" s="79"/>
      <c r="H40" s="79"/>
      <c r="I40" s="79"/>
      <c r="J40" s="73"/>
      <c r="K40" s="23"/>
      <c r="L40" s="22"/>
      <c r="M40" s="60"/>
      <c r="N40" s="60"/>
      <c r="O40" s="60"/>
      <c r="P40" s="60"/>
    </row>
    <row r="41" spans="1:16" x14ac:dyDescent="0.3">
      <c r="A41" s="69"/>
      <c r="B41" s="60"/>
      <c r="C41" s="60"/>
      <c r="D41" s="60"/>
      <c r="E41" s="60"/>
      <c r="F41" s="60"/>
      <c r="G41" s="60"/>
      <c r="H41" s="69"/>
      <c r="I41" s="60"/>
      <c r="J41" s="60"/>
      <c r="K41" s="23"/>
      <c r="L41" s="22"/>
      <c r="M41" s="60"/>
      <c r="N41" s="60"/>
      <c r="O41" s="60"/>
      <c r="P41" s="60"/>
    </row>
    <row r="42" spans="1:16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23"/>
      <c r="L42" s="22"/>
      <c r="M42" s="60"/>
      <c r="N42" s="60"/>
      <c r="O42" s="60"/>
      <c r="P42" s="60"/>
    </row>
    <row r="43" spans="1:16" x14ac:dyDescent="0.3">
      <c r="A43" s="60"/>
      <c r="B43" s="60"/>
      <c r="C43" s="60"/>
      <c r="D43" s="60"/>
      <c r="E43" s="60"/>
      <c r="F43" s="60"/>
      <c r="G43" s="94">
        <v>8626</v>
      </c>
      <c r="H43" s="60"/>
      <c r="I43" s="69"/>
      <c r="J43" s="69"/>
      <c r="K43" s="60"/>
      <c r="L43" s="60"/>
      <c r="M43" s="60"/>
      <c r="N43" s="60"/>
      <c r="O43" s="60"/>
      <c r="P43" s="60"/>
    </row>
    <row r="45" spans="1:16" x14ac:dyDescent="0.3">
      <c r="A45" s="77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</row>
    <row r="46" spans="1:16" x14ac:dyDescent="0.3">
      <c r="A46" s="77"/>
      <c r="B46" s="69"/>
      <c r="C46" s="69"/>
      <c r="D46" s="69"/>
      <c r="E46" s="69"/>
      <c r="F46" s="69"/>
      <c r="G46" s="69"/>
      <c r="H46" s="69"/>
      <c r="I46" s="69"/>
      <c r="J46" s="69"/>
      <c r="K46" s="74"/>
      <c r="L46" s="69"/>
      <c r="M46" s="69"/>
      <c r="N46" s="69"/>
      <c r="O46" s="69"/>
      <c r="P46" s="60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F414-94C6-4AF1-B1DB-2BE57C5EE747}">
  <dimension ref="A1:Z46"/>
  <sheetViews>
    <sheetView workbookViewId="0">
      <selection activeCell="E12" sqref="E12"/>
    </sheetView>
  </sheetViews>
  <sheetFormatPr baseColWidth="10" defaultRowHeight="14.4" x14ac:dyDescent="0.3"/>
  <cols>
    <col min="16" max="16" width="0" hidden="1" customWidth="1"/>
  </cols>
  <sheetData>
    <row r="1" spans="1:26" s="58" customFormat="1" ht="15.6" x14ac:dyDescent="0.3">
      <c r="A1" s="155" t="s">
        <v>35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26" s="58" customFormat="1" ht="15.6" x14ac:dyDescent="0.3">
      <c r="A2" s="155" t="s">
        <v>36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26" ht="15.6" x14ac:dyDescent="0.3">
      <c r="A3" s="164" t="s">
        <v>31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71"/>
      <c r="Q3" s="71"/>
      <c r="R3" s="71"/>
      <c r="S3" s="71"/>
    </row>
    <row r="4" spans="1:26" ht="82.8" x14ac:dyDescent="0.3">
      <c r="A4" s="162" t="s">
        <v>1</v>
      </c>
      <c r="B4" s="165" t="s">
        <v>2</v>
      </c>
      <c r="C4" s="165"/>
      <c r="D4" s="43" t="s">
        <v>3</v>
      </c>
      <c r="E4" s="43" t="s">
        <v>4</v>
      </c>
      <c r="F4" s="43" t="s">
        <v>5</v>
      </c>
      <c r="G4" s="43" t="s">
        <v>6</v>
      </c>
      <c r="H4" s="165" t="s">
        <v>7</v>
      </c>
      <c r="I4" s="165" t="s">
        <v>8</v>
      </c>
      <c r="J4" s="61"/>
      <c r="K4" s="167" t="s">
        <v>1</v>
      </c>
      <c r="L4" s="165" t="s">
        <v>9</v>
      </c>
      <c r="M4" s="165" t="s">
        <v>10</v>
      </c>
      <c r="N4" s="165" t="s">
        <v>11</v>
      </c>
      <c r="O4" s="165" t="s">
        <v>12</v>
      </c>
      <c r="P4" s="60"/>
      <c r="Q4" s="60"/>
      <c r="R4" s="60"/>
      <c r="S4" s="60"/>
    </row>
    <row r="5" spans="1:26" x14ac:dyDescent="0.3">
      <c r="A5" s="163"/>
      <c r="B5" s="42" t="s">
        <v>13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165"/>
      <c r="I5" s="165"/>
      <c r="J5" s="61"/>
      <c r="K5" s="167"/>
      <c r="L5" s="165"/>
      <c r="M5" s="165"/>
      <c r="N5" s="165"/>
      <c r="O5" s="165"/>
      <c r="P5" s="60"/>
      <c r="Q5" s="60"/>
      <c r="R5" s="60"/>
      <c r="S5" s="60"/>
    </row>
    <row r="6" spans="1:26" ht="15" thickBot="1" x14ac:dyDescent="0.35">
      <c r="A6" s="123">
        <v>1</v>
      </c>
      <c r="B6" s="124">
        <v>4179</v>
      </c>
      <c r="C6" s="124">
        <v>0</v>
      </c>
      <c r="D6" s="124">
        <v>1692</v>
      </c>
      <c r="E6" s="124">
        <v>304</v>
      </c>
      <c r="F6" s="124">
        <v>300</v>
      </c>
      <c r="G6" s="124">
        <v>539</v>
      </c>
      <c r="H6" s="124">
        <v>7014</v>
      </c>
      <c r="I6" s="124">
        <v>0</v>
      </c>
      <c r="J6" s="125"/>
      <c r="K6" s="123">
        <v>1</v>
      </c>
      <c r="L6" s="124">
        <v>1</v>
      </c>
      <c r="M6" s="124">
        <v>16</v>
      </c>
      <c r="N6" s="124">
        <v>5</v>
      </c>
      <c r="O6" s="124">
        <v>22</v>
      </c>
      <c r="P6" s="127">
        <v>6135</v>
      </c>
      <c r="Q6" s="60"/>
      <c r="R6" s="60"/>
      <c r="S6" s="60"/>
    </row>
    <row r="7" spans="1:26" ht="15.6" thickTop="1" thickBot="1" x14ac:dyDescent="0.35">
      <c r="A7" s="123">
        <v>2</v>
      </c>
      <c r="B7" s="124">
        <v>5964</v>
      </c>
      <c r="C7" s="124">
        <v>0</v>
      </c>
      <c r="D7" s="124">
        <v>1594</v>
      </c>
      <c r="E7" s="124">
        <v>321</v>
      </c>
      <c r="F7" s="124">
        <v>310</v>
      </c>
      <c r="G7" s="124">
        <v>482</v>
      </c>
      <c r="H7" s="124">
        <v>8671</v>
      </c>
      <c r="I7" s="124">
        <v>0</v>
      </c>
      <c r="J7" s="125"/>
      <c r="K7" s="123">
        <v>2</v>
      </c>
      <c r="L7" s="124">
        <v>4</v>
      </c>
      <c r="M7" s="124">
        <v>11</v>
      </c>
      <c r="N7" s="124">
        <v>3</v>
      </c>
      <c r="O7" s="124">
        <v>18</v>
      </c>
      <c r="P7" s="127">
        <v>6135</v>
      </c>
      <c r="Q7" s="60"/>
      <c r="R7" s="60"/>
      <c r="S7" s="60"/>
    </row>
    <row r="8" spans="1:26" ht="15.6" thickTop="1" thickBot="1" x14ac:dyDescent="0.35">
      <c r="A8" s="123">
        <v>3</v>
      </c>
      <c r="B8" s="124">
        <v>6684</v>
      </c>
      <c r="C8" s="124">
        <v>0</v>
      </c>
      <c r="D8" s="124">
        <v>1471</v>
      </c>
      <c r="E8" s="124">
        <v>272</v>
      </c>
      <c r="F8" s="124">
        <v>343</v>
      </c>
      <c r="G8" s="124">
        <v>421</v>
      </c>
      <c r="H8" s="124">
        <v>9191</v>
      </c>
      <c r="I8" s="124">
        <v>0</v>
      </c>
      <c r="J8" s="125"/>
      <c r="K8" s="123">
        <v>3</v>
      </c>
      <c r="L8" s="124">
        <v>7</v>
      </c>
      <c r="M8" s="124">
        <v>13</v>
      </c>
      <c r="N8" s="124">
        <v>6</v>
      </c>
      <c r="O8" s="124">
        <v>26</v>
      </c>
      <c r="P8" s="127">
        <v>6135</v>
      </c>
      <c r="Q8" s="60"/>
      <c r="R8" s="60"/>
      <c r="S8" s="69"/>
    </row>
    <row r="9" spans="1:26" ht="15.6" thickTop="1" thickBot="1" x14ac:dyDescent="0.35">
      <c r="A9" s="123">
        <v>4</v>
      </c>
      <c r="B9" s="124">
        <v>8403</v>
      </c>
      <c r="C9" s="124">
        <v>0</v>
      </c>
      <c r="D9" s="124">
        <v>1037</v>
      </c>
      <c r="E9" s="124">
        <v>185</v>
      </c>
      <c r="F9" s="124">
        <v>139</v>
      </c>
      <c r="G9" s="124">
        <v>274</v>
      </c>
      <c r="H9" s="124">
        <v>10038</v>
      </c>
      <c r="I9" s="124">
        <v>0</v>
      </c>
      <c r="J9" s="125"/>
      <c r="K9" s="123">
        <v>4</v>
      </c>
      <c r="L9" s="124">
        <v>7</v>
      </c>
      <c r="M9" s="124">
        <v>8</v>
      </c>
      <c r="N9" s="124">
        <v>7</v>
      </c>
      <c r="O9" s="124">
        <v>22</v>
      </c>
      <c r="P9" s="127">
        <v>6135</v>
      </c>
      <c r="Q9" s="60"/>
      <c r="R9" s="60"/>
      <c r="S9" s="60"/>
    </row>
    <row r="10" spans="1:26" ht="15.6" thickTop="1" thickBot="1" x14ac:dyDescent="0.35">
      <c r="A10" s="123">
        <v>5</v>
      </c>
      <c r="B10" s="124">
        <v>4342</v>
      </c>
      <c r="C10" s="124">
        <v>0</v>
      </c>
      <c r="D10" s="124">
        <v>1310</v>
      </c>
      <c r="E10" s="124">
        <v>282</v>
      </c>
      <c r="F10" s="124">
        <v>247</v>
      </c>
      <c r="G10" s="124">
        <v>444</v>
      </c>
      <c r="H10" s="124">
        <v>6625</v>
      </c>
      <c r="I10" s="124">
        <v>0</v>
      </c>
      <c r="J10" s="125"/>
      <c r="K10" s="123">
        <v>5</v>
      </c>
      <c r="L10" s="124">
        <v>6</v>
      </c>
      <c r="M10" s="124">
        <v>7</v>
      </c>
      <c r="N10" s="124">
        <v>3</v>
      </c>
      <c r="O10" s="124">
        <v>16</v>
      </c>
      <c r="P10" s="127">
        <v>6135</v>
      </c>
      <c r="Q10" s="60"/>
      <c r="R10" s="60"/>
      <c r="S10" s="60"/>
    </row>
    <row r="11" spans="1:26" ht="15.6" thickTop="1" thickBot="1" x14ac:dyDescent="0.35">
      <c r="A11" s="123">
        <v>6</v>
      </c>
      <c r="B11" s="124">
        <v>3612</v>
      </c>
      <c r="C11" s="124">
        <v>0</v>
      </c>
      <c r="D11" s="124">
        <v>1498</v>
      </c>
      <c r="E11" s="124">
        <v>246</v>
      </c>
      <c r="F11" s="124">
        <v>298</v>
      </c>
      <c r="G11" s="124">
        <v>476</v>
      </c>
      <c r="H11" s="124">
        <v>6130</v>
      </c>
      <c r="I11" s="124">
        <v>0</v>
      </c>
      <c r="J11" s="125"/>
      <c r="K11" s="123">
        <v>6</v>
      </c>
      <c r="L11" s="124">
        <v>4</v>
      </c>
      <c r="M11" s="124">
        <v>6</v>
      </c>
      <c r="N11" s="124">
        <v>5</v>
      </c>
      <c r="O11" s="124">
        <v>15</v>
      </c>
      <c r="P11" s="127">
        <v>6135</v>
      </c>
      <c r="Q11" s="60"/>
      <c r="R11" s="60"/>
      <c r="S11" s="60"/>
    </row>
    <row r="12" spans="1:26" ht="15.6" thickTop="1" thickBot="1" x14ac:dyDescent="0.35">
      <c r="A12" s="123">
        <v>7</v>
      </c>
      <c r="B12" s="124">
        <v>3773</v>
      </c>
      <c r="C12" s="124">
        <v>0</v>
      </c>
      <c r="D12" s="124">
        <v>1671</v>
      </c>
      <c r="E12" s="124">
        <v>273</v>
      </c>
      <c r="F12" s="124">
        <v>350</v>
      </c>
      <c r="G12" s="124">
        <v>484</v>
      </c>
      <c r="H12" s="124">
        <v>6551</v>
      </c>
      <c r="I12" s="124">
        <v>0</v>
      </c>
      <c r="J12" s="126"/>
      <c r="K12" s="123">
        <v>7</v>
      </c>
      <c r="L12" s="124">
        <v>8</v>
      </c>
      <c r="M12" s="124">
        <v>15</v>
      </c>
      <c r="N12" s="124">
        <v>5</v>
      </c>
      <c r="O12" s="124">
        <v>28</v>
      </c>
      <c r="P12" s="127">
        <v>6135</v>
      </c>
      <c r="Q12" s="60"/>
      <c r="R12" s="60"/>
      <c r="S12" s="60"/>
    </row>
    <row r="13" spans="1:26" ht="15.6" thickTop="1" thickBot="1" x14ac:dyDescent="0.35">
      <c r="A13" s="123">
        <v>8</v>
      </c>
      <c r="B13" s="124">
        <v>4044</v>
      </c>
      <c r="C13" s="124">
        <v>0</v>
      </c>
      <c r="D13" s="124">
        <v>1694</v>
      </c>
      <c r="E13" s="124">
        <v>301</v>
      </c>
      <c r="F13" s="124">
        <v>304</v>
      </c>
      <c r="G13" s="124">
        <v>489</v>
      </c>
      <c r="H13" s="124">
        <v>6832</v>
      </c>
      <c r="I13" s="124">
        <v>0</v>
      </c>
      <c r="J13" s="126"/>
      <c r="K13" s="123">
        <v>8</v>
      </c>
      <c r="L13" s="124">
        <v>3</v>
      </c>
      <c r="M13" s="124">
        <v>2</v>
      </c>
      <c r="N13" s="124">
        <v>7</v>
      </c>
      <c r="O13" s="124">
        <v>12</v>
      </c>
      <c r="P13" s="127">
        <v>6135</v>
      </c>
      <c r="Q13" s="60"/>
      <c r="R13" s="60"/>
      <c r="S13" s="60"/>
    </row>
    <row r="14" spans="1:26" ht="15.6" thickTop="1" thickBot="1" x14ac:dyDescent="0.35">
      <c r="A14" s="123">
        <v>9</v>
      </c>
      <c r="B14" s="124">
        <v>5874</v>
      </c>
      <c r="C14" s="124">
        <v>0</v>
      </c>
      <c r="D14" s="124">
        <v>1577</v>
      </c>
      <c r="E14" s="124">
        <v>302</v>
      </c>
      <c r="F14" s="124">
        <v>324</v>
      </c>
      <c r="G14" s="124">
        <v>407</v>
      </c>
      <c r="H14" s="124">
        <v>8484</v>
      </c>
      <c r="I14" s="124">
        <v>0</v>
      </c>
      <c r="J14" s="126"/>
      <c r="K14" s="123">
        <v>9</v>
      </c>
      <c r="L14" s="124">
        <v>7</v>
      </c>
      <c r="M14" s="124">
        <v>18</v>
      </c>
      <c r="N14" s="124">
        <v>8</v>
      </c>
      <c r="O14" s="124">
        <v>33</v>
      </c>
      <c r="P14" s="128">
        <v>6135</v>
      </c>
      <c r="Q14" s="72"/>
      <c r="R14" s="72"/>
      <c r="S14" s="72"/>
    </row>
    <row r="15" spans="1:26" ht="15.6" thickTop="1" thickBot="1" x14ac:dyDescent="0.35">
      <c r="A15" s="123">
        <v>10</v>
      </c>
      <c r="B15" s="124">
        <v>6880</v>
      </c>
      <c r="C15" s="124">
        <v>0</v>
      </c>
      <c r="D15" s="124">
        <v>1416</v>
      </c>
      <c r="E15" s="124">
        <v>248</v>
      </c>
      <c r="F15" s="124">
        <v>310</v>
      </c>
      <c r="G15" s="124">
        <v>351</v>
      </c>
      <c r="H15" s="124">
        <v>9205</v>
      </c>
      <c r="I15" s="124">
        <v>0</v>
      </c>
      <c r="J15" s="126"/>
      <c r="K15" s="123">
        <v>10</v>
      </c>
      <c r="L15" s="124">
        <v>9</v>
      </c>
      <c r="M15" s="124">
        <v>20</v>
      </c>
      <c r="N15" s="124">
        <v>1</v>
      </c>
      <c r="O15" s="124">
        <v>30</v>
      </c>
      <c r="P15" s="127">
        <v>6135</v>
      </c>
      <c r="Q15" s="60"/>
      <c r="R15" s="60"/>
      <c r="S15" s="60"/>
    </row>
    <row r="16" spans="1:26" ht="15.6" thickTop="1" thickBot="1" x14ac:dyDescent="0.35">
      <c r="A16" s="123">
        <v>11</v>
      </c>
      <c r="B16" s="124">
        <v>8475</v>
      </c>
      <c r="C16" s="124">
        <v>0</v>
      </c>
      <c r="D16" s="124">
        <v>1176</v>
      </c>
      <c r="E16" s="124">
        <v>192</v>
      </c>
      <c r="F16" s="124">
        <v>163</v>
      </c>
      <c r="G16" s="124">
        <v>277</v>
      </c>
      <c r="H16" s="124">
        <v>10283</v>
      </c>
      <c r="I16" s="124">
        <v>0</v>
      </c>
      <c r="J16" s="126"/>
      <c r="K16" s="123">
        <v>11</v>
      </c>
      <c r="L16" s="124">
        <v>2</v>
      </c>
      <c r="M16" s="124">
        <v>10</v>
      </c>
      <c r="N16" s="124">
        <v>4</v>
      </c>
      <c r="O16" s="124">
        <v>16</v>
      </c>
      <c r="P16" s="127">
        <v>6135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6" thickTop="1" thickBot="1" x14ac:dyDescent="0.35">
      <c r="A17" s="123">
        <v>12</v>
      </c>
      <c r="B17" s="124">
        <v>4306</v>
      </c>
      <c r="C17" s="124">
        <v>0</v>
      </c>
      <c r="D17" s="124">
        <v>1284</v>
      </c>
      <c r="E17" s="124">
        <v>293</v>
      </c>
      <c r="F17" s="124">
        <v>229</v>
      </c>
      <c r="G17" s="124">
        <v>417</v>
      </c>
      <c r="H17" s="124">
        <v>6529</v>
      </c>
      <c r="I17" s="124">
        <v>0</v>
      </c>
      <c r="J17" s="126"/>
      <c r="K17" s="123">
        <v>12</v>
      </c>
      <c r="L17" s="124">
        <v>2</v>
      </c>
      <c r="M17" s="124">
        <v>17</v>
      </c>
      <c r="N17" s="124">
        <v>2</v>
      </c>
      <c r="O17" s="124">
        <v>21</v>
      </c>
      <c r="P17" s="127">
        <v>6135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6" thickTop="1" thickBot="1" x14ac:dyDescent="0.35">
      <c r="A18" s="123">
        <v>13</v>
      </c>
      <c r="B18" s="124">
        <v>3688</v>
      </c>
      <c r="C18" s="124">
        <v>0</v>
      </c>
      <c r="D18" s="124">
        <v>1563</v>
      </c>
      <c r="E18" s="124">
        <v>272</v>
      </c>
      <c r="F18" s="124">
        <v>267</v>
      </c>
      <c r="G18" s="124">
        <v>457</v>
      </c>
      <c r="H18" s="124">
        <v>6247</v>
      </c>
      <c r="I18" s="124">
        <v>0</v>
      </c>
      <c r="J18" s="126"/>
      <c r="K18" s="123">
        <v>13</v>
      </c>
      <c r="L18" s="124">
        <v>5</v>
      </c>
      <c r="M18" s="124">
        <v>2</v>
      </c>
      <c r="N18" s="124">
        <v>4</v>
      </c>
      <c r="O18" s="124">
        <v>11</v>
      </c>
      <c r="P18" s="127">
        <v>6135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6" thickTop="1" thickBot="1" x14ac:dyDescent="0.35">
      <c r="A19" s="123">
        <v>14</v>
      </c>
      <c r="B19" s="124">
        <v>3749</v>
      </c>
      <c r="C19" s="124">
        <v>0</v>
      </c>
      <c r="D19" s="124">
        <v>1687</v>
      </c>
      <c r="E19" s="124">
        <v>316</v>
      </c>
      <c r="F19" s="124">
        <v>334</v>
      </c>
      <c r="G19" s="124">
        <v>496</v>
      </c>
      <c r="H19" s="124">
        <v>6582</v>
      </c>
      <c r="I19" s="124">
        <v>0</v>
      </c>
      <c r="J19" s="126"/>
      <c r="K19" s="123">
        <v>14</v>
      </c>
      <c r="L19" s="124">
        <v>9</v>
      </c>
      <c r="M19" s="124">
        <v>9</v>
      </c>
      <c r="N19" s="124">
        <v>4</v>
      </c>
      <c r="O19" s="124">
        <v>22</v>
      </c>
      <c r="P19" s="127">
        <v>6135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6" thickTop="1" thickBot="1" x14ac:dyDescent="0.35">
      <c r="A20" s="123">
        <v>15</v>
      </c>
      <c r="B20" s="124">
        <v>4436</v>
      </c>
      <c r="C20" s="124">
        <v>0</v>
      </c>
      <c r="D20" s="124">
        <v>1800</v>
      </c>
      <c r="E20" s="124">
        <v>299</v>
      </c>
      <c r="F20" s="124">
        <v>321</v>
      </c>
      <c r="G20" s="124">
        <v>483</v>
      </c>
      <c r="H20" s="124">
        <v>7339</v>
      </c>
      <c r="I20" s="124">
        <v>0</v>
      </c>
      <c r="J20" s="126"/>
      <c r="K20" s="123">
        <v>15</v>
      </c>
      <c r="L20" s="124">
        <v>2</v>
      </c>
      <c r="M20" s="124">
        <v>13</v>
      </c>
      <c r="N20" s="124">
        <v>12</v>
      </c>
      <c r="O20" s="124">
        <v>27</v>
      </c>
      <c r="P20" s="127">
        <v>6135</v>
      </c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6" thickTop="1" thickBot="1" x14ac:dyDescent="0.35">
      <c r="A21" s="123">
        <v>16</v>
      </c>
      <c r="B21" s="124">
        <v>6270</v>
      </c>
      <c r="C21" s="124">
        <v>0</v>
      </c>
      <c r="D21" s="124">
        <v>1563</v>
      </c>
      <c r="E21" s="124">
        <v>310</v>
      </c>
      <c r="F21" s="124">
        <v>300</v>
      </c>
      <c r="G21" s="124">
        <v>453</v>
      </c>
      <c r="H21" s="124">
        <v>8896</v>
      </c>
      <c r="I21" s="124">
        <v>0</v>
      </c>
      <c r="J21" s="126"/>
      <c r="K21" s="123">
        <v>16</v>
      </c>
      <c r="L21" s="124">
        <v>4</v>
      </c>
      <c r="M21" s="124">
        <v>10</v>
      </c>
      <c r="N21" s="124">
        <v>6</v>
      </c>
      <c r="O21" s="124">
        <v>20</v>
      </c>
      <c r="P21" s="127">
        <v>6135</v>
      </c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6" thickTop="1" thickBot="1" x14ac:dyDescent="0.35">
      <c r="A22" s="123">
        <v>17</v>
      </c>
      <c r="B22" s="124">
        <v>6775</v>
      </c>
      <c r="C22" s="124">
        <v>0</v>
      </c>
      <c r="D22" s="124">
        <v>1477</v>
      </c>
      <c r="E22" s="124">
        <v>240</v>
      </c>
      <c r="F22" s="124">
        <v>323</v>
      </c>
      <c r="G22" s="124">
        <v>368</v>
      </c>
      <c r="H22" s="124">
        <v>9183</v>
      </c>
      <c r="I22" s="124">
        <v>0</v>
      </c>
      <c r="J22" s="126"/>
      <c r="K22" s="123">
        <v>17</v>
      </c>
      <c r="L22" s="124">
        <v>7</v>
      </c>
      <c r="M22" s="124">
        <v>8</v>
      </c>
      <c r="N22" s="124">
        <v>7</v>
      </c>
      <c r="O22" s="124">
        <v>22</v>
      </c>
      <c r="P22" s="127">
        <v>6135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6" thickTop="1" thickBot="1" x14ac:dyDescent="0.35">
      <c r="A23" s="123">
        <v>18</v>
      </c>
      <c r="B23" s="124">
        <v>8795</v>
      </c>
      <c r="C23" s="124">
        <v>0</v>
      </c>
      <c r="D23" s="124">
        <v>1114</v>
      </c>
      <c r="E23" s="124">
        <v>185</v>
      </c>
      <c r="F23" s="124">
        <v>162</v>
      </c>
      <c r="G23" s="124">
        <v>280</v>
      </c>
      <c r="H23" s="130">
        <v>10536</v>
      </c>
      <c r="I23" s="124">
        <v>0</v>
      </c>
      <c r="J23" s="126"/>
      <c r="K23" s="123">
        <v>18</v>
      </c>
      <c r="L23" s="124">
        <v>9</v>
      </c>
      <c r="M23" s="124">
        <v>8</v>
      </c>
      <c r="N23" s="124">
        <v>2</v>
      </c>
      <c r="O23" s="124">
        <v>19</v>
      </c>
      <c r="P23" s="127">
        <v>6135</v>
      </c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6" thickTop="1" thickBot="1" x14ac:dyDescent="0.35">
      <c r="A24" s="123">
        <v>19</v>
      </c>
      <c r="B24" s="124">
        <v>4591</v>
      </c>
      <c r="C24" s="124">
        <v>0</v>
      </c>
      <c r="D24" s="124">
        <v>1236</v>
      </c>
      <c r="E24" s="124">
        <v>248</v>
      </c>
      <c r="F24" s="124">
        <v>225</v>
      </c>
      <c r="G24" s="124">
        <v>439</v>
      </c>
      <c r="H24" s="130">
        <v>6739</v>
      </c>
      <c r="I24" s="124">
        <v>0</v>
      </c>
      <c r="J24" s="126"/>
      <c r="K24" s="123">
        <v>19</v>
      </c>
      <c r="L24" s="124">
        <v>8</v>
      </c>
      <c r="M24" s="124">
        <v>19</v>
      </c>
      <c r="N24" s="124">
        <v>5</v>
      </c>
      <c r="O24" s="124">
        <v>32</v>
      </c>
      <c r="P24" s="127">
        <v>6135</v>
      </c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6" thickTop="1" thickBot="1" x14ac:dyDescent="0.35">
      <c r="A25" s="123">
        <v>20</v>
      </c>
      <c r="B25" s="124">
        <v>3832</v>
      </c>
      <c r="C25" s="124">
        <v>0</v>
      </c>
      <c r="D25" s="124">
        <v>1672</v>
      </c>
      <c r="E25" s="124">
        <v>278</v>
      </c>
      <c r="F25" s="124">
        <v>295</v>
      </c>
      <c r="G25" s="124">
        <v>434</v>
      </c>
      <c r="H25" s="124">
        <v>6511</v>
      </c>
      <c r="I25" s="124">
        <v>0</v>
      </c>
      <c r="J25" s="126"/>
      <c r="K25" s="123">
        <v>20</v>
      </c>
      <c r="L25" s="124">
        <v>4</v>
      </c>
      <c r="M25" s="124">
        <v>22</v>
      </c>
      <c r="N25" s="124">
        <v>2</v>
      </c>
      <c r="O25" s="124">
        <v>28</v>
      </c>
      <c r="P25" s="127">
        <v>6135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6" thickTop="1" thickBot="1" x14ac:dyDescent="0.35">
      <c r="A26" s="123">
        <v>21</v>
      </c>
      <c r="B26" s="124">
        <v>4140</v>
      </c>
      <c r="C26" s="124">
        <v>0</v>
      </c>
      <c r="D26" s="124">
        <v>1610</v>
      </c>
      <c r="E26" s="124">
        <v>311</v>
      </c>
      <c r="F26" s="124">
        <v>323</v>
      </c>
      <c r="G26" s="124">
        <v>485</v>
      </c>
      <c r="H26" s="124">
        <v>6869</v>
      </c>
      <c r="I26" s="124">
        <v>0</v>
      </c>
      <c r="J26" s="126"/>
      <c r="K26" s="123">
        <v>21</v>
      </c>
      <c r="L26" s="124">
        <v>3</v>
      </c>
      <c r="M26" s="124">
        <v>27</v>
      </c>
      <c r="N26" s="124">
        <v>6</v>
      </c>
      <c r="O26" s="124">
        <v>36</v>
      </c>
      <c r="P26" s="127">
        <v>6135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6" thickTop="1" thickBot="1" x14ac:dyDescent="0.35">
      <c r="A27" s="123">
        <v>22</v>
      </c>
      <c r="B27" s="124">
        <v>3484</v>
      </c>
      <c r="C27" s="124">
        <v>0</v>
      </c>
      <c r="D27" s="124">
        <v>1678</v>
      </c>
      <c r="E27" s="124">
        <v>307</v>
      </c>
      <c r="F27" s="124">
        <v>360</v>
      </c>
      <c r="G27" s="124">
        <v>451</v>
      </c>
      <c r="H27" s="124">
        <v>6280</v>
      </c>
      <c r="I27" s="124">
        <v>0</v>
      </c>
      <c r="J27" s="126"/>
      <c r="K27" s="123">
        <v>22</v>
      </c>
      <c r="L27" s="124">
        <v>5</v>
      </c>
      <c r="M27" s="124">
        <v>10</v>
      </c>
      <c r="N27" s="124">
        <v>2</v>
      </c>
      <c r="O27" s="124">
        <v>17</v>
      </c>
      <c r="P27" s="127">
        <v>6135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6" thickTop="1" thickBot="1" x14ac:dyDescent="0.35">
      <c r="A28" s="123">
        <v>23</v>
      </c>
      <c r="B28" s="124">
        <v>5679</v>
      </c>
      <c r="C28" s="124">
        <v>0</v>
      </c>
      <c r="D28" s="124">
        <v>1551</v>
      </c>
      <c r="E28" s="124">
        <v>310</v>
      </c>
      <c r="F28" s="124">
        <v>270</v>
      </c>
      <c r="G28" s="124">
        <v>414</v>
      </c>
      <c r="H28" s="124">
        <v>8224</v>
      </c>
      <c r="I28" s="124">
        <v>0</v>
      </c>
      <c r="J28" s="126"/>
      <c r="K28" s="123">
        <v>23</v>
      </c>
      <c r="L28" s="124">
        <v>3</v>
      </c>
      <c r="M28" s="124">
        <v>3</v>
      </c>
      <c r="N28" s="124">
        <v>7</v>
      </c>
      <c r="O28" s="124">
        <v>13</v>
      </c>
      <c r="P28" s="127">
        <v>6135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6" thickTop="1" thickBot="1" x14ac:dyDescent="0.35">
      <c r="A29" s="123">
        <v>24</v>
      </c>
      <c r="B29" s="124">
        <v>6548</v>
      </c>
      <c r="C29" s="124">
        <v>0</v>
      </c>
      <c r="D29" s="124">
        <v>1516</v>
      </c>
      <c r="E29" s="124">
        <v>243</v>
      </c>
      <c r="F29" s="124">
        <v>324</v>
      </c>
      <c r="G29" s="124">
        <v>395</v>
      </c>
      <c r="H29" s="124">
        <v>9026</v>
      </c>
      <c r="I29" s="124">
        <v>0</v>
      </c>
      <c r="J29" s="126"/>
      <c r="K29" s="123">
        <v>24</v>
      </c>
      <c r="L29" s="124">
        <v>11</v>
      </c>
      <c r="M29" s="124">
        <v>3</v>
      </c>
      <c r="N29" s="124">
        <v>6</v>
      </c>
      <c r="O29" s="124">
        <v>20</v>
      </c>
      <c r="P29" s="127">
        <v>6135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6" thickTop="1" thickBot="1" x14ac:dyDescent="0.35">
      <c r="A30" s="123">
        <v>25</v>
      </c>
      <c r="B30" s="124">
        <v>8240</v>
      </c>
      <c r="C30" s="124">
        <v>0</v>
      </c>
      <c r="D30" s="124">
        <v>1088</v>
      </c>
      <c r="E30" s="124">
        <v>133</v>
      </c>
      <c r="F30" s="124">
        <v>142</v>
      </c>
      <c r="G30" s="124">
        <v>291</v>
      </c>
      <c r="H30" s="124">
        <v>9894</v>
      </c>
      <c r="I30" s="124">
        <v>0</v>
      </c>
      <c r="J30" s="126"/>
      <c r="K30" s="123">
        <v>25</v>
      </c>
      <c r="L30" s="124">
        <v>2</v>
      </c>
      <c r="M30" s="124">
        <v>7</v>
      </c>
      <c r="N30" s="124">
        <v>15</v>
      </c>
      <c r="O30" s="124">
        <v>24</v>
      </c>
      <c r="P30" s="127">
        <v>6135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6" thickTop="1" thickBot="1" x14ac:dyDescent="0.35">
      <c r="A31" s="123">
        <v>26</v>
      </c>
      <c r="B31" s="124">
        <v>4103</v>
      </c>
      <c r="C31" s="124">
        <v>0</v>
      </c>
      <c r="D31" s="124">
        <v>1309</v>
      </c>
      <c r="E31" s="124">
        <v>305</v>
      </c>
      <c r="F31" s="124">
        <v>276</v>
      </c>
      <c r="G31" s="124">
        <v>440</v>
      </c>
      <c r="H31" s="124">
        <v>6433</v>
      </c>
      <c r="I31" s="124">
        <v>0</v>
      </c>
      <c r="J31" s="126"/>
      <c r="K31" s="123">
        <v>26</v>
      </c>
      <c r="L31" s="124">
        <v>7</v>
      </c>
      <c r="M31" s="124">
        <v>1</v>
      </c>
      <c r="N31" s="124">
        <v>5</v>
      </c>
      <c r="O31" s="124">
        <v>13</v>
      </c>
      <c r="P31" s="127">
        <v>6135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6" thickTop="1" thickBot="1" x14ac:dyDescent="0.35">
      <c r="A32" s="123">
        <v>27</v>
      </c>
      <c r="B32" s="124">
        <v>3849</v>
      </c>
      <c r="C32" s="124">
        <v>0</v>
      </c>
      <c r="D32" s="124">
        <v>1609</v>
      </c>
      <c r="E32" s="124">
        <v>270</v>
      </c>
      <c r="F32" s="124">
        <v>305</v>
      </c>
      <c r="G32" s="124">
        <v>422</v>
      </c>
      <c r="H32" s="124">
        <v>6455</v>
      </c>
      <c r="I32" s="124">
        <v>0</v>
      </c>
      <c r="J32" s="126"/>
      <c r="K32" s="123">
        <v>27</v>
      </c>
      <c r="L32" s="124">
        <v>1</v>
      </c>
      <c r="M32" s="124">
        <v>17</v>
      </c>
      <c r="N32" s="124">
        <v>1</v>
      </c>
      <c r="O32" s="124">
        <v>19</v>
      </c>
      <c r="P32" s="127">
        <v>6135</v>
      </c>
    </row>
    <row r="33" spans="1:16" ht="15.6" thickTop="1" thickBot="1" x14ac:dyDescent="0.35">
      <c r="A33" s="123">
        <v>28</v>
      </c>
      <c r="B33" s="124">
        <v>3848</v>
      </c>
      <c r="C33" s="124">
        <v>0</v>
      </c>
      <c r="D33" s="124">
        <v>1795</v>
      </c>
      <c r="E33" s="124">
        <v>280</v>
      </c>
      <c r="F33" s="124">
        <v>369</v>
      </c>
      <c r="G33" s="124">
        <v>492</v>
      </c>
      <c r="H33" s="124">
        <v>6784</v>
      </c>
      <c r="I33" s="124">
        <v>0</v>
      </c>
      <c r="J33" s="126"/>
      <c r="K33" s="123">
        <v>28</v>
      </c>
      <c r="L33" s="124">
        <v>5</v>
      </c>
      <c r="M33" s="124">
        <v>10</v>
      </c>
      <c r="N33" s="124">
        <v>9</v>
      </c>
      <c r="O33" s="124">
        <v>24</v>
      </c>
      <c r="P33" s="127">
        <v>6135</v>
      </c>
    </row>
    <row r="34" spans="1:16" ht="15.6" thickTop="1" thickBot="1" x14ac:dyDescent="0.35">
      <c r="A34" s="123">
        <v>29</v>
      </c>
      <c r="B34" s="124">
        <v>4144</v>
      </c>
      <c r="C34" s="124">
        <v>0</v>
      </c>
      <c r="D34" s="124">
        <v>1696</v>
      </c>
      <c r="E34" s="124">
        <v>306</v>
      </c>
      <c r="F34" s="124">
        <v>322</v>
      </c>
      <c r="G34" s="124">
        <v>448</v>
      </c>
      <c r="H34" s="124">
        <v>6916</v>
      </c>
      <c r="I34" s="124">
        <v>0</v>
      </c>
      <c r="J34" s="126"/>
      <c r="K34" s="123">
        <v>29</v>
      </c>
      <c r="L34" s="124">
        <v>7</v>
      </c>
      <c r="M34" s="124">
        <v>19</v>
      </c>
      <c r="N34" s="124">
        <v>3</v>
      </c>
      <c r="O34" s="124">
        <v>29</v>
      </c>
      <c r="P34" s="127">
        <v>6135</v>
      </c>
    </row>
    <row r="35" spans="1:16" ht="15.6" thickTop="1" thickBot="1" x14ac:dyDescent="0.35">
      <c r="A35" s="123">
        <v>30</v>
      </c>
      <c r="B35" s="124">
        <v>5652</v>
      </c>
      <c r="C35" s="124">
        <v>0</v>
      </c>
      <c r="D35" s="124">
        <v>1580</v>
      </c>
      <c r="E35" s="124">
        <v>299</v>
      </c>
      <c r="F35" s="124">
        <v>299</v>
      </c>
      <c r="G35" s="124">
        <v>381</v>
      </c>
      <c r="H35" s="124">
        <v>8211</v>
      </c>
      <c r="I35" s="124">
        <v>0</v>
      </c>
      <c r="J35" s="126"/>
      <c r="K35" s="123">
        <v>30</v>
      </c>
      <c r="L35" s="124">
        <v>5</v>
      </c>
      <c r="M35" s="124">
        <v>16</v>
      </c>
      <c r="N35" s="124">
        <v>4</v>
      </c>
      <c r="O35" s="124">
        <v>25</v>
      </c>
      <c r="P35" s="127">
        <v>6135</v>
      </c>
    </row>
    <row r="36" spans="1:16" ht="15.6" thickTop="1" thickBot="1" x14ac:dyDescent="0.35">
      <c r="A36" s="123">
        <v>31</v>
      </c>
      <c r="B36" s="124"/>
      <c r="C36" s="124">
        <v>0</v>
      </c>
      <c r="D36" s="124"/>
      <c r="E36" s="124"/>
      <c r="F36" s="124"/>
      <c r="G36" s="124"/>
      <c r="H36" s="124">
        <v>0</v>
      </c>
      <c r="I36" s="124">
        <v>0</v>
      </c>
      <c r="J36" s="126"/>
      <c r="K36" s="123">
        <v>31</v>
      </c>
      <c r="L36" s="129"/>
      <c r="M36" s="129"/>
      <c r="N36" s="129"/>
      <c r="O36" s="124">
        <v>0</v>
      </c>
      <c r="P36" s="127">
        <v>6135</v>
      </c>
    </row>
    <row r="37" spans="1:16" ht="15" thickTop="1" x14ac:dyDescent="0.3">
      <c r="A37" s="42" t="s">
        <v>19</v>
      </c>
      <c r="B37" s="55">
        <v>158359</v>
      </c>
      <c r="C37" s="55">
        <v>0</v>
      </c>
      <c r="D37" s="55">
        <v>44964</v>
      </c>
      <c r="E37" s="55">
        <v>8131</v>
      </c>
      <c r="F37" s="55">
        <v>8534</v>
      </c>
      <c r="G37" s="55">
        <v>12690</v>
      </c>
      <c r="H37" s="55">
        <v>232678</v>
      </c>
      <c r="I37" s="55">
        <v>0</v>
      </c>
      <c r="J37" s="55"/>
      <c r="K37" s="55"/>
      <c r="L37" s="55">
        <v>157</v>
      </c>
      <c r="M37" s="55">
        <v>347</v>
      </c>
      <c r="N37" s="55">
        <v>156</v>
      </c>
      <c r="O37" s="55">
        <v>660</v>
      </c>
      <c r="P37" s="55">
        <v>190185</v>
      </c>
    </row>
    <row r="38" spans="1:16" x14ac:dyDescent="0.3">
      <c r="A38" s="42" t="s">
        <v>19</v>
      </c>
      <c r="B38" s="166">
        <v>158359</v>
      </c>
      <c r="C38" s="166"/>
      <c r="D38" s="55">
        <v>44964</v>
      </c>
      <c r="E38" s="55">
        <v>8131</v>
      </c>
      <c r="F38" s="55">
        <v>8534</v>
      </c>
      <c r="G38" s="55">
        <v>12690</v>
      </c>
      <c r="H38" s="55">
        <v>232678</v>
      </c>
      <c r="I38" s="55">
        <v>0</v>
      </c>
      <c r="J38" s="66"/>
      <c r="K38" s="42"/>
      <c r="L38" s="67" t="s">
        <v>23</v>
      </c>
      <c r="M38" s="67" t="s">
        <v>24</v>
      </c>
      <c r="N38" s="67" t="s">
        <v>23</v>
      </c>
      <c r="O38" s="67" t="s">
        <v>24</v>
      </c>
      <c r="P38" s="60"/>
    </row>
    <row r="39" spans="1:16" x14ac:dyDescent="0.3">
      <c r="A39" s="68" t="s">
        <v>20</v>
      </c>
      <c r="B39" s="70"/>
      <c r="C39" s="70"/>
      <c r="D39" s="70"/>
      <c r="E39" s="70"/>
      <c r="F39" s="70"/>
      <c r="G39" s="70"/>
      <c r="H39" s="70"/>
      <c r="I39" s="60"/>
      <c r="J39" s="60"/>
      <c r="K39" s="60"/>
      <c r="L39" s="73"/>
      <c r="M39" s="60"/>
      <c r="N39" s="60"/>
      <c r="O39" s="60"/>
      <c r="P39" s="60"/>
    </row>
    <row r="40" spans="1:16" x14ac:dyDescent="0.3">
      <c r="A40" s="78"/>
      <c r="B40" s="79"/>
      <c r="C40" s="79"/>
      <c r="D40" s="79"/>
      <c r="E40" s="79"/>
      <c r="F40" s="79"/>
      <c r="G40" s="79"/>
      <c r="H40" s="79"/>
      <c r="I40" s="79"/>
      <c r="J40" s="73"/>
      <c r="K40" s="23"/>
      <c r="L40" s="22"/>
      <c r="M40" s="60"/>
      <c r="N40" s="60"/>
      <c r="O40" s="60"/>
      <c r="P40" s="60"/>
    </row>
    <row r="41" spans="1:16" x14ac:dyDescent="0.3">
      <c r="A41" s="69"/>
      <c r="B41" s="60"/>
      <c r="C41" s="60"/>
      <c r="D41" s="60"/>
      <c r="E41" s="60"/>
      <c r="F41" s="60"/>
      <c r="G41" s="60"/>
      <c r="H41" s="69"/>
      <c r="I41" s="60"/>
      <c r="J41" s="60"/>
      <c r="K41" s="23"/>
      <c r="L41" s="22"/>
      <c r="M41" s="60"/>
      <c r="N41" s="60"/>
      <c r="O41" s="60"/>
      <c r="P41" s="60"/>
    </row>
    <row r="42" spans="1:16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23"/>
      <c r="L42" s="22"/>
      <c r="M42" s="60"/>
      <c r="N42" s="60"/>
      <c r="O42" s="60"/>
      <c r="P42" s="60"/>
    </row>
    <row r="43" spans="1:16" x14ac:dyDescent="0.3">
      <c r="A43" s="60"/>
      <c r="B43" s="60"/>
      <c r="C43" s="60"/>
      <c r="D43" s="60"/>
      <c r="E43" s="60"/>
      <c r="F43" s="60"/>
      <c r="G43" s="94">
        <v>8626</v>
      </c>
      <c r="H43" s="60"/>
      <c r="I43" s="69"/>
      <c r="J43" s="69"/>
      <c r="K43" s="60"/>
      <c r="L43" s="60"/>
      <c r="M43" s="60"/>
      <c r="N43" s="60"/>
      <c r="O43" s="60"/>
      <c r="P43" s="60"/>
    </row>
    <row r="45" spans="1:16" x14ac:dyDescent="0.3">
      <c r="A45" s="77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</row>
    <row r="46" spans="1:16" x14ac:dyDescent="0.3">
      <c r="A46" s="77"/>
      <c r="B46" s="69"/>
      <c r="C46" s="69"/>
      <c r="D46" s="69"/>
      <c r="E46" s="69"/>
      <c r="F46" s="69"/>
      <c r="G46" s="69"/>
      <c r="H46" s="69"/>
      <c r="I46" s="69"/>
      <c r="J46" s="69"/>
      <c r="K46" s="74"/>
      <c r="L46" s="69"/>
      <c r="M46" s="69"/>
      <c r="N46" s="69"/>
      <c r="O46" s="69"/>
      <c r="P46" s="60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E11D-EEB8-4D23-9C84-D4F3A2A08CC4}">
  <dimension ref="A1:Z46"/>
  <sheetViews>
    <sheetView topLeftCell="A16" workbookViewId="0">
      <selection activeCell="D35" sqref="D35"/>
    </sheetView>
  </sheetViews>
  <sheetFormatPr baseColWidth="10" defaultRowHeight="14.4" x14ac:dyDescent="0.3"/>
  <cols>
    <col min="16" max="16" width="0" hidden="1" customWidth="1"/>
  </cols>
  <sheetData>
    <row r="1" spans="1:26" s="58" customFormat="1" ht="15.6" x14ac:dyDescent="0.3">
      <c r="A1" s="155" t="s">
        <v>35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26" s="58" customFormat="1" ht="15.6" x14ac:dyDescent="0.3">
      <c r="A2" s="155" t="s">
        <v>36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26" ht="15.6" x14ac:dyDescent="0.3">
      <c r="A3" s="164" t="s">
        <v>32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71"/>
      <c r="Q3" s="71"/>
      <c r="R3" s="71"/>
      <c r="S3" s="71"/>
    </row>
    <row r="4" spans="1:26" ht="82.8" x14ac:dyDescent="0.3">
      <c r="A4" s="162" t="s">
        <v>1</v>
      </c>
      <c r="B4" s="165" t="s">
        <v>2</v>
      </c>
      <c r="C4" s="165"/>
      <c r="D4" s="43" t="s">
        <v>3</v>
      </c>
      <c r="E4" s="43" t="s">
        <v>4</v>
      </c>
      <c r="F4" s="43" t="s">
        <v>5</v>
      </c>
      <c r="G4" s="43" t="s">
        <v>6</v>
      </c>
      <c r="H4" s="165" t="s">
        <v>7</v>
      </c>
      <c r="I4" s="165" t="s">
        <v>8</v>
      </c>
      <c r="J4" s="61"/>
      <c r="K4" s="167" t="s">
        <v>1</v>
      </c>
      <c r="L4" s="165" t="s">
        <v>9</v>
      </c>
      <c r="M4" s="165" t="s">
        <v>10</v>
      </c>
      <c r="N4" s="165" t="s">
        <v>11</v>
      </c>
      <c r="O4" s="165" t="s">
        <v>12</v>
      </c>
      <c r="P4" s="60"/>
      <c r="Q4" s="60"/>
      <c r="R4" s="60"/>
      <c r="S4" s="60"/>
    </row>
    <row r="5" spans="1:26" x14ac:dyDescent="0.3">
      <c r="A5" s="163"/>
      <c r="B5" s="42" t="s">
        <v>13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165"/>
      <c r="I5" s="165"/>
      <c r="J5" s="61"/>
      <c r="K5" s="167"/>
      <c r="L5" s="165"/>
      <c r="M5" s="165"/>
      <c r="N5" s="165"/>
      <c r="O5" s="165"/>
      <c r="P5" s="60"/>
      <c r="Q5" s="60"/>
      <c r="R5" s="60"/>
      <c r="S5" s="60"/>
    </row>
    <row r="6" spans="1:26" ht="15" thickBot="1" x14ac:dyDescent="0.35">
      <c r="A6" s="131">
        <v>1</v>
      </c>
      <c r="B6" s="132">
        <v>6504</v>
      </c>
      <c r="C6" s="132">
        <v>0</v>
      </c>
      <c r="D6" s="132">
        <v>1433</v>
      </c>
      <c r="E6" s="132">
        <v>217</v>
      </c>
      <c r="F6" s="132">
        <v>278</v>
      </c>
      <c r="G6" s="132">
        <v>326</v>
      </c>
      <c r="H6" s="132">
        <v>8758</v>
      </c>
      <c r="I6" s="132">
        <v>0</v>
      </c>
      <c r="J6" s="133"/>
      <c r="K6" s="131">
        <v>1</v>
      </c>
      <c r="L6" s="132">
        <v>1</v>
      </c>
      <c r="M6" s="132">
        <v>16</v>
      </c>
      <c r="N6" s="132">
        <v>2</v>
      </c>
      <c r="O6" s="132">
        <v>19</v>
      </c>
      <c r="P6" s="135">
        <v>6135</v>
      </c>
      <c r="Q6" s="60"/>
      <c r="R6" s="60"/>
      <c r="S6" s="60"/>
    </row>
    <row r="7" spans="1:26" ht="15.6" thickTop="1" thickBot="1" x14ac:dyDescent="0.35">
      <c r="A7" s="131">
        <v>2</v>
      </c>
      <c r="B7" s="132">
        <v>8267</v>
      </c>
      <c r="C7" s="132">
        <v>0</v>
      </c>
      <c r="D7" s="132">
        <v>1119</v>
      </c>
      <c r="E7" s="132">
        <v>169</v>
      </c>
      <c r="F7" s="132">
        <v>163</v>
      </c>
      <c r="G7" s="132">
        <v>262</v>
      </c>
      <c r="H7" s="132">
        <v>9980</v>
      </c>
      <c r="I7" s="132">
        <v>0</v>
      </c>
      <c r="J7" s="133"/>
      <c r="K7" s="131">
        <v>2</v>
      </c>
      <c r="L7" s="132">
        <v>3</v>
      </c>
      <c r="M7" s="132">
        <v>3</v>
      </c>
      <c r="N7" s="132">
        <v>3</v>
      </c>
      <c r="O7" s="132">
        <v>9</v>
      </c>
      <c r="P7" s="135">
        <v>6135</v>
      </c>
      <c r="Q7" s="60"/>
      <c r="R7" s="60"/>
      <c r="S7" s="60"/>
    </row>
    <row r="8" spans="1:26" ht="15.6" thickTop="1" thickBot="1" x14ac:dyDescent="0.35">
      <c r="A8" s="131">
        <v>3</v>
      </c>
      <c r="B8" s="132">
        <v>4136</v>
      </c>
      <c r="C8" s="132">
        <v>0</v>
      </c>
      <c r="D8" s="132">
        <v>1287</v>
      </c>
      <c r="E8" s="132">
        <v>282</v>
      </c>
      <c r="F8" s="132">
        <v>231</v>
      </c>
      <c r="G8" s="132">
        <v>399</v>
      </c>
      <c r="H8" s="132">
        <v>6335</v>
      </c>
      <c r="I8" s="132">
        <v>0</v>
      </c>
      <c r="J8" s="133"/>
      <c r="K8" s="131">
        <v>3</v>
      </c>
      <c r="L8" s="132">
        <v>4</v>
      </c>
      <c r="M8" s="132">
        <v>13</v>
      </c>
      <c r="N8" s="132">
        <v>8</v>
      </c>
      <c r="O8" s="132">
        <v>25</v>
      </c>
      <c r="P8" s="135">
        <v>6135</v>
      </c>
      <c r="Q8" s="60"/>
      <c r="R8" s="60"/>
      <c r="S8" s="69"/>
    </row>
    <row r="9" spans="1:26" ht="15.6" thickTop="1" thickBot="1" x14ac:dyDescent="0.35">
      <c r="A9" s="131">
        <v>4</v>
      </c>
      <c r="B9" s="132">
        <v>3755</v>
      </c>
      <c r="C9" s="132">
        <v>0</v>
      </c>
      <c r="D9" s="132">
        <v>1617</v>
      </c>
      <c r="E9" s="132">
        <v>236</v>
      </c>
      <c r="F9" s="132">
        <v>299</v>
      </c>
      <c r="G9" s="132">
        <v>431</v>
      </c>
      <c r="H9" s="132">
        <v>6338</v>
      </c>
      <c r="I9" s="132">
        <v>0</v>
      </c>
      <c r="J9" s="133"/>
      <c r="K9" s="131">
        <v>4</v>
      </c>
      <c r="L9" s="132">
        <v>6</v>
      </c>
      <c r="M9" s="132">
        <v>20</v>
      </c>
      <c r="N9" s="132">
        <v>5</v>
      </c>
      <c r="O9" s="132">
        <v>31</v>
      </c>
      <c r="P9" s="135">
        <v>6135</v>
      </c>
      <c r="Q9" s="60"/>
      <c r="R9" s="60"/>
      <c r="S9" s="60"/>
    </row>
    <row r="10" spans="1:26" ht="15.6" thickTop="1" thickBot="1" x14ac:dyDescent="0.35">
      <c r="A10" s="131">
        <v>5</v>
      </c>
      <c r="B10" s="132">
        <v>3864</v>
      </c>
      <c r="C10" s="132">
        <v>0</v>
      </c>
      <c r="D10" s="132">
        <v>1709</v>
      </c>
      <c r="E10" s="132">
        <v>280</v>
      </c>
      <c r="F10" s="132">
        <v>292</v>
      </c>
      <c r="G10" s="132">
        <v>494</v>
      </c>
      <c r="H10" s="132">
        <v>6639</v>
      </c>
      <c r="I10" s="132">
        <v>0</v>
      </c>
      <c r="J10" s="133"/>
      <c r="K10" s="131">
        <v>5</v>
      </c>
      <c r="L10" s="132">
        <v>4</v>
      </c>
      <c r="M10" s="132">
        <v>14</v>
      </c>
      <c r="N10" s="132">
        <v>2</v>
      </c>
      <c r="O10" s="132">
        <v>20</v>
      </c>
      <c r="P10" s="135">
        <v>6135</v>
      </c>
      <c r="Q10" s="60"/>
      <c r="R10" s="60"/>
      <c r="S10" s="60"/>
    </row>
    <row r="11" spans="1:26" ht="15.6" thickTop="1" thickBot="1" x14ac:dyDescent="0.35">
      <c r="A11" s="131">
        <v>6</v>
      </c>
      <c r="B11" s="132">
        <v>4562</v>
      </c>
      <c r="C11" s="132">
        <v>0</v>
      </c>
      <c r="D11" s="132">
        <v>1723</v>
      </c>
      <c r="E11" s="132">
        <v>300</v>
      </c>
      <c r="F11" s="132">
        <v>325</v>
      </c>
      <c r="G11" s="132">
        <v>465</v>
      </c>
      <c r="H11" s="132">
        <v>7375</v>
      </c>
      <c r="I11" s="132">
        <v>0</v>
      </c>
      <c r="J11" s="133"/>
      <c r="K11" s="131">
        <v>6</v>
      </c>
      <c r="L11" s="132">
        <v>11</v>
      </c>
      <c r="M11" s="132">
        <v>24</v>
      </c>
      <c r="N11" s="132">
        <v>7</v>
      </c>
      <c r="O11" s="132">
        <v>42</v>
      </c>
      <c r="P11" s="135">
        <v>6135</v>
      </c>
      <c r="Q11" s="60"/>
      <c r="R11" s="60"/>
      <c r="S11" s="60"/>
    </row>
    <row r="12" spans="1:26" ht="15.6" thickTop="1" thickBot="1" x14ac:dyDescent="0.35">
      <c r="A12" s="131">
        <v>7</v>
      </c>
      <c r="B12" s="132">
        <v>6418</v>
      </c>
      <c r="C12" s="132">
        <v>0</v>
      </c>
      <c r="D12" s="132">
        <v>1445</v>
      </c>
      <c r="E12" s="132">
        <v>192</v>
      </c>
      <c r="F12" s="132">
        <v>239</v>
      </c>
      <c r="G12" s="132">
        <v>349</v>
      </c>
      <c r="H12" s="132">
        <v>8643</v>
      </c>
      <c r="I12" s="132">
        <v>0</v>
      </c>
      <c r="J12" s="134"/>
      <c r="K12" s="131">
        <v>7</v>
      </c>
      <c r="L12" s="132">
        <v>10</v>
      </c>
      <c r="M12" s="132">
        <v>18</v>
      </c>
      <c r="N12" s="132">
        <v>4</v>
      </c>
      <c r="O12" s="132">
        <v>32</v>
      </c>
      <c r="P12" s="135">
        <v>6135</v>
      </c>
      <c r="Q12" s="60"/>
      <c r="R12" s="60"/>
      <c r="S12" s="60"/>
    </row>
    <row r="13" spans="1:26" ht="15.6" thickTop="1" thickBot="1" x14ac:dyDescent="0.35">
      <c r="A13" s="131">
        <v>8</v>
      </c>
      <c r="B13" s="132">
        <v>8880</v>
      </c>
      <c r="C13" s="132">
        <v>0</v>
      </c>
      <c r="D13" s="132">
        <v>1328</v>
      </c>
      <c r="E13" s="132">
        <v>171</v>
      </c>
      <c r="F13" s="132">
        <v>283</v>
      </c>
      <c r="G13" s="132">
        <v>255</v>
      </c>
      <c r="H13" s="132">
        <v>10917</v>
      </c>
      <c r="I13" s="132">
        <v>0</v>
      </c>
      <c r="J13" s="134"/>
      <c r="K13" s="131">
        <v>8</v>
      </c>
      <c r="L13" s="132">
        <v>12</v>
      </c>
      <c r="M13" s="132">
        <v>0</v>
      </c>
      <c r="N13" s="132">
        <v>7</v>
      </c>
      <c r="O13" s="132">
        <v>19</v>
      </c>
      <c r="P13" s="135">
        <v>6135</v>
      </c>
      <c r="Q13" s="60"/>
      <c r="R13" s="60"/>
      <c r="S13" s="60"/>
    </row>
    <row r="14" spans="1:26" ht="15.6" thickTop="1" thickBot="1" x14ac:dyDescent="0.35">
      <c r="A14" s="131">
        <v>9</v>
      </c>
      <c r="B14" s="132">
        <v>9660</v>
      </c>
      <c r="C14" s="132">
        <v>0</v>
      </c>
      <c r="D14" s="132">
        <v>1268</v>
      </c>
      <c r="E14" s="132">
        <v>226</v>
      </c>
      <c r="F14" s="132">
        <v>202</v>
      </c>
      <c r="G14" s="132">
        <v>348</v>
      </c>
      <c r="H14" s="132">
        <v>11704</v>
      </c>
      <c r="I14" s="132">
        <v>0</v>
      </c>
      <c r="J14" s="134"/>
      <c r="K14" s="131">
        <v>9</v>
      </c>
      <c r="L14" s="132">
        <v>15</v>
      </c>
      <c r="M14" s="132">
        <v>7</v>
      </c>
      <c r="N14" s="132">
        <v>5</v>
      </c>
      <c r="O14" s="132">
        <v>27</v>
      </c>
      <c r="P14" s="136">
        <v>6135</v>
      </c>
      <c r="Q14" s="72"/>
      <c r="R14" s="72"/>
      <c r="S14" s="72"/>
    </row>
    <row r="15" spans="1:26" ht="15.6" thickTop="1" thickBot="1" x14ac:dyDescent="0.35">
      <c r="A15" s="131">
        <v>10</v>
      </c>
      <c r="B15" s="132">
        <v>6008</v>
      </c>
      <c r="C15" s="132">
        <v>0</v>
      </c>
      <c r="D15" s="132">
        <v>1429</v>
      </c>
      <c r="E15" s="132">
        <v>296</v>
      </c>
      <c r="F15" s="132">
        <v>278</v>
      </c>
      <c r="G15" s="132">
        <v>464</v>
      </c>
      <c r="H15" s="132">
        <v>8475</v>
      </c>
      <c r="I15" s="132">
        <v>0</v>
      </c>
      <c r="J15" s="134"/>
      <c r="K15" s="131">
        <v>10</v>
      </c>
      <c r="L15" s="132">
        <v>8</v>
      </c>
      <c r="M15" s="132">
        <v>10</v>
      </c>
      <c r="N15" s="132">
        <v>7</v>
      </c>
      <c r="O15" s="132">
        <v>25</v>
      </c>
      <c r="P15" s="135">
        <v>6135</v>
      </c>
      <c r="Q15" s="60"/>
      <c r="R15" s="60"/>
      <c r="S15" s="60"/>
    </row>
    <row r="16" spans="1:26" ht="15.6" thickTop="1" thickBot="1" x14ac:dyDescent="0.35">
      <c r="A16" s="131">
        <v>11</v>
      </c>
      <c r="B16" s="132">
        <v>5686</v>
      </c>
      <c r="C16" s="132">
        <v>0</v>
      </c>
      <c r="D16" s="132">
        <v>1643</v>
      </c>
      <c r="E16" s="132">
        <v>313</v>
      </c>
      <c r="F16" s="132">
        <v>307</v>
      </c>
      <c r="G16" s="132">
        <v>486</v>
      </c>
      <c r="H16" s="132">
        <v>8435</v>
      </c>
      <c r="I16" s="132">
        <v>0</v>
      </c>
      <c r="J16" s="134"/>
      <c r="K16" s="131">
        <v>11</v>
      </c>
      <c r="L16" s="132">
        <v>5</v>
      </c>
      <c r="M16" s="132">
        <v>35</v>
      </c>
      <c r="N16" s="132">
        <v>3</v>
      </c>
      <c r="O16" s="132">
        <v>43</v>
      </c>
      <c r="P16" s="135">
        <v>6135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6" thickTop="1" thickBot="1" x14ac:dyDescent="0.35">
      <c r="A17" s="131">
        <v>12</v>
      </c>
      <c r="B17" s="132">
        <v>6515</v>
      </c>
      <c r="C17" s="132">
        <v>0</v>
      </c>
      <c r="D17" s="132">
        <v>1691</v>
      </c>
      <c r="E17" s="132">
        <v>306</v>
      </c>
      <c r="F17" s="132">
        <v>314</v>
      </c>
      <c r="G17" s="132">
        <v>474</v>
      </c>
      <c r="H17" s="132">
        <v>9300</v>
      </c>
      <c r="I17" s="132">
        <v>0</v>
      </c>
      <c r="J17" s="134"/>
      <c r="K17" s="131">
        <v>12</v>
      </c>
      <c r="L17" s="132">
        <v>6</v>
      </c>
      <c r="M17" s="132">
        <v>30</v>
      </c>
      <c r="N17" s="132">
        <v>6</v>
      </c>
      <c r="O17" s="132">
        <v>42</v>
      </c>
      <c r="P17" s="135">
        <v>6135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6" thickTop="1" thickBot="1" x14ac:dyDescent="0.35">
      <c r="A18" s="131">
        <v>13</v>
      </c>
      <c r="B18" s="132">
        <v>7748</v>
      </c>
      <c r="C18" s="132">
        <v>0</v>
      </c>
      <c r="D18" s="132">
        <v>1687</v>
      </c>
      <c r="E18" s="132">
        <v>276</v>
      </c>
      <c r="F18" s="132">
        <v>344</v>
      </c>
      <c r="G18" s="132">
        <v>508</v>
      </c>
      <c r="H18" s="132">
        <v>10563</v>
      </c>
      <c r="I18" s="132">
        <v>0</v>
      </c>
      <c r="J18" s="134"/>
      <c r="K18" s="131">
        <v>13</v>
      </c>
      <c r="L18" s="132">
        <v>9</v>
      </c>
      <c r="M18" s="132">
        <v>28</v>
      </c>
      <c r="N18" s="132">
        <v>6</v>
      </c>
      <c r="O18" s="132">
        <v>43</v>
      </c>
      <c r="P18" s="135">
        <v>6135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6" thickTop="1" thickBot="1" x14ac:dyDescent="0.35">
      <c r="A19" s="131">
        <v>14</v>
      </c>
      <c r="B19" s="132">
        <v>11022</v>
      </c>
      <c r="C19" s="132">
        <v>0</v>
      </c>
      <c r="D19" s="132">
        <v>1634</v>
      </c>
      <c r="E19" s="132">
        <v>245</v>
      </c>
      <c r="F19" s="132">
        <v>290</v>
      </c>
      <c r="G19" s="132">
        <v>411</v>
      </c>
      <c r="H19" s="132">
        <v>13602</v>
      </c>
      <c r="I19" s="132">
        <v>0</v>
      </c>
      <c r="J19" s="134"/>
      <c r="K19" s="131">
        <v>14</v>
      </c>
      <c r="L19" s="132">
        <v>6</v>
      </c>
      <c r="M19" s="132">
        <v>25</v>
      </c>
      <c r="N19" s="132">
        <v>4</v>
      </c>
      <c r="O19" s="132">
        <v>35</v>
      </c>
      <c r="P19" s="135">
        <v>6135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6" thickTop="1" thickBot="1" x14ac:dyDescent="0.35">
      <c r="A20" s="131">
        <v>15</v>
      </c>
      <c r="B20" s="132">
        <v>13849</v>
      </c>
      <c r="C20" s="132">
        <v>0</v>
      </c>
      <c r="D20" s="132">
        <v>1422</v>
      </c>
      <c r="E20" s="132">
        <v>159</v>
      </c>
      <c r="F20" s="132">
        <v>273</v>
      </c>
      <c r="G20" s="132">
        <v>243</v>
      </c>
      <c r="H20" s="132">
        <v>15946</v>
      </c>
      <c r="I20" s="132">
        <v>0</v>
      </c>
      <c r="J20" s="134"/>
      <c r="K20" s="131">
        <v>15</v>
      </c>
      <c r="L20" s="132">
        <v>4</v>
      </c>
      <c r="M20" s="132">
        <v>8</v>
      </c>
      <c r="N20" s="132">
        <v>2</v>
      </c>
      <c r="O20" s="132">
        <v>14</v>
      </c>
      <c r="P20" s="135">
        <v>6135</v>
      </c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6" thickTop="1" thickBot="1" x14ac:dyDescent="0.35">
      <c r="A21" s="131">
        <v>16</v>
      </c>
      <c r="B21" s="132">
        <v>12655</v>
      </c>
      <c r="C21" s="132">
        <v>0</v>
      </c>
      <c r="D21" s="132">
        <v>1162</v>
      </c>
      <c r="E21" s="132">
        <v>147</v>
      </c>
      <c r="F21" s="132">
        <v>175</v>
      </c>
      <c r="G21" s="132">
        <v>235</v>
      </c>
      <c r="H21" s="132">
        <v>14374</v>
      </c>
      <c r="I21" s="132">
        <v>0</v>
      </c>
      <c r="J21" s="134"/>
      <c r="K21" s="131">
        <v>16</v>
      </c>
      <c r="L21" s="132">
        <v>2</v>
      </c>
      <c r="M21" s="132">
        <v>10</v>
      </c>
      <c r="N21" s="132">
        <v>3</v>
      </c>
      <c r="O21" s="132">
        <v>15</v>
      </c>
      <c r="P21" s="135">
        <v>6135</v>
      </c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6" thickTop="1" thickBot="1" x14ac:dyDescent="0.35">
      <c r="A22" s="131">
        <v>17</v>
      </c>
      <c r="B22" s="132">
        <v>18377</v>
      </c>
      <c r="C22" s="132">
        <v>0</v>
      </c>
      <c r="D22" s="132">
        <v>933</v>
      </c>
      <c r="E22" s="132">
        <v>63</v>
      </c>
      <c r="F22" s="132">
        <v>80</v>
      </c>
      <c r="G22" s="132">
        <v>130</v>
      </c>
      <c r="H22" s="132">
        <v>19583</v>
      </c>
      <c r="I22" s="132">
        <v>0</v>
      </c>
      <c r="J22" s="134"/>
      <c r="K22" s="131">
        <v>17</v>
      </c>
      <c r="L22" s="132">
        <v>3</v>
      </c>
      <c r="M22" s="132">
        <v>0</v>
      </c>
      <c r="N22" s="132">
        <v>0</v>
      </c>
      <c r="O22" s="132">
        <v>3</v>
      </c>
      <c r="P22" s="135">
        <v>6135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6" thickTop="1" thickBot="1" x14ac:dyDescent="0.35">
      <c r="A23" s="131">
        <v>18</v>
      </c>
      <c r="B23" s="132">
        <v>6565</v>
      </c>
      <c r="C23" s="132">
        <v>0</v>
      </c>
      <c r="D23" s="132">
        <v>1449</v>
      </c>
      <c r="E23" s="132">
        <v>272</v>
      </c>
      <c r="F23" s="132">
        <v>259</v>
      </c>
      <c r="G23" s="132">
        <v>467</v>
      </c>
      <c r="H23" s="138">
        <v>9012</v>
      </c>
      <c r="I23" s="132">
        <v>0</v>
      </c>
      <c r="J23" s="134"/>
      <c r="K23" s="131">
        <v>18</v>
      </c>
      <c r="L23" s="132">
        <v>4</v>
      </c>
      <c r="M23" s="132">
        <v>16</v>
      </c>
      <c r="N23" s="132">
        <v>3</v>
      </c>
      <c r="O23" s="132">
        <v>23</v>
      </c>
      <c r="P23" s="135">
        <v>6135</v>
      </c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6" thickTop="1" thickBot="1" x14ac:dyDescent="0.35">
      <c r="A24" s="131">
        <v>19</v>
      </c>
      <c r="B24" s="132">
        <v>4099</v>
      </c>
      <c r="C24" s="132">
        <v>0</v>
      </c>
      <c r="D24" s="132">
        <v>1585</v>
      </c>
      <c r="E24" s="132">
        <v>282</v>
      </c>
      <c r="F24" s="132">
        <v>283</v>
      </c>
      <c r="G24" s="132">
        <v>414</v>
      </c>
      <c r="H24" s="138">
        <v>6663</v>
      </c>
      <c r="I24" s="132">
        <v>0</v>
      </c>
      <c r="J24" s="134"/>
      <c r="K24" s="131">
        <v>19</v>
      </c>
      <c r="L24" s="132">
        <v>3</v>
      </c>
      <c r="M24" s="132">
        <v>19</v>
      </c>
      <c r="N24" s="132">
        <v>5</v>
      </c>
      <c r="O24" s="132">
        <v>27</v>
      </c>
      <c r="P24" s="135">
        <v>6135</v>
      </c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6" thickTop="1" thickBot="1" x14ac:dyDescent="0.35">
      <c r="A25" s="131">
        <v>20</v>
      </c>
      <c r="B25" s="132">
        <v>4040</v>
      </c>
      <c r="C25" s="132">
        <v>0</v>
      </c>
      <c r="D25" s="132">
        <v>1827</v>
      </c>
      <c r="E25" s="132">
        <v>305</v>
      </c>
      <c r="F25" s="132">
        <v>349</v>
      </c>
      <c r="G25" s="132">
        <v>515</v>
      </c>
      <c r="H25" s="132">
        <v>7036</v>
      </c>
      <c r="I25" s="132">
        <v>0</v>
      </c>
      <c r="J25" s="134"/>
      <c r="K25" s="131">
        <v>20</v>
      </c>
      <c r="L25" s="132">
        <v>7</v>
      </c>
      <c r="M25" s="132">
        <v>15</v>
      </c>
      <c r="N25" s="132">
        <v>6</v>
      </c>
      <c r="O25" s="132">
        <v>28</v>
      </c>
      <c r="P25" s="135">
        <v>6135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6" thickTop="1" thickBot="1" x14ac:dyDescent="0.35">
      <c r="A26" s="131">
        <v>21</v>
      </c>
      <c r="B26" s="132">
        <v>5178</v>
      </c>
      <c r="C26" s="132">
        <v>0</v>
      </c>
      <c r="D26" s="132">
        <v>1623</v>
      </c>
      <c r="E26" s="132">
        <v>294</v>
      </c>
      <c r="F26" s="132">
        <v>339</v>
      </c>
      <c r="G26" s="132">
        <v>419</v>
      </c>
      <c r="H26" s="132">
        <v>7853</v>
      </c>
      <c r="I26" s="132">
        <v>0</v>
      </c>
      <c r="J26" s="134"/>
      <c r="K26" s="131">
        <v>21</v>
      </c>
      <c r="L26" s="132">
        <v>7</v>
      </c>
      <c r="M26" s="132">
        <v>24</v>
      </c>
      <c r="N26" s="132">
        <v>5</v>
      </c>
      <c r="O26" s="132">
        <v>36</v>
      </c>
      <c r="P26" s="135">
        <v>6135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6" thickTop="1" thickBot="1" x14ac:dyDescent="0.35">
      <c r="A27" s="131">
        <v>22</v>
      </c>
      <c r="B27" s="132">
        <v>5548</v>
      </c>
      <c r="C27" s="132">
        <v>0</v>
      </c>
      <c r="D27" s="132">
        <v>1457</v>
      </c>
      <c r="E27" s="132">
        <v>235</v>
      </c>
      <c r="F27" s="132">
        <v>340</v>
      </c>
      <c r="G27" s="132">
        <v>352</v>
      </c>
      <c r="H27" s="132">
        <v>7932</v>
      </c>
      <c r="I27" s="132">
        <v>0</v>
      </c>
      <c r="J27" s="134"/>
      <c r="K27" s="131">
        <v>22</v>
      </c>
      <c r="L27" s="132">
        <v>2</v>
      </c>
      <c r="M27" s="132">
        <v>17</v>
      </c>
      <c r="N27" s="132">
        <v>7</v>
      </c>
      <c r="O27" s="132">
        <v>26</v>
      </c>
      <c r="P27" s="135">
        <v>6135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6" thickTop="1" thickBot="1" x14ac:dyDescent="0.35">
      <c r="A28" s="131">
        <v>23</v>
      </c>
      <c r="B28" s="132">
        <v>6880</v>
      </c>
      <c r="C28" s="132">
        <v>0</v>
      </c>
      <c r="D28" s="132">
        <v>1198</v>
      </c>
      <c r="E28" s="132">
        <v>178</v>
      </c>
      <c r="F28" s="132">
        <v>192</v>
      </c>
      <c r="G28" s="132">
        <v>303</v>
      </c>
      <c r="H28" s="132">
        <v>8751</v>
      </c>
      <c r="I28" s="132">
        <v>0</v>
      </c>
      <c r="J28" s="134"/>
      <c r="K28" s="131">
        <v>23</v>
      </c>
      <c r="L28" s="132">
        <v>4</v>
      </c>
      <c r="M28" s="132">
        <v>3</v>
      </c>
      <c r="N28" s="132">
        <v>2</v>
      </c>
      <c r="O28" s="132">
        <v>9</v>
      </c>
      <c r="P28" s="135">
        <v>6135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6" thickTop="1" thickBot="1" x14ac:dyDescent="0.35">
      <c r="A29" s="131">
        <v>24</v>
      </c>
      <c r="B29" s="132">
        <v>3833</v>
      </c>
      <c r="C29" s="132">
        <v>0</v>
      </c>
      <c r="D29" s="132">
        <v>1348</v>
      </c>
      <c r="E29" s="132">
        <v>295</v>
      </c>
      <c r="F29" s="132">
        <v>250</v>
      </c>
      <c r="G29" s="132">
        <v>441</v>
      </c>
      <c r="H29" s="132">
        <v>6167</v>
      </c>
      <c r="I29" s="132">
        <v>0</v>
      </c>
      <c r="J29" s="134"/>
      <c r="K29" s="131">
        <v>24</v>
      </c>
      <c r="L29" s="132">
        <v>6</v>
      </c>
      <c r="M29" s="132">
        <v>6</v>
      </c>
      <c r="N29" s="132">
        <v>2</v>
      </c>
      <c r="O29" s="132">
        <v>14</v>
      </c>
      <c r="P29" s="135">
        <v>6135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6" thickTop="1" thickBot="1" x14ac:dyDescent="0.35">
      <c r="A30" s="131">
        <v>25</v>
      </c>
      <c r="B30" s="132">
        <v>3589</v>
      </c>
      <c r="C30" s="132">
        <v>0</v>
      </c>
      <c r="D30" s="132">
        <v>1660</v>
      </c>
      <c r="E30" s="132">
        <v>280</v>
      </c>
      <c r="F30" s="132">
        <v>299</v>
      </c>
      <c r="G30" s="132">
        <v>493</v>
      </c>
      <c r="H30" s="132">
        <v>6321</v>
      </c>
      <c r="I30" s="132">
        <v>0</v>
      </c>
      <c r="J30" s="134"/>
      <c r="K30" s="131">
        <v>25</v>
      </c>
      <c r="L30" s="132">
        <v>6</v>
      </c>
      <c r="M30" s="132">
        <v>23</v>
      </c>
      <c r="N30" s="132">
        <v>4</v>
      </c>
      <c r="O30" s="132">
        <v>33</v>
      </c>
      <c r="P30" s="135">
        <v>6135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6" thickTop="1" thickBot="1" x14ac:dyDescent="0.35">
      <c r="A31" s="131">
        <v>26</v>
      </c>
      <c r="B31" s="132">
        <v>3606</v>
      </c>
      <c r="C31" s="132">
        <v>0</v>
      </c>
      <c r="D31" s="132">
        <v>1718</v>
      </c>
      <c r="E31" s="132">
        <v>312</v>
      </c>
      <c r="F31" s="132">
        <v>350</v>
      </c>
      <c r="G31" s="132">
        <v>471</v>
      </c>
      <c r="H31" s="132">
        <v>6457</v>
      </c>
      <c r="I31" s="132">
        <v>0</v>
      </c>
      <c r="J31" s="134"/>
      <c r="K31" s="131">
        <v>26</v>
      </c>
      <c r="L31" s="132">
        <v>4</v>
      </c>
      <c r="M31" s="132">
        <v>19</v>
      </c>
      <c r="N31" s="132">
        <v>10</v>
      </c>
      <c r="O31" s="132">
        <v>33</v>
      </c>
      <c r="P31" s="135">
        <v>6135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6" thickTop="1" thickBot="1" x14ac:dyDescent="0.35">
      <c r="A32" s="131">
        <v>27</v>
      </c>
      <c r="B32" s="132">
        <v>3873</v>
      </c>
      <c r="C32" s="132">
        <v>0</v>
      </c>
      <c r="D32" s="132">
        <v>1727</v>
      </c>
      <c r="E32" s="132">
        <v>309</v>
      </c>
      <c r="F32" s="132">
        <v>319</v>
      </c>
      <c r="G32" s="132">
        <v>464</v>
      </c>
      <c r="H32" s="132">
        <v>6692</v>
      </c>
      <c r="I32" s="132">
        <v>0</v>
      </c>
      <c r="J32" s="134"/>
      <c r="K32" s="131">
        <v>27</v>
      </c>
      <c r="L32" s="132">
        <v>8</v>
      </c>
      <c r="M32" s="132">
        <v>16</v>
      </c>
      <c r="N32" s="132">
        <v>3</v>
      </c>
      <c r="O32" s="132">
        <v>27</v>
      </c>
      <c r="P32" s="135">
        <v>6135</v>
      </c>
    </row>
    <row r="33" spans="1:16" ht="15.6" thickTop="1" thickBot="1" x14ac:dyDescent="0.35">
      <c r="A33" s="131">
        <v>28</v>
      </c>
      <c r="B33" s="132">
        <v>4970</v>
      </c>
      <c r="C33" s="132">
        <v>0</v>
      </c>
      <c r="D33" s="132">
        <v>1733</v>
      </c>
      <c r="E33" s="132">
        <v>305</v>
      </c>
      <c r="F33" s="132">
        <v>295</v>
      </c>
      <c r="G33" s="132">
        <v>446</v>
      </c>
      <c r="H33" s="132">
        <v>7749</v>
      </c>
      <c r="I33" s="132">
        <v>0</v>
      </c>
      <c r="J33" s="134"/>
      <c r="K33" s="131">
        <v>28</v>
      </c>
      <c r="L33" s="132">
        <v>6</v>
      </c>
      <c r="M33" s="132">
        <v>14</v>
      </c>
      <c r="N33" s="132">
        <v>7</v>
      </c>
      <c r="O33" s="132">
        <v>27</v>
      </c>
      <c r="P33" s="135">
        <v>6135</v>
      </c>
    </row>
    <row r="34" spans="1:16" ht="15.6" thickTop="1" thickBot="1" x14ac:dyDescent="0.35">
      <c r="A34" s="131">
        <v>29</v>
      </c>
      <c r="B34" s="132">
        <v>5418</v>
      </c>
      <c r="C34" s="132">
        <v>0</v>
      </c>
      <c r="D34" s="132">
        <v>1531</v>
      </c>
      <c r="E34" s="132">
        <v>296</v>
      </c>
      <c r="F34" s="132">
        <v>332</v>
      </c>
      <c r="G34" s="132">
        <v>431</v>
      </c>
      <c r="H34" s="132">
        <v>8008</v>
      </c>
      <c r="I34" s="132">
        <v>0</v>
      </c>
      <c r="J34" s="134"/>
      <c r="K34" s="131">
        <v>29</v>
      </c>
      <c r="L34" s="132">
        <v>6</v>
      </c>
      <c r="M34" s="132">
        <v>20</v>
      </c>
      <c r="N34" s="132">
        <v>7</v>
      </c>
      <c r="O34" s="132">
        <v>33</v>
      </c>
      <c r="P34" s="135">
        <v>6135</v>
      </c>
    </row>
    <row r="35" spans="1:16" ht="15.6" thickTop="1" thickBot="1" x14ac:dyDescent="0.35">
      <c r="A35" s="131">
        <v>30</v>
      </c>
      <c r="B35" s="132">
        <v>6073</v>
      </c>
      <c r="C35" s="132">
        <v>0</v>
      </c>
      <c r="D35" s="132">
        <v>1259</v>
      </c>
      <c r="E35" s="132">
        <v>203</v>
      </c>
      <c r="F35" s="132">
        <v>181</v>
      </c>
      <c r="G35" s="132">
        <v>286</v>
      </c>
      <c r="H35" s="132">
        <v>8002</v>
      </c>
      <c r="I35" s="132">
        <v>0</v>
      </c>
      <c r="J35" s="134"/>
      <c r="K35" s="131">
        <v>30</v>
      </c>
      <c r="L35" s="132">
        <v>4</v>
      </c>
      <c r="M35" s="132">
        <v>2</v>
      </c>
      <c r="N35" s="132">
        <v>4</v>
      </c>
      <c r="O35" s="132">
        <v>10</v>
      </c>
      <c r="P35" s="135">
        <v>6135</v>
      </c>
    </row>
    <row r="36" spans="1:16" ht="15.6" thickTop="1" thickBot="1" x14ac:dyDescent="0.35">
      <c r="A36" s="131">
        <v>31</v>
      </c>
      <c r="B36" s="132">
        <v>3619</v>
      </c>
      <c r="C36" s="132">
        <v>0</v>
      </c>
      <c r="D36" s="132">
        <v>1397</v>
      </c>
      <c r="E36" s="132">
        <v>268</v>
      </c>
      <c r="F36" s="132">
        <v>242</v>
      </c>
      <c r="G36" s="132">
        <v>424</v>
      </c>
      <c r="H36" s="132">
        <v>5950</v>
      </c>
      <c r="I36" s="132">
        <v>0</v>
      </c>
      <c r="J36" s="134"/>
      <c r="K36" s="131">
        <v>31</v>
      </c>
      <c r="L36" s="137">
        <v>6</v>
      </c>
      <c r="M36" s="137">
        <v>23</v>
      </c>
      <c r="N36" s="137">
        <v>2</v>
      </c>
      <c r="O36" s="132">
        <v>31</v>
      </c>
      <c r="P36" s="135">
        <v>6135</v>
      </c>
    </row>
    <row r="37" spans="1:16" ht="15" thickTop="1" x14ac:dyDescent="0.3">
      <c r="A37" s="42" t="s">
        <v>19</v>
      </c>
      <c r="B37" s="55">
        <v>205197</v>
      </c>
      <c r="C37" s="55">
        <v>0</v>
      </c>
      <c r="D37" s="55">
        <v>46042</v>
      </c>
      <c r="E37" s="55">
        <v>7712</v>
      </c>
      <c r="F37" s="55">
        <v>8403</v>
      </c>
      <c r="G37" s="55">
        <v>12206</v>
      </c>
      <c r="H37" s="55">
        <v>279560</v>
      </c>
      <c r="I37" s="55">
        <v>0</v>
      </c>
      <c r="J37" s="55"/>
      <c r="K37" s="55"/>
      <c r="L37" s="55">
        <v>182</v>
      </c>
      <c r="M37" s="55">
        <v>478</v>
      </c>
      <c r="N37" s="55">
        <v>141</v>
      </c>
      <c r="O37" s="55">
        <v>801</v>
      </c>
      <c r="P37" s="55">
        <v>190185</v>
      </c>
    </row>
    <row r="38" spans="1:16" x14ac:dyDescent="0.3">
      <c r="A38" s="42" t="s">
        <v>19</v>
      </c>
      <c r="B38" s="166">
        <v>205197</v>
      </c>
      <c r="C38" s="166"/>
      <c r="D38" s="55">
        <v>46042</v>
      </c>
      <c r="E38" s="55">
        <v>7712</v>
      </c>
      <c r="F38" s="55">
        <v>8403</v>
      </c>
      <c r="G38" s="55">
        <v>12206</v>
      </c>
      <c r="H38" s="55">
        <v>279560</v>
      </c>
      <c r="I38" s="55">
        <v>0</v>
      </c>
      <c r="J38" s="66"/>
      <c r="K38" s="42"/>
      <c r="L38" s="67" t="s">
        <v>23</v>
      </c>
      <c r="M38" s="67" t="s">
        <v>24</v>
      </c>
      <c r="N38" s="67" t="s">
        <v>23</v>
      </c>
      <c r="O38" s="67" t="s">
        <v>24</v>
      </c>
      <c r="P38" s="60"/>
    </row>
    <row r="39" spans="1:16" x14ac:dyDescent="0.3">
      <c r="A39" s="68" t="s">
        <v>20</v>
      </c>
      <c r="B39" s="70"/>
      <c r="C39" s="70"/>
      <c r="D39" s="70"/>
      <c r="E39" s="70"/>
      <c r="F39" s="70"/>
      <c r="G39" s="70"/>
      <c r="H39" s="70"/>
      <c r="I39" s="60"/>
      <c r="J39" s="60"/>
      <c r="K39" s="60"/>
      <c r="L39" s="73"/>
      <c r="M39" s="60"/>
      <c r="N39" s="60"/>
      <c r="O39" s="60"/>
      <c r="P39" s="60"/>
    </row>
    <row r="40" spans="1:16" x14ac:dyDescent="0.3">
      <c r="A40" s="78"/>
      <c r="B40" s="79"/>
      <c r="C40" s="79"/>
      <c r="D40" s="79"/>
      <c r="E40" s="79"/>
      <c r="F40" s="79"/>
      <c r="G40" s="79"/>
      <c r="H40" s="79"/>
      <c r="I40" s="79"/>
      <c r="J40" s="73"/>
      <c r="K40" s="23"/>
      <c r="L40" s="22"/>
      <c r="M40" s="60"/>
      <c r="N40" s="60"/>
      <c r="O40" s="60"/>
      <c r="P40" s="60"/>
    </row>
    <row r="41" spans="1:16" x14ac:dyDescent="0.3">
      <c r="A41" s="69"/>
      <c r="B41" s="60"/>
      <c r="C41" s="60"/>
      <c r="D41" s="60"/>
      <c r="E41" s="60"/>
      <c r="F41" s="60"/>
      <c r="G41" s="60"/>
      <c r="H41" s="69"/>
      <c r="I41" s="60"/>
      <c r="J41" s="60"/>
      <c r="K41" s="23"/>
      <c r="L41" s="22"/>
      <c r="M41" s="60"/>
      <c r="N41" s="60"/>
      <c r="O41" s="60"/>
      <c r="P41" s="60"/>
    </row>
    <row r="42" spans="1:16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23"/>
      <c r="L42" s="22"/>
      <c r="M42" s="60"/>
      <c r="N42" s="60"/>
      <c r="O42" s="60"/>
      <c r="P42" s="60"/>
    </row>
    <row r="43" spans="1:16" x14ac:dyDescent="0.3">
      <c r="A43" s="60"/>
      <c r="B43" s="60"/>
      <c r="C43" s="60"/>
      <c r="D43" s="60"/>
      <c r="E43" s="60"/>
      <c r="F43" s="60"/>
      <c r="G43" s="94">
        <v>8626</v>
      </c>
      <c r="H43" s="60"/>
      <c r="I43" s="69"/>
      <c r="J43" s="69"/>
      <c r="K43" s="60"/>
      <c r="L43" s="60"/>
      <c r="M43" s="60"/>
      <c r="N43" s="60"/>
      <c r="O43" s="60"/>
      <c r="P43" s="60"/>
    </row>
    <row r="45" spans="1:16" x14ac:dyDescent="0.3">
      <c r="A45" s="77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</row>
    <row r="46" spans="1:16" x14ac:dyDescent="0.3">
      <c r="A46" s="77"/>
      <c r="B46" s="69"/>
      <c r="C46" s="69"/>
      <c r="D46" s="69"/>
      <c r="E46" s="69"/>
      <c r="F46" s="69"/>
      <c r="G46" s="69"/>
      <c r="H46" s="69"/>
      <c r="I46" s="69"/>
      <c r="J46" s="69"/>
      <c r="K46" s="74"/>
      <c r="L46" s="69"/>
      <c r="M46" s="69"/>
      <c r="N46" s="69"/>
      <c r="O46" s="69"/>
      <c r="P46" s="60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A5C5-5F1C-4BB3-9D9F-5E9FDB60C003}">
  <dimension ref="A1:Z46"/>
  <sheetViews>
    <sheetView workbookViewId="0">
      <selection activeCell="F12" sqref="F12"/>
    </sheetView>
  </sheetViews>
  <sheetFormatPr baseColWidth="10" defaultRowHeight="14.4" x14ac:dyDescent="0.3"/>
  <cols>
    <col min="16" max="16" width="0" hidden="1" customWidth="1"/>
  </cols>
  <sheetData>
    <row r="1" spans="1:26" s="58" customFormat="1" ht="15.6" x14ac:dyDescent="0.3">
      <c r="A1" s="155" t="s">
        <v>35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26" s="58" customFormat="1" ht="15.6" x14ac:dyDescent="0.3">
      <c r="A2" s="155" t="s">
        <v>36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26" ht="15.6" x14ac:dyDescent="0.3">
      <c r="A3" s="164" t="s">
        <v>33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71"/>
      <c r="Q3" s="71"/>
      <c r="R3" s="71"/>
      <c r="S3" s="71"/>
    </row>
    <row r="4" spans="1:26" ht="82.8" x14ac:dyDescent="0.3">
      <c r="A4" s="162" t="s">
        <v>1</v>
      </c>
      <c r="B4" s="165" t="s">
        <v>2</v>
      </c>
      <c r="C4" s="165"/>
      <c r="D4" s="43" t="s">
        <v>3</v>
      </c>
      <c r="E4" s="43" t="s">
        <v>4</v>
      </c>
      <c r="F4" s="43" t="s">
        <v>5</v>
      </c>
      <c r="G4" s="43" t="s">
        <v>6</v>
      </c>
      <c r="H4" s="165" t="s">
        <v>7</v>
      </c>
      <c r="I4" s="165" t="s">
        <v>8</v>
      </c>
      <c r="J4" s="61"/>
      <c r="K4" s="167" t="s">
        <v>1</v>
      </c>
      <c r="L4" s="165" t="s">
        <v>9</v>
      </c>
      <c r="M4" s="165" t="s">
        <v>10</v>
      </c>
      <c r="N4" s="165" t="s">
        <v>11</v>
      </c>
      <c r="O4" s="165" t="s">
        <v>12</v>
      </c>
      <c r="P4" s="60"/>
      <c r="Q4" s="60"/>
      <c r="R4" s="60"/>
      <c r="S4" s="60"/>
    </row>
    <row r="5" spans="1:26" x14ac:dyDescent="0.3">
      <c r="A5" s="163"/>
      <c r="B5" s="42" t="s">
        <v>13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165"/>
      <c r="I5" s="165"/>
      <c r="J5" s="61"/>
      <c r="K5" s="167"/>
      <c r="L5" s="165"/>
      <c r="M5" s="165"/>
      <c r="N5" s="165"/>
      <c r="O5" s="165"/>
      <c r="P5" s="60"/>
      <c r="Q5" s="60"/>
      <c r="R5" s="60"/>
      <c r="S5" s="60"/>
    </row>
    <row r="6" spans="1:26" ht="15" thickBot="1" x14ac:dyDescent="0.35">
      <c r="A6" s="139">
        <v>1</v>
      </c>
      <c r="B6" s="140">
        <v>3813</v>
      </c>
      <c r="C6" s="140">
        <v>0</v>
      </c>
      <c r="D6" s="140">
        <v>1651</v>
      </c>
      <c r="E6" s="140">
        <v>311</v>
      </c>
      <c r="F6" s="140">
        <v>296</v>
      </c>
      <c r="G6" s="140">
        <v>460</v>
      </c>
      <c r="H6" s="140">
        <v>6531</v>
      </c>
      <c r="I6" s="140">
        <v>0</v>
      </c>
      <c r="J6" s="141"/>
      <c r="K6" s="139">
        <v>1</v>
      </c>
      <c r="L6" s="140">
        <v>5</v>
      </c>
      <c r="M6" s="140">
        <v>20</v>
      </c>
      <c r="N6" s="140">
        <v>3</v>
      </c>
      <c r="O6" s="140">
        <v>28</v>
      </c>
      <c r="P6" s="143">
        <v>6135</v>
      </c>
      <c r="Q6" s="60"/>
      <c r="R6" s="60"/>
      <c r="S6" s="60"/>
    </row>
    <row r="7" spans="1:26" ht="15.6" thickTop="1" thickBot="1" x14ac:dyDescent="0.35">
      <c r="A7" s="139">
        <v>2</v>
      </c>
      <c r="B7" s="140">
        <v>3686</v>
      </c>
      <c r="C7" s="140">
        <v>0</v>
      </c>
      <c r="D7" s="140">
        <v>1800</v>
      </c>
      <c r="E7" s="140">
        <v>343</v>
      </c>
      <c r="F7" s="140">
        <v>373</v>
      </c>
      <c r="G7" s="140">
        <v>443</v>
      </c>
      <c r="H7" s="140">
        <v>6645</v>
      </c>
      <c r="I7" s="140">
        <v>0</v>
      </c>
      <c r="J7" s="141"/>
      <c r="K7" s="139">
        <v>2</v>
      </c>
      <c r="L7" s="140">
        <v>3</v>
      </c>
      <c r="M7" s="140">
        <v>18</v>
      </c>
      <c r="N7" s="140">
        <v>6</v>
      </c>
      <c r="O7" s="140">
        <v>27</v>
      </c>
      <c r="P7" s="143">
        <v>6135</v>
      </c>
      <c r="Q7" s="60"/>
      <c r="R7" s="60"/>
      <c r="S7" s="60"/>
    </row>
    <row r="8" spans="1:26" ht="15.6" thickTop="1" thickBot="1" x14ac:dyDescent="0.35">
      <c r="A8" s="139">
        <v>3</v>
      </c>
      <c r="B8" s="140">
        <v>4431</v>
      </c>
      <c r="C8" s="140">
        <v>0</v>
      </c>
      <c r="D8" s="140">
        <v>1874</v>
      </c>
      <c r="E8" s="140">
        <v>317</v>
      </c>
      <c r="F8" s="140">
        <v>329</v>
      </c>
      <c r="G8" s="140">
        <v>495</v>
      </c>
      <c r="H8" s="140">
        <v>7446</v>
      </c>
      <c r="I8" s="140">
        <v>0</v>
      </c>
      <c r="J8" s="141"/>
      <c r="K8" s="139">
        <v>3</v>
      </c>
      <c r="L8" s="140">
        <v>5</v>
      </c>
      <c r="M8" s="140">
        <v>18</v>
      </c>
      <c r="N8" s="140">
        <v>10</v>
      </c>
      <c r="O8" s="140">
        <v>33</v>
      </c>
      <c r="P8" s="143">
        <v>6135</v>
      </c>
      <c r="Q8" s="60"/>
      <c r="R8" s="60"/>
      <c r="S8" s="69"/>
    </row>
    <row r="9" spans="1:26" ht="15.6" thickTop="1" thickBot="1" x14ac:dyDescent="0.35">
      <c r="A9" s="139">
        <v>4</v>
      </c>
      <c r="B9" s="140">
        <v>7215</v>
      </c>
      <c r="C9" s="140">
        <v>0</v>
      </c>
      <c r="D9" s="140">
        <v>1599</v>
      </c>
      <c r="E9" s="140">
        <v>295</v>
      </c>
      <c r="F9" s="140">
        <v>280</v>
      </c>
      <c r="G9" s="140">
        <v>405</v>
      </c>
      <c r="H9" s="140">
        <v>9794</v>
      </c>
      <c r="I9" s="140">
        <v>0</v>
      </c>
      <c r="J9" s="141"/>
      <c r="K9" s="139">
        <v>4</v>
      </c>
      <c r="L9" s="140">
        <v>7</v>
      </c>
      <c r="M9" s="140">
        <v>20</v>
      </c>
      <c r="N9" s="140">
        <v>5</v>
      </c>
      <c r="O9" s="140">
        <v>32</v>
      </c>
      <c r="P9" s="143">
        <v>6135</v>
      </c>
      <c r="Q9" s="60"/>
      <c r="R9" s="60"/>
      <c r="S9" s="60"/>
    </row>
    <row r="10" spans="1:26" ht="15.6" thickTop="1" thickBot="1" x14ac:dyDescent="0.35">
      <c r="A10" s="139">
        <v>5</v>
      </c>
      <c r="B10" s="140">
        <v>9373</v>
      </c>
      <c r="C10" s="140">
        <v>0</v>
      </c>
      <c r="D10" s="140">
        <v>1316</v>
      </c>
      <c r="E10" s="140">
        <v>176</v>
      </c>
      <c r="F10" s="140">
        <v>278</v>
      </c>
      <c r="G10" s="140">
        <v>246</v>
      </c>
      <c r="H10" s="140">
        <v>11389</v>
      </c>
      <c r="I10" s="140">
        <v>0</v>
      </c>
      <c r="J10" s="141"/>
      <c r="K10" s="139">
        <v>5</v>
      </c>
      <c r="L10" s="140">
        <v>6</v>
      </c>
      <c r="M10" s="140">
        <v>6</v>
      </c>
      <c r="N10" s="140">
        <v>4</v>
      </c>
      <c r="O10" s="140">
        <v>16</v>
      </c>
      <c r="P10" s="143">
        <v>6135</v>
      </c>
      <c r="Q10" s="60"/>
      <c r="R10" s="60"/>
      <c r="S10" s="60"/>
    </row>
    <row r="11" spans="1:26" ht="15.6" thickTop="1" thickBot="1" x14ac:dyDescent="0.35">
      <c r="A11" s="139">
        <v>6</v>
      </c>
      <c r="B11" s="140">
        <v>7338</v>
      </c>
      <c r="C11" s="140">
        <v>0</v>
      </c>
      <c r="D11" s="140">
        <v>1198</v>
      </c>
      <c r="E11" s="140">
        <v>208</v>
      </c>
      <c r="F11" s="140">
        <v>229</v>
      </c>
      <c r="G11" s="140">
        <v>279</v>
      </c>
      <c r="H11" s="140">
        <v>9252</v>
      </c>
      <c r="I11" s="140">
        <v>0</v>
      </c>
      <c r="J11" s="141"/>
      <c r="K11" s="139">
        <v>6</v>
      </c>
      <c r="L11" s="140">
        <v>7</v>
      </c>
      <c r="M11" s="140">
        <v>6</v>
      </c>
      <c r="N11" s="140">
        <v>5</v>
      </c>
      <c r="O11" s="140">
        <v>18</v>
      </c>
      <c r="P11" s="143">
        <v>6135</v>
      </c>
      <c r="Q11" s="60"/>
      <c r="R11" s="60"/>
      <c r="S11" s="60"/>
    </row>
    <row r="12" spans="1:26" ht="15.6" thickTop="1" thickBot="1" x14ac:dyDescent="0.35">
      <c r="A12" s="139">
        <v>7</v>
      </c>
      <c r="B12" s="140">
        <v>11217</v>
      </c>
      <c r="C12" s="140">
        <v>0</v>
      </c>
      <c r="D12" s="140">
        <v>839</v>
      </c>
      <c r="E12" s="140">
        <v>70</v>
      </c>
      <c r="F12" s="140">
        <v>102</v>
      </c>
      <c r="G12" s="140">
        <v>90</v>
      </c>
      <c r="H12" s="140">
        <v>12318</v>
      </c>
      <c r="I12" s="140">
        <v>0</v>
      </c>
      <c r="J12" s="142"/>
      <c r="K12" s="139">
        <v>7</v>
      </c>
      <c r="L12" s="140">
        <v>1</v>
      </c>
      <c r="M12" s="140">
        <v>3</v>
      </c>
      <c r="N12" s="140">
        <v>0</v>
      </c>
      <c r="O12" s="140">
        <v>4</v>
      </c>
      <c r="P12" s="143">
        <v>6135</v>
      </c>
      <c r="Q12" s="60"/>
      <c r="R12" s="60"/>
      <c r="S12" s="60"/>
    </row>
    <row r="13" spans="1:26" ht="15.6" thickTop="1" thickBot="1" x14ac:dyDescent="0.35">
      <c r="A13" s="139">
        <v>8</v>
      </c>
      <c r="B13" s="140">
        <v>4561</v>
      </c>
      <c r="C13" s="140">
        <v>0</v>
      </c>
      <c r="D13" s="140">
        <v>1515</v>
      </c>
      <c r="E13" s="140">
        <v>334</v>
      </c>
      <c r="F13" s="140">
        <v>232</v>
      </c>
      <c r="G13" s="140">
        <v>446</v>
      </c>
      <c r="H13" s="140">
        <v>7088</v>
      </c>
      <c r="I13" s="140">
        <v>0</v>
      </c>
      <c r="J13" s="142"/>
      <c r="K13" s="139">
        <v>8</v>
      </c>
      <c r="L13" s="140">
        <v>5</v>
      </c>
      <c r="M13" s="140">
        <v>8</v>
      </c>
      <c r="N13" s="140">
        <v>2</v>
      </c>
      <c r="O13" s="140">
        <v>15</v>
      </c>
      <c r="P13" s="143">
        <v>6135</v>
      </c>
      <c r="Q13" s="60"/>
      <c r="R13" s="60"/>
      <c r="S13" s="60"/>
    </row>
    <row r="14" spans="1:26" ht="15.6" thickTop="1" thickBot="1" x14ac:dyDescent="0.35">
      <c r="A14" s="139">
        <v>9</v>
      </c>
      <c r="B14" s="140">
        <v>3951</v>
      </c>
      <c r="C14" s="140">
        <v>0</v>
      </c>
      <c r="D14" s="140">
        <v>1748</v>
      </c>
      <c r="E14" s="140">
        <v>310</v>
      </c>
      <c r="F14" s="140">
        <v>333</v>
      </c>
      <c r="G14" s="140">
        <v>462</v>
      </c>
      <c r="H14" s="140">
        <v>6804</v>
      </c>
      <c r="I14" s="140">
        <v>0</v>
      </c>
      <c r="J14" s="142"/>
      <c r="K14" s="139">
        <v>9</v>
      </c>
      <c r="L14" s="140">
        <v>3</v>
      </c>
      <c r="M14" s="140">
        <v>16</v>
      </c>
      <c r="N14" s="140">
        <v>5</v>
      </c>
      <c r="O14" s="140">
        <v>24</v>
      </c>
      <c r="P14" s="144">
        <v>6135</v>
      </c>
      <c r="Q14" s="72"/>
      <c r="R14" s="72"/>
      <c r="S14" s="72"/>
    </row>
    <row r="15" spans="1:26" ht="15.6" thickTop="1" thickBot="1" x14ac:dyDescent="0.35">
      <c r="A15" s="139">
        <v>10</v>
      </c>
      <c r="B15" s="140">
        <v>4342</v>
      </c>
      <c r="C15" s="140">
        <v>0</v>
      </c>
      <c r="D15" s="140">
        <v>1762</v>
      </c>
      <c r="E15" s="140">
        <v>330</v>
      </c>
      <c r="F15" s="140">
        <v>329</v>
      </c>
      <c r="G15" s="140">
        <v>510</v>
      </c>
      <c r="H15" s="140">
        <v>7273</v>
      </c>
      <c r="I15" s="140">
        <v>0</v>
      </c>
      <c r="J15" s="142"/>
      <c r="K15" s="139">
        <v>10</v>
      </c>
      <c r="L15" s="140">
        <v>2</v>
      </c>
      <c r="M15" s="140">
        <v>10</v>
      </c>
      <c r="N15" s="140">
        <v>3</v>
      </c>
      <c r="O15" s="140">
        <v>15</v>
      </c>
      <c r="P15" s="143">
        <v>6135</v>
      </c>
      <c r="Q15" s="60"/>
      <c r="R15" s="60"/>
      <c r="S15" s="60"/>
    </row>
    <row r="16" spans="1:26" ht="15.6" thickTop="1" thickBot="1" x14ac:dyDescent="0.35">
      <c r="A16" s="139">
        <v>11</v>
      </c>
      <c r="B16" s="140">
        <v>7601</v>
      </c>
      <c r="C16" s="140">
        <v>0</v>
      </c>
      <c r="D16" s="140">
        <v>1714</v>
      </c>
      <c r="E16" s="140">
        <v>279</v>
      </c>
      <c r="F16" s="140">
        <v>323</v>
      </c>
      <c r="G16" s="140">
        <v>418</v>
      </c>
      <c r="H16" s="140">
        <v>10335</v>
      </c>
      <c r="I16" s="140">
        <v>0</v>
      </c>
      <c r="J16" s="142"/>
      <c r="K16" s="139">
        <v>11</v>
      </c>
      <c r="L16" s="140">
        <v>5</v>
      </c>
      <c r="M16" s="140">
        <v>19</v>
      </c>
      <c r="N16" s="140">
        <v>7</v>
      </c>
      <c r="O16" s="140">
        <v>31</v>
      </c>
      <c r="P16" s="143">
        <v>6135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6" thickTop="1" thickBot="1" x14ac:dyDescent="0.35">
      <c r="A17" s="139">
        <v>12</v>
      </c>
      <c r="B17" s="140">
        <v>10597</v>
      </c>
      <c r="C17" s="140">
        <v>0</v>
      </c>
      <c r="D17" s="140">
        <v>1541</v>
      </c>
      <c r="E17" s="140">
        <v>227</v>
      </c>
      <c r="F17" s="140">
        <v>279</v>
      </c>
      <c r="G17" s="140">
        <v>319</v>
      </c>
      <c r="H17" s="140">
        <v>12963</v>
      </c>
      <c r="I17" s="140">
        <v>0</v>
      </c>
      <c r="J17" s="142"/>
      <c r="K17" s="139">
        <v>12</v>
      </c>
      <c r="L17" s="140">
        <v>9</v>
      </c>
      <c r="M17" s="140">
        <v>17</v>
      </c>
      <c r="N17" s="140">
        <v>3</v>
      </c>
      <c r="O17" s="140">
        <v>29</v>
      </c>
      <c r="P17" s="143">
        <v>6135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6" thickTop="1" thickBot="1" x14ac:dyDescent="0.35">
      <c r="A18" s="139">
        <v>13</v>
      </c>
      <c r="B18" s="140">
        <v>7658</v>
      </c>
      <c r="C18" s="140">
        <v>0</v>
      </c>
      <c r="D18" s="140">
        <v>1233</v>
      </c>
      <c r="E18" s="140">
        <v>201</v>
      </c>
      <c r="F18" s="140">
        <v>191</v>
      </c>
      <c r="G18" s="140">
        <v>328</v>
      </c>
      <c r="H18" s="140">
        <v>9611</v>
      </c>
      <c r="I18" s="140">
        <v>0</v>
      </c>
      <c r="J18" s="142"/>
      <c r="K18" s="139">
        <v>13</v>
      </c>
      <c r="L18" s="140">
        <v>9</v>
      </c>
      <c r="M18" s="140">
        <v>18</v>
      </c>
      <c r="N18" s="140">
        <v>3</v>
      </c>
      <c r="O18" s="140">
        <v>30</v>
      </c>
      <c r="P18" s="143">
        <v>6135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6" thickTop="1" thickBot="1" x14ac:dyDescent="0.35">
      <c r="A19" s="139">
        <v>14</v>
      </c>
      <c r="B19" s="140">
        <v>12759</v>
      </c>
      <c r="C19" s="140">
        <v>0</v>
      </c>
      <c r="D19" s="140">
        <v>839</v>
      </c>
      <c r="E19" s="140">
        <v>61</v>
      </c>
      <c r="F19" s="140">
        <v>87</v>
      </c>
      <c r="G19" s="140">
        <v>112</v>
      </c>
      <c r="H19" s="140">
        <v>13858</v>
      </c>
      <c r="I19" s="140">
        <v>0</v>
      </c>
      <c r="J19" s="142"/>
      <c r="K19" s="139">
        <v>14</v>
      </c>
      <c r="L19" s="140">
        <v>3</v>
      </c>
      <c r="M19" s="140">
        <v>2</v>
      </c>
      <c r="N19" s="140">
        <v>1</v>
      </c>
      <c r="O19" s="140">
        <v>6</v>
      </c>
      <c r="P19" s="143">
        <v>6135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6" thickTop="1" thickBot="1" x14ac:dyDescent="0.35">
      <c r="A20" s="139">
        <v>15</v>
      </c>
      <c r="B20" s="140">
        <v>4631</v>
      </c>
      <c r="C20" s="140">
        <v>0</v>
      </c>
      <c r="D20" s="140">
        <v>1441</v>
      </c>
      <c r="E20" s="140">
        <v>241</v>
      </c>
      <c r="F20" s="140">
        <v>201</v>
      </c>
      <c r="G20" s="140">
        <v>408</v>
      </c>
      <c r="H20" s="140">
        <v>6922</v>
      </c>
      <c r="I20" s="140">
        <v>0</v>
      </c>
      <c r="J20" s="142"/>
      <c r="K20" s="139">
        <v>15</v>
      </c>
      <c r="L20" s="140">
        <v>2</v>
      </c>
      <c r="M20" s="140">
        <v>9</v>
      </c>
      <c r="N20" s="140">
        <v>7</v>
      </c>
      <c r="O20" s="140">
        <v>18</v>
      </c>
      <c r="P20" s="143">
        <v>6135</v>
      </c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6" thickTop="1" thickBot="1" x14ac:dyDescent="0.35">
      <c r="A21" s="139">
        <v>16</v>
      </c>
      <c r="B21" s="140">
        <v>3737</v>
      </c>
      <c r="C21" s="140">
        <v>0</v>
      </c>
      <c r="D21" s="140">
        <v>1496</v>
      </c>
      <c r="E21" s="140">
        <v>208</v>
      </c>
      <c r="F21" s="140">
        <v>214</v>
      </c>
      <c r="G21" s="140">
        <v>278</v>
      </c>
      <c r="H21" s="140">
        <v>5933</v>
      </c>
      <c r="I21" s="140">
        <v>0</v>
      </c>
      <c r="J21" s="142"/>
      <c r="K21" s="139">
        <v>16</v>
      </c>
      <c r="L21" s="140">
        <v>2</v>
      </c>
      <c r="M21" s="140">
        <v>24</v>
      </c>
      <c r="N21" s="140">
        <v>0</v>
      </c>
      <c r="O21" s="140">
        <v>26</v>
      </c>
      <c r="P21" s="143">
        <v>6135</v>
      </c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6" thickTop="1" thickBot="1" x14ac:dyDescent="0.35">
      <c r="A22" s="139">
        <v>17</v>
      </c>
      <c r="B22" s="140">
        <v>4959</v>
      </c>
      <c r="C22" s="140">
        <v>0</v>
      </c>
      <c r="D22" s="140">
        <v>1818</v>
      </c>
      <c r="E22" s="140">
        <v>291</v>
      </c>
      <c r="F22" s="140">
        <v>276</v>
      </c>
      <c r="G22" s="140">
        <v>455</v>
      </c>
      <c r="H22" s="140">
        <v>7799</v>
      </c>
      <c r="I22" s="140">
        <v>0</v>
      </c>
      <c r="J22" s="142"/>
      <c r="K22" s="139">
        <v>17</v>
      </c>
      <c r="L22" s="140">
        <v>9</v>
      </c>
      <c r="M22" s="140">
        <v>13</v>
      </c>
      <c r="N22" s="140">
        <v>5</v>
      </c>
      <c r="O22" s="140">
        <v>27</v>
      </c>
      <c r="P22" s="143">
        <v>6135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6" thickTop="1" thickBot="1" x14ac:dyDescent="0.35">
      <c r="A23" s="139">
        <v>18</v>
      </c>
      <c r="B23" s="140">
        <v>6088</v>
      </c>
      <c r="C23" s="140">
        <v>0</v>
      </c>
      <c r="D23" s="140">
        <v>1585</v>
      </c>
      <c r="E23" s="140">
        <v>242</v>
      </c>
      <c r="F23" s="140">
        <v>307</v>
      </c>
      <c r="G23" s="140">
        <v>414</v>
      </c>
      <c r="H23" s="146">
        <v>8636</v>
      </c>
      <c r="I23" s="140">
        <v>0</v>
      </c>
      <c r="J23" s="142"/>
      <c r="K23" s="139">
        <v>18</v>
      </c>
      <c r="L23" s="140">
        <v>3</v>
      </c>
      <c r="M23" s="140">
        <v>10</v>
      </c>
      <c r="N23" s="140">
        <v>5</v>
      </c>
      <c r="O23" s="140">
        <v>18</v>
      </c>
      <c r="P23" s="143">
        <v>6135</v>
      </c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6" thickTop="1" thickBot="1" x14ac:dyDescent="0.35">
      <c r="A24" s="139">
        <v>19</v>
      </c>
      <c r="B24" s="140">
        <v>6352</v>
      </c>
      <c r="C24" s="140">
        <v>0</v>
      </c>
      <c r="D24" s="140">
        <v>1645</v>
      </c>
      <c r="E24" s="140">
        <v>224</v>
      </c>
      <c r="F24" s="140">
        <v>311</v>
      </c>
      <c r="G24" s="140">
        <v>377</v>
      </c>
      <c r="H24" s="146">
        <v>8909</v>
      </c>
      <c r="I24" s="140">
        <v>0</v>
      </c>
      <c r="J24" s="142"/>
      <c r="K24" s="139">
        <v>19</v>
      </c>
      <c r="L24" s="140">
        <v>3</v>
      </c>
      <c r="M24" s="140">
        <v>22</v>
      </c>
      <c r="N24" s="140">
        <v>9</v>
      </c>
      <c r="O24" s="140">
        <v>34</v>
      </c>
      <c r="P24" s="143">
        <v>6135</v>
      </c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6" thickTop="1" thickBot="1" x14ac:dyDescent="0.35">
      <c r="A25" s="139">
        <v>20</v>
      </c>
      <c r="B25" s="140">
        <v>7408</v>
      </c>
      <c r="C25" s="140">
        <v>0</v>
      </c>
      <c r="D25" s="140">
        <v>1270</v>
      </c>
      <c r="E25" s="140">
        <v>144</v>
      </c>
      <c r="F25" s="140">
        <v>182</v>
      </c>
      <c r="G25" s="140">
        <v>299</v>
      </c>
      <c r="H25" s="140">
        <v>9303</v>
      </c>
      <c r="I25" s="140">
        <v>0</v>
      </c>
      <c r="J25" s="142"/>
      <c r="K25" s="139">
        <v>20</v>
      </c>
      <c r="L25" s="140">
        <v>5</v>
      </c>
      <c r="M25" s="140">
        <v>16</v>
      </c>
      <c r="N25" s="140">
        <v>6</v>
      </c>
      <c r="O25" s="140">
        <v>27</v>
      </c>
      <c r="P25" s="143">
        <v>6135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6" thickTop="1" thickBot="1" x14ac:dyDescent="0.35">
      <c r="A26" s="139">
        <v>21</v>
      </c>
      <c r="B26" s="140">
        <v>4972</v>
      </c>
      <c r="C26" s="140">
        <v>0</v>
      </c>
      <c r="D26" s="140">
        <v>1327</v>
      </c>
      <c r="E26" s="140">
        <v>343</v>
      </c>
      <c r="F26" s="140">
        <v>254</v>
      </c>
      <c r="G26" s="140">
        <v>437</v>
      </c>
      <c r="H26" s="140">
        <v>7333</v>
      </c>
      <c r="I26" s="140">
        <v>0</v>
      </c>
      <c r="J26" s="142"/>
      <c r="K26" s="139">
        <v>21</v>
      </c>
      <c r="L26" s="140">
        <v>7</v>
      </c>
      <c r="M26" s="140">
        <v>11</v>
      </c>
      <c r="N26" s="140">
        <v>1</v>
      </c>
      <c r="O26" s="140">
        <v>19</v>
      </c>
      <c r="P26" s="143">
        <v>6135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6" thickTop="1" thickBot="1" x14ac:dyDescent="0.35">
      <c r="A27" s="139">
        <v>22</v>
      </c>
      <c r="B27" s="140">
        <v>4041</v>
      </c>
      <c r="C27" s="140">
        <v>0</v>
      </c>
      <c r="D27" s="140">
        <v>1713</v>
      </c>
      <c r="E27" s="140">
        <v>290</v>
      </c>
      <c r="F27" s="140">
        <v>282</v>
      </c>
      <c r="G27" s="140">
        <v>463</v>
      </c>
      <c r="H27" s="140">
        <v>6789</v>
      </c>
      <c r="I27" s="140">
        <v>0</v>
      </c>
      <c r="J27" s="142"/>
      <c r="K27" s="139">
        <v>22</v>
      </c>
      <c r="L27" s="140">
        <v>10</v>
      </c>
      <c r="M27" s="140">
        <v>11</v>
      </c>
      <c r="N27" s="140">
        <v>7</v>
      </c>
      <c r="O27" s="140">
        <v>28</v>
      </c>
      <c r="P27" s="143">
        <v>6135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6" thickTop="1" thickBot="1" x14ac:dyDescent="0.35">
      <c r="A28" s="139">
        <v>23</v>
      </c>
      <c r="B28" s="140">
        <v>4164</v>
      </c>
      <c r="C28" s="140">
        <v>0</v>
      </c>
      <c r="D28" s="140">
        <v>1699</v>
      </c>
      <c r="E28" s="140">
        <v>281</v>
      </c>
      <c r="F28" s="140">
        <v>324</v>
      </c>
      <c r="G28" s="140">
        <v>475</v>
      </c>
      <c r="H28" s="140">
        <v>6943</v>
      </c>
      <c r="I28" s="140">
        <v>0</v>
      </c>
      <c r="J28" s="142"/>
      <c r="K28" s="139">
        <v>23</v>
      </c>
      <c r="L28" s="140">
        <v>9</v>
      </c>
      <c r="M28" s="140">
        <v>8</v>
      </c>
      <c r="N28" s="140">
        <v>7</v>
      </c>
      <c r="O28" s="140">
        <v>24</v>
      </c>
      <c r="P28" s="143">
        <v>6135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6" thickTop="1" thickBot="1" x14ac:dyDescent="0.35">
      <c r="A29" s="139">
        <v>24</v>
      </c>
      <c r="B29" s="140">
        <v>4545</v>
      </c>
      <c r="C29" s="140">
        <v>0</v>
      </c>
      <c r="D29" s="140">
        <v>1819</v>
      </c>
      <c r="E29" s="140">
        <v>322</v>
      </c>
      <c r="F29" s="140">
        <v>331</v>
      </c>
      <c r="G29" s="140">
        <v>534</v>
      </c>
      <c r="H29" s="140">
        <v>7551</v>
      </c>
      <c r="I29" s="140">
        <v>0</v>
      </c>
      <c r="J29" s="142"/>
      <c r="K29" s="139">
        <v>24</v>
      </c>
      <c r="L29" s="140">
        <v>3</v>
      </c>
      <c r="M29" s="140">
        <v>16</v>
      </c>
      <c r="N29" s="140">
        <v>3</v>
      </c>
      <c r="O29" s="140">
        <v>22</v>
      </c>
      <c r="P29" s="143">
        <v>6135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6" thickTop="1" thickBot="1" x14ac:dyDescent="0.35">
      <c r="A30" s="139">
        <v>25</v>
      </c>
      <c r="B30" s="140">
        <v>5854</v>
      </c>
      <c r="C30" s="140">
        <v>0</v>
      </c>
      <c r="D30" s="140">
        <v>1712</v>
      </c>
      <c r="E30" s="140">
        <v>295</v>
      </c>
      <c r="F30" s="140">
        <v>353</v>
      </c>
      <c r="G30" s="140">
        <v>441</v>
      </c>
      <c r="H30" s="140">
        <v>8655</v>
      </c>
      <c r="I30" s="140">
        <v>0</v>
      </c>
      <c r="J30" s="142"/>
      <c r="K30" s="139">
        <v>25</v>
      </c>
      <c r="L30" s="140">
        <v>6</v>
      </c>
      <c r="M30" s="140">
        <v>14</v>
      </c>
      <c r="N30" s="140">
        <v>6</v>
      </c>
      <c r="O30" s="140">
        <v>26</v>
      </c>
      <c r="P30" s="143">
        <v>6135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6" thickTop="1" thickBot="1" x14ac:dyDescent="0.35">
      <c r="A31" s="139">
        <v>26</v>
      </c>
      <c r="B31" s="140">
        <v>6351</v>
      </c>
      <c r="C31" s="140">
        <v>0</v>
      </c>
      <c r="D31" s="140">
        <v>1653</v>
      </c>
      <c r="E31" s="140">
        <v>220</v>
      </c>
      <c r="F31" s="140">
        <v>328</v>
      </c>
      <c r="G31" s="140">
        <v>380</v>
      </c>
      <c r="H31" s="140">
        <v>8932</v>
      </c>
      <c r="I31" s="140">
        <v>0</v>
      </c>
      <c r="J31" s="142"/>
      <c r="K31" s="139">
        <v>26</v>
      </c>
      <c r="L31" s="140">
        <v>6</v>
      </c>
      <c r="M31" s="140">
        <v>16</v>
      </c>
      <c r="N31" s="140">
        <v>9</v>
      </c>
      <c r="O31" s="140">
        <v>31</v>
      </c>
      <c r="P31" s="143">
        <v>6135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6" thickTop="1" thickBot="1" x14ac:dyDescent="0.35">
      <c r="A32" s="139">
        <v>27</v>
      </c>
      <c r="B32" s="140">
        <v>7317</v>
      </c>
      <c r="C32" s="140">
        <v>0</v>
      </c>
      <c r="D32" s="140">
        <v>1186</v>
      </c>
      <c r="E32" s="140">
        <v>181</v>
      </c>
      <c r="F32" s="140">
        <v>201</v>
      </c>
      <c r="G32" s="140">
        <v>301</v>
      </c>
      <c r="H32" s="140">
        <v>9186</v>
      </c>
      <c r="I32" s="140">
        <v>0</v>
      </c>
      <c r="J32" s="142"/>
      <c r="K32" s="139">
        <v>27</v>
      </c>
      <c r="L32" s="140">
        <v>6</v>
      </c>
      <c r="M32" s="140">
        <v>13</v>
      </c>
      <c r="N32" s="140">
        <v>5</v>
      </c>
      <c r="O32" s="140">
        <v>24</v>
      </c>
      <c r="P32" s="143">
        <v>6135</v>
      </c>
    </row>
    <row r="33" spans="1:16" ht="15.6" thickTop="1" thickBot="1" x14ac:dyDescent="0.35">
      <c r="A33" s="139">
        <v>28</v>
      </c>
      <c r="B33" s="140">
        <v>4770</v>
      </c>
      <c r="C33" s="140">
        <v>0</v>
      </c>
      <c r="D33" s="140">
        <v>1593</v>
      </c>
      <c r="E33" s="140">
        <v>409</v>
      </c>
      <c r="F33" s="140">
        <v>332</v>
      </c>
      <c r="G33" s="140">
        <v>650</v>
      </c>
      <c r="H33" s="140">
        <v>7754</v>
      </c>
      <c r="I33" s="140">
        <v>0</v>
      </c>
      <c r="J33" s="142"/>
      <c r="K33" s="139">
        <v>28</v>
      </c>
      <c r="L33" s="140">
        <v>17</v>
      </c>
      <c r="M33" s="140">
        <v>12</v>
      </c>
      <c r="N33" s="140">
        <v>2</v>
      </c>
      <c r="O33" s="140">
        <v>31</v>
      </c>
      <c r="P33" s="143">
        <v>6135</v>
      </c>
    </row>
    <row r="34" spans="1:16" ht="15.6" thickTop="1" thickBot="1" x14ac:dyDescent="0.35">
      <c r="A34" s="139">
        <v>29</v>
      </c>
      <c r="B34" s="140">
        <v>4305</v>
      </c>
      <c r="C34" s="140">
        <v>0</v>
      </c>
      <c r="D34" s="140">
        <v>1732</v>
      </c>
      <c r="E34" s="140">
        <v>294</v>
      </c>
      <c r="F34" s="140">
        <v>318</v>
      </c>
      <c r="G34" s="140">
        <v>479</v>
      </c>
      <c r="H34" s="140">
        <v>7128</v>
      </c>
      <c r="I34" s="140">
        <v>0</v>
      </c>
      <c r="J34" s="142"/>
      <c r="K34" s="139">
        <v>29</v>
      </c>
      <c r="L34" s="140">
        <v>10</v>
      </c>
      <c r="M34" s="140">
        <v>20</v>
      </c>
      <c r="N34" s="140">
        <v>5</v>
      </c>
      <c r="O34" s="140">
        <v>35</v>
      </c>
      <c r="P34" s="143">
        <v>6135</v>
      </c>
    </row>
    <row r="35" spans="1:16" ht="15.6" thickTop="1" thickBot="1" x14ac:dyDescent="0.35">
      <c r="A35" s="139">
        <v>30</v>
      </c>
      <c r="B35" s="140">
        <v>4523</v>
      </c>
      <c r="C35" s="140">
        <v>0</v>
      </c>
      <c r="D35" s="140">
        <v>1846</v>
      </c>
      <c r="E35" s="140">
        <v>313</v>
      </c>
      <c r="F35" s="140">
        <v>340</v>
      </c>
      <c r="G35" s="140">
        <v>474</v>
      </c>
      <c r="H35" s="140">
        <v>7496</v>
      </c>
      <c r="I35" s="140">
        <v>0</v>
      </c>
      <c r="J35" s="142"/>
      <c r="K35" s="139">
        <v>30</v>
      </c>
      <c r="L35" s="140">
        <v>8</v>
      </c>
      <c r="M35" s="140">
        <v>24</v>
      </c>
      <c r="N35" s="140">
        <v>0</v>
      </c>
      <c r="O35" s="140">
        <v>32</v>
      </c>
      <c r="P35" s="143">
        <v>6135</v>
      </c>
    </row>
    <row r="36" spans="1:16" ht="15.6" thickTop="1" thickBot="1" x14ac:dyDescent="0.35">
      <c r="A36" s="139">
        <v>31</v>
      </c>
      <c r="B36" s="140"/>
      <c r="C36" s="140">
        <v>0</v>
      </c>
      <c r="D36" s="140"/>
      <c r="E36" s="140"/>
      <c r="F36" s="140"/>
      <c r="G36" s="140"/>
      <c r="H36" s="140">
        <v>0</v>
      </c>
      <c r="I36" s="140">
        <v>0</v>
      </c>
      <c r="J36" s="142"/>
      <c r="K36" s="139">
        <v>31</v>
      </c>
      <c r="L36" s="145"/>
      <c r="M36" s="145"/>
      <c r="N36" s="145"/>
      <c r="O36" s="140">
        <v>0</v>
      </c>
      <c r="P36" s="143">
        <v>6135</v>
      </c>
    </row>
    <row r="37" spans="1:16" ht="15" thickTop="1" x14ac:dyDescent="0.3">
      <c r="A37" s="42" t="s">
        <v>19</v>
      </c>
      <c r="B37" s="55">
        <v>182559</v>
      </c>
      <c r="C37" s="55">
        <v>0</v>
      </c>
      <c r="D37" s="55">
        <v>46164</v>
      </c>
      <c r="E37" s="55">
        <v>7760</v>
      </c>
      <c r="F37" s="55">
        <v>8215</v>
      </c>
      <c r="G37" s="55">
        <v>11878</v>
      </c>
      <c r="H37" s="55">
        <v>256576</v>
      </c>
      <c r="I37" s="55">
        <v>0</v>
      </c>
      <c r="J37" s="55"/>
      <c r="K37" s="55"/>
      <c r="L37" s="55">
        <v>176</v>
      </c>
      <c r="M37" s="55">
        <v>420</v>
      </c>
      <c r="N37" s="55">
        <v>134</v>
      </c>
      <c r="O37" s="55">
        <v>730</v>
      </c>
      <c r="P37" s="55">
        <v>190185</v>
      </c>
    </row>
    <row r="38" spans="1:16" x14ac:dyDescent="0.3">
      <c r="A38" s="42" t="s">
        <v>19</v>
      </c>
      <c r="B38" s="166">
        <v>182559</v>
      </c>
      <c r="C38" s="166"/>
      <c r="D38" s="55">
        <v>46164</v>
      </c>
      <c r="E38" s="55">
        <v>7760</v>
      </c>
      <c r="F38" s="55">
        <v>8215</v>
      </c>
      <c r="G38" s="55">
        <v>11878</v>
      </c>
      <c r="H38" s="55">
        <v>256576</v>
      </c>
      <c r="I38" s="55">
        <v>0</v>
      </c>
      <c r="J38" s="66"/>
      <c r="K38" s="42"/>
      <c r="L38" s="67" t="s">
        <v>23</v>
      </c>
      <c r="M38" s="67" t="s">
        <v>24</v>
      </c>
      <c r="N38" s="67" t="s">
        <v>23</v>
      </c>
      <c r="O38" s="67" t="s">
        <v>24</v>
      </c>
      <c r="P38" s="60"/>
    </row>
    <row r="39" spans="1:16" x14ac:dyDescent="0.3">
      <c r="A39" s="68" t="s">
        <v>20</v>
      </c>
      <c r="B39" s="70"/>
      <c r="C39" s="70"/>
      <c r="D39" s="70"/>
      <c r="E39" s="70"/>
      <c r="F39" s="70"/>
      <c r="G39" s="70"/>
      <c r="H39" s="70"/>
      <c r="I39" s="60"/>
      <c r="J39" s="60"/>
      <c r="K39" s="60"/>
      <c r="L39" s="73"/>
      <c r="M39" s="60"/>
      <c r="N39" s="60"/>
      <c r="O39" s="60"/>
      <c r="P39" s="60"/>
    </row>
    <row r="40" spans="1:16" x14ac:dyDescent="0.3">
      <c r="A40" s="78"/>
      <c r="B40" s="79"/>
      <c r="C40" s="79"/>
      <c r="D40" s="79"/>
      <c r="E40" s="79"/>
      <c r="F40" s="79"/>
      <c r="G40" s="79"/>
      <c r="H40" s="79"/>
      <c r="I40" s="79"/>
      <c r="J40" s="73"/>
      <c r="K40" s="23"/>
      <c r="L40" s="22"/>
      <c r="M40" s="60"/>
      <c r="N40" s="60"/>
      <c r="O40" s="60"/>
      <c r="P40" s="60"/>
    </row>
    <row r="41" spans="1:16" x14ac:dyDescent="0.3">
      <c r="A41" s="69"/>
      <c r="B41" s="60"/>
      <c r="C41" s="60"/>
      <c r="D41" s="60"/>
      <c r="E41" s="60"/>
      <c r="F41" s="60"/>
      <c r="G41" s="60"/>
      <c r="H41" s="69"/>
      <c r="I41" s="60"/>
      <c r="J41" s="60"/>
      <c r="K41" s="23"/>
      <c r="L41" s="22"/>
      <c r="M41" s="60"/>
      <c r="N41" s="60"/>
      <c r="O41" s="60"/>
      <c r="P41" s="60"/>
    </row>
    <row r="42" spans="1:16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23"/>
      <c r="L42" s="22"/>
      <c r="M42" s="60"/>
      <c r="N42" s="60"/>
      <c r="O42" s="60"/>
      <c r="P42" s="60"/>
    </row>
    <row r="43" spans="1:16" x14ac:dyDescent="0.3">
      <c r="A43" s="60"/>
      <c r="B43" s="60"/>
      <c r="C43" s="60"/>
      <c r="D43" s="60"/>
      <c r="E43" s="60"/>
      <c r="F43" s="60"/>
      <c r="G43" s="94">
        <v>8626</v>
      </c>
      <c r="H43" s="60"/>
      <c r="I43" s="69"/>
      <c r="J43" s="69"/>
      <c r="K43" s="60"/>
      <c r="L43" s="60"/>
      <c r="M43" s="60"/>
      <c r="N43" s="60"/>
      <c r="O43" s="60"/>
      <c r="P43" s="60"/>
    </row>
    <row r="45" spans="1:16" x14ac:dyDescent="0.3">
      <c r="A45" s="77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</row>
    <row r="46" spans="1:16" x14ac:dyDescent="0.3">
      <c r="A46" s="77"/>
      <c r="B46" s="69"/>
      <c r="C46" s="69"/>
      <c r="D46" s="69"/>
      <c r="E46" s="69"/>
      <c r="F46" s="69"/>
      <c r="G46" s="69"/>
      <c r="H46" s="69"/>
      <c r="I46" s="69"/>
      <c r="J46" s="69"/>
      <c r="K46" s="74"/>
      <c r="L46" s="69"/>
      <c r="M46" s="69"/>
      <c r="N46" s="69"/>
      <c r="O46" s="69"/>
      <c r="P46" s="60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BF08-5018-4983-9BD9-12BD1F51FCCF}">
  <dimension ref="A1:Z46"/>
  <sheetViews>
    <sheetView tabSelected="1" workbookViewId="0">
      <selection activeCell="D14" sqref="D14"/>
    </sheetView>
  </sheetViews>
  <sheetFormatPr baseColWidth="10" defaultRowHeight="14.4" x14ac:dyDescent="0.3"/>
  <cols>
    <col min="16" max="16" width="0" hidden="1" customWidth="1"/>
  </cols>
  <sheetData>
    <row r="1" spans="1:26" s="58" customFormat="1" ht="15.6" x14ac:dyDescent="0.3">
      <c r="A1" s="155" t="s">
        <v>35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26" s="58" customFormat="1" ht="15.6" x14ac:dyDescent="0.3">
      <c r="A2" s="155" t="s">
        <v>36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26" ht="15.6" x14ac:dyDescent="0.3">
      <c r="A3" s="164" t="s">
        <v>34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71"/>
      <c r="Q3" s="71"/>
      <c r="R3" s="71"/>
      <c r="S3" s="71"/>
    </row>
    <row r="4" spans="1:26" ht="82.8" x14ac:dyDescent="0.3">
      <c r="A4" s="162" t="s">
        <v>1</v>
      </c>
      <c r="B4" s="165" t="s">
        <v>2</v>
      </c>
      <c r="C4" s="165"/>
      <c r="D4" s="43" t="s">
        <v>3</v>
      </c>
      <c r="E4" s="43" t="s">
        <v>4</v>
      </c>
      <c r="F4" s="43" t="s">
        <v>5</v>
      </c>
      <c r="G4" s="43" t="s">
        <v>6</v>
      </c>
      <c r="H4" s="165" t="s">
        <v>7</v>
      </c>
      <c r="I4" s="165" t="s">
        <v>8</v>
      </c>
      <c r="J4" s="61"/>
      <c r="K4" s="167" t="s">
        <v>1</v>
      </c>
      <c r="L4" s="165" t="s">
        <v>9</v>
      </c>
      <c r="M4" s="165" t="s">
        <v>10</v>
      </c>
      <c r="N4" s="165" t="s">
        <v>11</v>
      </c>
      <c r="O4" s="165" t="s">
        <v>12</v>
      </c>
      <c r="P4" s="60"/>
      <c r="Q4" s="60"/>
      <c r="R4" s="60"/>
      <c r="S4" s="60"/>
    </row>
    <row r="5" spans="1:26" x14ac:dyDescent="0.3">
      <c r="A5" s="163"/>
      <c r="B5" s="42" t="s">
        <v>13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165"/>
      <c r="I5" s="165"/>
      <c r="J5" s="61"/>
      <c r="K5" s="167"/>
      <c r="L5" s="165"/>
      <c r="M5" s="165"/>
      <c r="N5" s="165"/>
      <c r="O5" s="165"/>
      <c r="P5" s="60"/>
      <c r="Q5" s="60"/>
      <c r="R5" s="60"/>
      <c r="S5" s="60"/>
    </row>
    <row r="6" spans="1:26" ht="15" thickBot="1" x14ac:dyDescent="0.35">
      <c r="A6" s="147">
        <v>1</v>
      </c>
      <c r="B6" s="148">
        <v>4906</v>
      </c>
      <c r="C6" s="148">
        <v>0</v>
      </c>
      <c r="D6" s="148">
        <v>1814</v>
      </c>
      <c r="E6" s="148">
        <v>275</v>
      </c>
      <c r="F6" s="148">
        <v>327</v>
      </c>
      <c r="G6" s="148">
        <v>448</v>
      </c>
      <c r="H6" s="148">
        <v>7770</v>
      </c>
      <c r="I6" s="148">
        <v>0</v>
      </c>
      <c r="J6" s="149"/>
      <c r="K6" s="147">
        <v>1</v>
      </c>
      <c r="L6" s="148">
        <v>6</v>
      </c>
      <c r="M6" s="148">
        <v>28</v>
      </c>
      <c r="N6" s="148">
        <v>6</v>
      </c>
      <c r="O6" s="148">
        <v>40</v>
      </c>
      <c r="P6" s="151">
        <v>6135</v>
      </c>
      <c r="Q6" s="60"/>
      <c r="R6" s="60"/>
      <c r="S6" s="60"/>
    </row>
    <row r="7" spans="1:26" ht="15.6" thickTop="1" thickBot="1" x14ac:dyDescent="0.35">
      <c r="A7" s="147">
        <v>2</v>
      </c>
      <c r="B7" s="148">
        <v>6238</v>
      </c>
      <c r="C7" s="148">
        <v>0</v>
      </c>
      <c r="D7" s="148">
        <v>1770</v>
      </c>
      <c r="E7" s="148">
        <v>295</v>
      </c>
      <c r="F7" s="148">
        <v>327</v>
      </c>
      <c r="G7" s="148">
        <v>396</v>
      </c>
      <c r="H7" s="148">
        <v>9026</v>
      </c>
      <c r="I7" s="148">
        <v>0</v>
      </c>
      <c r="J7" s="149"/>
      <c r="K7" s="147">
        <v>2</v>
      </c>
      <c r="L7" s="148">
        <v>9</v>
      </c>
      <c r="M7" s="148">
        <v>20</v>
      </c>
      <c r="N7" s="148">
        <v>3</v>
      </c>
      <c r="O7" s="148">
        <v>32</v>
      </c>
      <c r="P7" s="151">
        <v>6135</v>
      </c>
      <c r="Q7" s="60"/>
      <c r="R7" s="60"/>
      <c r="S7" s="60"/>
    </row>
    <row r="8" spans="1:26" ht="15.6" thickTop="1" thickBot="1" x14ac:dyDescent="0.35">
      <c r="A8" s="147">
        <v>3</v>
      </c>
      <c r="B8" s="148">
        <v>6853</v>
      </c>
      <c r="C8" s="148">
        <v>0</v>
      </c>
      <c r="D8" s="148">
        <v>1582</v>
      </c>
      <c r="E8" s="148">
        <v>244</v>
      </c>
      <c r="F8" s="148">
        <v>273</v>
      </c>
      <c r="G8" s="148">
        <v>336</v>
      </c>
      <c r="H8" s="148">
        <v>9288</v>
      </c>
      <c r="I8" s="148">
        <v>0</v>
      </c>
      <c r="J8" s="149"/>
      <c r="K8" s="147">
        <v>3</v>
      </c>
      <c r="L8" s="148">
        <v>8</v>
      </c>
      <c r="M8" s="148">
        <v>11</v>
      </c>
      <c r="N8" s="148">
        <v>3</v>
      </c>
      <c r="O8" s="148">
        <v>22</v>
      </c>
      <c r="P8" s="151">
        <v>6135</v>
      </c>
      <c r="Q8" s="60"/>
      <c r="R8" s="60"/>
      <c r="S8" s="69"/>
    </row>
    <row r="9" spans="1:26" ht="15.6" thickTop="1" thickBot="1" x14ac:dyDescent="0.35">
      <c r="A9" s="147">
        <v>4</v>
      </c>
      <c r="B9" s="148">
        <v>7866</v>
      </c>
      <c r="C9" s="148">
        <v>0</v>
      </c>
      <c r="D9" s="148">
        <v>1321</v>
      </c>
      <c r="E9" s="148">
        <v>142</v>
      </c>
      <c r="F9" s="148">
        <v>191</v>
      </c>
      <c r="G9" s="148">
        <v>326</v>
      </c>
      <c r="H9" s="148">
        <v>9846</v>
      </c>
      <c r="I9" s="148">
        <v>0</v>
      </c>
      <c r="J9" s="149"/>
      <c r="K9" s="147">
        <v>4</v>
      </c>
      <c r="L9" s="148">
        <v>5</v>
      </c>
      <c r="M9" s="148">
        <v>12</v>
      </c>
      <c r="N9" s="148">
        <v>5</v>
      </c>
      <c r="O9" s="148">
        <v>22</v>
      </c>
      <c r="P9" s="151">
        <v>6135</v>
      </c>
      <c r="Q9" s="60"/>
      <c r="R9" s="60"/>
      <c r="S9" s="60"/>
    </row>
    <row r="10" spans="1:26" ht="15.6" thickTop="1" thickBot="1" x14ac:dyDescent="0.35">
      <c r="A10" s="147">
        <v>5</v>
      </c>
      <c r="B10" s="148">
        <v>4851</v>
      </c>
      <c r="C10" s="148">
        <v>0</v>
      </c>
      <c r="D10" s="148">
        <v>1425</v>
      </c>
      <c r="E10" s="148">
        <v>293</v>
      </c>
      <c r="F10" s="148">
        <v>246</v>
      </c>
      <c r="G10" s="148">
        <v>415</v>
      </c>
      <c r="H10" s="148">
        <v>7230</v>
      </c>
      <c r="I10" s="148">
        <v>0</v>
      </c>
      <c r="J10" s="149"/>
      <c r="K10" s="147">
        <v>5</v>
      </c>
      <c r="L10" s="148">
        <v>9</v>
      </c>
      <c r="M10" s="148">
        <v>11</v>
      </c>
      <c r="N10" s="148">
        <v>3</v>
      </c>
      <c r="O10" s="148">
        <v>23</v>
      </c>
      <c r="P10" s="151">
        <v>6135</v>
      </c>
      <c r="Q10" s="60"/>
      <c r="R10" s="60"/>
      <c r="S10" s="60"/>
    </row>
    <row r="11" spans="1:26" ht="15.6" thickTop="1" thickBot="1" x14ac:dyDescent="0.35">
      <c r="A11" s="147">
        <v>6</v>
      </c>
      <c r="B11" s="148">
        <v>5095</v>
      </c>
      <c r="C11" s="148">
        <v>0</v>
      </c>
      <c r="D11" s="148">
        <v>1787</v>
      </c>
      <c r="E11" s="148">
        <v>290</v>
      </c>
      <c r="F11" s="148">
        <v>284</v>
      </c>
      <c r="G11" s="148">
        <v>445</v>
      </c>
      <c r="H11" s="148">
        <v>7901</v>
      </c>
      <c r="I11" s="148">
        <v>0</v>
      </c>
      <c r="J11" s="149"/>
      <c r="K11" s="147">
        <v>6</v>
      </c>
      <c r="L11" s="148">
        <v>6</v>
      </c>
      <c r="M11" s="148">
        <v>19</v>
      </c>
      <c r="N11" s="148">
        <v>4</v>
      </c>
      <c r="O11" s="148">
        <v>29</v>
      </c>
      <c r="P11" s="151">
        <v>6135</v>
      </c>
      <c r="Q11" s="60"/>
      <c r="R11" s="60"/>
      <c r="S11" s="60"/>
    </row>
    <row r="12" spans="1:26" ht="15.6" thickTop="1" thickBot="1" x14ac:dyDescent="0.35">
      <c r="A12" s="147">
        <v>7</v>
      </c>
      <c r="B12" s="148">
        <v>6117</v>
      </c>
      <c r="C12" s="148">
        <v>0</v>
      </c>
      <c r="D12" s="148">
        <v>1592</v>
      </c>
      <c r="E12" s="148">
        <v>219</v>
      </c>
      <c r="F12" s="148">
        <v>338</v>
      </c>
      <c r="G12" s="148">
        <v>361</v>
      </c>
      <c r="H12" s="148">
        <v>8627</v>
      </c>
      <c r="I12" s="148">
        <v>0</v>
      </c>
      <c r="J12" s="150"/>
      <c r="K12" s="147">
        <v>7</v>
      </c>
      <c r="L12" s="148">
        <v>6</v>
      </c>
      <c r="M12" s="148">
        <v>14</v>
      </c>
      <c r="N12" s="148">
        <v>7</v>
      </c>
      <c r="O12" s="148">
        <v>27</v>
      </c>
      <c r="P12" s="151">
        <v>6135</v>
      </c>
      <c r="Q12" s="60"/>
      <c r="R12" s="60"/>
      <c r="S12" s="60"/>
    </row>
    <row r="13" spans="1:26" ht="15.6" thickTop="1" thickBot="1" x14ac:dyDescent="0.35">
      <c r="A13" s="147">
        <v>8</v>
      </c>
      <c r="B13" s="148">
        <v>7313</v>
      </c>
      <c r="C13" s="148">
        <v>0</v>
      </c>
      <c r="D13" s="148">
        <v>1406</v>
      </c>
      <c r="E13" s="148">
        <v>226</v>
      </c>
      <c r="F13" s="148">
        <v>253</v>
      </c>
      <c r="G13" s="148">
        <v>344</v>
      </c>
      <c r="H13" s="148">
        <v>9542</v>
      </c>
      <c r="I13" s="148">
        <v>0</v>
      </c>
      <c r="J13" s="150"/>
      <c r="K13" s="147">
        <v>8</v>
      </c>
      <c r="L13" s="148">
        <v>7</v>
      </c>
      <c r="M13" s="148">
        <v>16</v>
      </c>
      <c r="N13" s="148">
        <v>7</v>
      </c>
      <c r="O13" s="148">
        <v>30</v>
      </c>
      <c r="P13" s="151">
        <v>6135</v>
      </c>
      <c r="Q13" s="60"/>
      <c r="R13" s="60"/>
      <c r="S13" s="60"/>
    </row>
    <row r="14" spans="1:26" ht="15.6" thickTop="1" thickBot="1" x14ac:dyDescent="0.35">
      <c r="A14" s="147">
        <v>9</v>
      </c>
      <c r="B14" s="148">
        <v>5939</v>
      </c>
      <c r="C14" s="148">
        <v>0</v>
      </c>
      <c r="D14" s="148">
        <v>1369</v>
      </c>
      <c r="E14" s="148">
        <v>225</v>
      </c>
      <c r="F14" s="148">
        <v>201</v>
      </c>
      <c r="G14" s="148">
        <v>387</v>
      </c>
      <c r="H14" s="148">
        <v>8121</v>
      </c>
      <c r="I14" s="148">
        <v>0</v>
      </c>
      <c r="J14" s="150"/>
      <c r="K14" s="147">
        <v>9</v>
      </c>
      <c r="L14" s="148">
        <v>8</v>
      </c>
      <c r="M14" s="148">
        <v>18</v>
      </c>
      <c r="N14" s="148">
        <v>2</v>
      </c>
      <c r="O14" s="148">
        <v>28</v>
      </c>
      <c r="P14" s="152">
        <v>6135</v>
      </c>
      <c r="Q14" s="72"/>
      <c r="R14" s="72"/>
      <c r="S14" s="72"/>
    </row>
    <row r="15" spans="1:26" ht="15.6" thickTop="1" thickBot="1" x14ac:dyDescent="0.35">
      <c r="A15" s="147">
        <v>10</v>
      </c>
      <c r="B15" s="148">
        <v>7323</v>
      </c>
      <c r="C15" s="148">
        <v>0</v>
      </c>
      <c r="D15" s="148">
        <v>1634</v>
      </c>
      <c r="E15" s="148">
        <v>201</v>
      </c>
      <c r="F15" s="148">
        <v>319</v>
      </c>
      <c r="G15" s="148">
        <v>327</v>
      </c>
      <c r="H15" s="148">
        <v>9804</v>
      </c>
      <c r="I15" s="148">
        <v>0</v>
      </c>
      <c r="J15" s="150"/>
      <c r="K15" s="147">
        <v>10</v>
      </c>
      <c r="L15" s="148">
        <v>5</v>
      </c>
      <c r="M15" s="148">
        <v>31</v>
      </c>
      <c r="N15" s="148">
        <v>6</v>
      </c>
      <c r="O15" s="148">
        <v>42</v>
      </c>
      <c r="P15" s="151">
        <v>6135</v>
      </c>
      <c r="Q15" s="60"/>
      <c r="R15" s="60"/>
      <c r="S15" s="60"/>
    </row>
    <row r="16" spans="1:26" ht="15.6" thickTop="1" thickBot="1" x14ac:dyDescent="0.35">
      <c r="A16" s="147">
        <v>11</v>
      </c>
      <c r="B16" s="148">
        <v>10435</v>
      </c>
      <c r="C16" s="148">
        <v>0</v>
      </c>
      <c r="D16" s="148">
        <v>1256</v>
      </c>
      <c r="E16" s="148">
        <v>164</v>
      </c>
      <c r="F16" s="148">
        <v>162</v>
      </c>
      <c r="G16" s="148">
        <v>317</v>
      </c>
      <c r="H16" s="148">
        <v>12334</v>
      </c>
      <c r="I16" s="148">
        <v>0</v>
      </c>
      <c r="J16" s="150"/>
      <c r="K16" s="147">
        <v>11</v>
      </c>
      <c r="L16" s="148">
        <v>7</v>
      </c>
      <c r="M16" s="148">
        <v>5</v>
      </c>
      <c r="N16" s="148">
        <v>4</v>
      </c>
      <c r="O16" s="148">
        <v>16</v>
      </c>
      <c r="P16" s="151">
        <v>6135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.6" thickTop="1" thickBot="1" x14ac:dyDescent="0.35">
      <c r="A17" s="147">
        <v>12</v>
      </c>
      <c r="B17" s="148">
        <v>5211</v>
      </c>
      <c r="C17" s="148">
        <v>0</v>
      </c>
      <c r="D17" s="148">
        <v>1450</v>
      </c>
      <c r="E17" s="148">
        <v>319</v>
      </c>
      <c r="F17" s="148">
        <v>258</v>
      </c>
      <c r="G17" s="148">
        <v>393</v>
      </c>
      <c r="H17" s="148">
        <v>7631</v>
      </c>
      <c r="I17" s="148">
        <v>0</v>
      </c>
      <c r="J17" s="150"/>
      <c r="K17" s="147">
        <v>12</v>
      </c>
      <c r="L17" s="148">
        <v>8</v>
      </c>
      <c r="M17" s="148">
        <v>8</v>
      </c>
      <c r="N17" s="148">
        <v>2</v>
      </c>
      <c r="O17" s="148">
        <v>18</v>
      </c>
      <c r="P17" s="151">
        <v>6135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6" thickTop="1" thickBot="1" x14ac:dyDescent="0.35">
      <c r="A18" s="147">
        <v>13</v>
      </c>
      <c r="B18" s="148">
        <v>4774</v>
      </c>
      <c r="C18" s="148">
        <v>0</v>
      </c>
      <c r="D18" s="148">
        <v>1805</v>
      </c>
      <c r="E18" s="148">
        <v>310</v>
      </c>
      <c r="F18" s="148">
        <v>286</v>
      </c>
      <c r="G18" s="148">
        <v>411</v>
      </c>
      <c r="H18" s="148">
        <v>7586</v>
      </c>
      <c r="I18" s="148">
        <v>0</v>
      </c>
      <c r="J18" s="150"/>
      <c r="K18" s="147">
        <v>13</v>
      </c>
      <c r="L18" s="148">
        <v>9</v>
      </c>
      <c r="M18" s="148">
        <v>16</v>
      </c>
      <c r="N18" s="148">
        <v>2</v>
      </c>
      <c r="O18" s="148">
        <v>27</v>
      </c>
      <c r="P18" s="151">
        <v>6135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6" thickTop="1" thickBot="1" x14ac:dyDescent="0.35">
      <c r="A19" s="147">
        <v>14</v>
      </c>
      <c r="B19" s="148">
        <v>4925</v>
      </c>
      <c r="C19" s="148">
        <v>0</v>
      </c>
      <c r="D19" s="148">
        <v>1914</v>
      </c>
      <c r="E19" s="148">
        <v>284</v>
      </c>
      <c r="F19" s="148">
        <v>342</v>
      </c>
      <c r="G19" s="148">
        <v>436</v>
      </c>
      <c r="H19" s="148">
        <v>7901</v>
      </c>
      <c r="I19" s="148">
        <v>0</v>
      </c>
      <c r="J19" s="150"/>
      <c r="K19" s="147">
        <v>14</v>
      </c>
      <c r="L19" s="148">
        <v>3</v>
      </c>
      <c r="M19" s="148">
        <v>23</v>
      </c>
      <c r="N19" s="148">
        <v>3</v>
      </c>
      <c r="O19" s="148">
        <v>29</v>
      </c>
      <c r="P19" s="151">
        <v>6135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6" thickTop="1" thickBot="1" x14ac:dyDescent="0.35">
      <c r="A20" s="147">
        <v>15</v>
      </c>
      <c r="B20" s="148">
        <v>5476</v>
      </c>
      <c r="C20" s="148">
        <v>0</v>
      </c>
      <c r="D20" s="148">
        <v>1882</v>
      </c>
      <c r="E20" s="148">
        <v>292</v>
      </c>
      <c r="F20" s="148">
        <v>369</v>
      </c>
      <c r="G20" s="148">
        <v>477</v>
      </c>
      <c r="H20" s="148">
        <v>8496</v>
      </c>
      <c r="I20" s="148">
        <v>0</v>
      </c>
      <c r="J20" s="150"/>
      <c r="K20" s="147">
        <v>15</v>
      </c>
      <c r="L20" s="148">
        <v>3</v>
      </c>
      <c r="M20" s="148">
        <v>19</v>
      </c>
      <c r="N20" s="148">
        <v>6</v>
      </c>
      <c r="O20" s="148">
        <v>28</v>
      </c>
      <c r="P20" s="151">
        <v>6135</v>
      </c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6" thickTop="1" thickBot="1" x14ac:dyDescent="0.35">
      <c r="A21" s="147">
        <v>16</v>
      </c>
      <c r="B21" s="148">
        <v>7222</v>
      </c>
      <c r="C21" s="148">
        <v>0</v>
      </c>
      <c r="D21" s="148">
        <v>1899</v>
      </c>
      <c r="E21" s="148">
        <v>298</v>
      </c>
      <c r="F21" s="148">
        <v>310</v>
      </c>
      <c r="G21" s="148">
        <v>479</v>
      </c>
      <c r="H21" s="148">
        <v>10208</v>
      </c>
      <c r="I21" s="148">
        <v>0</v>
      </c>
      <c r="J21" s="150"/>
      <c r="K21" s="147">
        <v>16</v>
      </c>
      <c r="L21" s="148">
        <v>8</v>
      </c>
      <c r="M21" s="148">
        <v>17</v>
      </c>
      <c r="N21" s="148">
        <v>8</v>
      </c>
      <c r="O21" s="148">
        <v>33</v>
      </c>
      <c r="P21" s="151">
        <v>6135</v>
      </c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6" thickTop="1" thickBot="1" x14ac:dyDescent="0.35">
      <c r="A22" s="147">
        <v>17</v>
      </c>
      <c r="B22" s="148">
        <v>8706</v>
      </c>
      <c r="C22" s="148">
        <v>0</v>
      </c>
      <c r="D22" s="148">
        <v>1770</v>
      </c>
      <c r="E22" s="148">
        <v>273</v>
      </c>
      <c r="F22" s="148">
        <v>339</v>
      </c>
      <c r="G22" s="148">
        <v>413</v>
      </c>
      <c r="H22" s="148">
        <v>11501</v>
      </c>
      <c r="I22" s="148">
        <v>0</v>
      </c>
      <c r="J22" s="150"/>
      <c r="K22" s="147">
        <v>17</v>
      </c>
      <c r="L22" s="148">
        <v>10</v>
      </c>
      <c r="M22" s="148">
        <v>16</v>
      </c>
      <c r="N22" s="148">
        <v>3</v>
      </c>
      <c r="O22" s="148">
        <v>29</v>
      </c>
      <c r="P22" s="151">
        <v>6135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6" thickTop="1" thickBot="1" x14ac:dyDescent="0.35">
      <c r="A23" s="147">
        <v>18</v>
      </c>
      <c r="B23" s="148">
        <v>8437</v>
      </c>
      <c r="C23" s="148">
        <v>0</v>
      </c>
      <c r="D23" s="148">
        <v>1375</v>
      </c>
      <c r="E23" s="148">
        <v>174</v>
      </c>
      <c r="F23" s="148">
        <v>192</v>
      </c>
      <c r="G23" s="148">
        <v>300</v>
      </c>
      <c r="H23" s="154">
        <v>10478</v>
      </c>
      <c r="I23" s="148">
        <v>0</v>
      </c>
      <c r="J23" s="150"/>
      <c r="K23" s="147">
        <v>18</v>
      </c>
      <c r="L23" s="148">
        <v>16</v>
      </c>
      <c r="M23" s="148">
        <v>6</v>
      </c>
      <c r="N23" s="148">
        <v>5</v>
      </c>
      <c r="O23" s="148">
        <v>27</v>
      </c>
      <c r="P23" s="151">
        <v>6135</v>
      </c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6" thickTop="1" thickBot="1" x14ac:dyDescent="0.35">
      <c r="A24" s="147">
        <v>19</v>
      </c>
      <c r="B24" s="148">
        <v>6164</v>
      </c>
      <c r="C24" s="148">
        <v>0</v>
      </c>
      <c r="D24" s="148">
        <v>1558</v>
      </c>
      <c r="E24" s="148">
        <v>316</v>
      </c>
      <c r="F24" s="148">
        <v>276</v>
      </c>
      <c r="G24" s="148">
        <v>449</v>
      </c>
      <c r="H24" s="154">
        <v>8763</v>
      </c>
      <c r="I24" s="148">
        <v>0</v>
      </c>
      <c r="J24" s="150"/>
      <c r="K24" s="147">
        <v>19</v>
      </c>
      <c r="L24" s="148">
        <v>8</v>
      </c>
      <c r="M24" s="148">
        <v>7</v>
      </c>
      <c r="N24" s="148">
        <v>5</v>
      </c>
      <c r="O24" s="148">
        <v>20</v>
      </c>
      <c r="P24" s="151">
        <v>6135</v>
      </c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6" thickTop="1" thickBot="1" x14ac:dyDescent="0.35">
      <c r="A25" s="147">
        <v>20</v>
      </c>
      <c r="B25" s="148">
        <v>6475</v>
      </c>
      <c r="C25" s="148">
        <v>0</v>
      </c>
      <c r="D25" s="148">
        <v>1931</v>
      </c>
      <c r="E25" s="148">
        <v>294</v>
      </c>
      <c r="F25" s="148">
        <v>331</v>
      </c>
      <c r="G25" s="148">
        <v>457</v>
      </c>
      <c r="H25" s="148">
        <v>9488</v>
      </c>
      <c r="I25" s="148">
        <v>0</v>
      </c>
      <c r="J25" s="150"/>
      <c r="K25" s="147">
        <v>20</v>
      </c>
      <c r="L25" s="148">
        <v>9</v>
      </c>
      <c r="M25" s="148">
        <v>22</v>
      </c>
      <c r="N25" s="148">
        <v>6</v>
      </c>
      <c r="O25" s="148">
        <v>37</v>
      </c>
      <c r="P25" s="151">
        <v>6135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6" thickTop="1" thickBot="1" x14ac:dyDescent="0.35">
      <c r="A26" s="147">
        <v>21</v>
      </c>
      <c r="B26" s="148">
        <v>6937</v>
      </c>
      <c r="C26" s="148">
        <v>0</v>
      </c>
      <c r="D26" s="148">
        <v>1990</v>
      </c>
      <c r="E26" s="148">
        <v>277</v>
      </c>
      <c r="F26" s="148">
        <v>339</v>
      </c>
      <c r="G26" s="148">
        <v>509</v>
      </c>
      <c r="H26" s="148">
        <v>10052</v>
      </c>
      <c r="I26" s="148">
        <v>0</v>
      </c>
      <c r="J26" s="150"/>
      <c r="K26" s="147">
        <v>21</v>
      </c>
      <c r="L26" s="148">
        <v>11</v>
      </c>
      <c r="M26" s="148">
        <v>12</v>
      </c>
      <c r="N26" s="148">
        <v>9</v>
      </c>
      <c r="O26" s="148">
        <v>32</v>
      </c>
      <c r="P26" s="151">
        <v>6135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6" thickTop="1" thickBot="1" x14ac:dyDescent="0.35">
      <c r="A27" s="147">
        <v>22</v>
      </c>
      <c r="B27" s="148">
        <v>9392</v>
      </c>
      <c r="C27" s="148">
        <v>0</v>
      </c>
      <c r="D27" s="148">
        <v>2137</v>
      </c>
      <c r="E27" s="148">
        <v>279</v>
      </c>
      <c r="F27" s="148">
        <v>343</v>
      </c>
      <c r="G27" s="148">
        <v>467</v>
      </c>
      <c r="H27" s="148">
        <v>12618</v>
      </c>
      <c r="I27" s="148">
        <v>0</v>
      </c>
      <c r="J27" s="150"/>
      <c r="K27" s="147">
        <v>22</v>
      </c>
      <c r="L27" s="148">
        <v>5</v>
      </c>
      <c r="M27" s="148">
        <v>6</v>
      </c>
      <c r="N27" s="148">
        <v>10</v>
      </c>
      <c r="O27" s="148">
        <v>21</v>
      </c>
      <c r="P27" s="151">
        <v>6135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6" thickTop="1" thickBot="1" x14ac:dyDescent="0.35">
      <c r="A28" s="147">
        <v>23</v>
      </c>
      <c r="B28" s="148">
        <v>12173</v>
      </c>
      <c r="C28" s="148">
        <v>0</v>
      </c>
      <c r="D28" s="148">
        <v>1793</v>
      </c>
      <c r="E28" s="148">
        <v>232</v>
      </c>
      <c r="F28" s="148">
        <v>262</v>
      </c>
      <c r="G28" s="148">
        <v>305</v>
      </c>
      <c r="H28" s="148">
        <v>14765</v>
      </c>
      <c r="I28" s="148">
        <v>0</v>
      </c>
      <c r="J28" s="150"/>
      <c r="K28" s="147">
        <v>23</v>
      </c>
      <c r="L28" s="148">
        <v>8</v>
      </c>
      <c r="M28" s="148">
        <v>18</v>
      </c>
      <c r="N28" s="148">
        <v>9</v>
      </c>
      <c r="O28" s="148">
        <v>35</v>
      </c>
      <c r="P28" s="151">
        <v>6135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6" thickTop="1" thickBot="1" x14ac:dyDescent="0.35">
      <c r="A29" s="147">
        <v>24</v>
      </c>
      <c r="B29" s="148">
        <v>7096</v>
      </c>
      <c r="C29" s="148">
        <v>0</v>
      </c>
      <c r="D29" s="148">
        <v>1313</v>
      </c>
      <c r="E29" s="148">
        <v>112</v>
      </c>
      <c r="F29" s="148">
        <v>149</v>
      </c>
      <c r="G29" s="148">
        <v>122</v>
      </c>
      <c r="H29" s="148">
        <v>8792</v>
      </c>
      <c r="I29" s="148">
        <v>0</v>
      </c>
      <c r="J29" s="150"/>
      <c r="K29" s="147">
        <v>24</v>
      </c>
      <c r="L29" s="148">
        <v>3</v>
      </c>
      <c r="M29" s="148">
        <v>9</v>
      </c>
      <c r="N29" s="148">
        <v>2</v>
      </c>
      <c r="O29" s="148">
        <v>14</v>
      </c>
      <c r="P29" s="151">
        <v>6135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6" thickTop="1" thickBot="1" x14ac:dyDescent="0.35">
      <c r="A30" s="147">
        <v>25</v>
      </c>
      <c r="B30" s="148">
        <v>9120</v>
      </c>
      <c r="C30" s="148">
        <v>0</v>
      </c>
      <c r="D30" s="148">
        <v>448</v>
      </c>
      <c r="E30" s="148">
        <v>33</v>
      </c>
      <c r="F30" s="148">
        <v>57</v>
      </c>
      <c r="G30" s="148">
        <v>38</v>
      </c>
      <c r="H30" s="148">
        <v>9696</v>
      </c>
      <c r="I30" s="148">
        <v>0</v>
      </c>
      <c r="J30" s="150"/>
      <c r="K30" s="147">
        <v>25</v>
      </c>
      <c r="L30" s="148">
        <v>0</v>
      </c>
      <c r="M30" s="148">
        <v>0</v>
      </c>
      <c r="N30" s="148">
        <v>0</v>
      </c>
      <c r="O30" s="148">
        <v>0</v>
      </c>
      <c r="P30" s="151">
        <v>6135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6" thickTop="1" thickBot="1" x14ac:dyDescent="0.35">
      <c r="A31" s="147">
        <v>26</v>
      </c>
      <c r="B31" s="148">
        <v>11375</v>
      </c>
      <c r="C31" s="148">
        <v>0</v>
      </c>
      <c r="D31" s="148">
        <v>1671</v>
      </c>
      <c r="E31" s="148">
        <v>310</v>
      </c>
      <c r="F31" s="148">
        <v>281</v>
      </c>
      <c r="G31" s="148">
        <v>528</v>
      </c>
      <c r="H31" s="148">
        <v>14165</v>
      </c>
      <c r="I31" s="148">
        <v>0</v>
      </c>
      <c r="J31" s="150"/>
      <c r="K31" s="147">
        <v>26</v>
      </c>
      <c r="L31" s="148">
        <v>9</v>
      </c>
      <c r="M31" s="148">
        <v>16</v>
      </c>
      <c r="N31" s="148">
        <v>1</v>
      </c>
      <c r="O31" s="148">
        <v>26</v>
      </c>
      <c r="P31" s="151">
        <v>6135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6" thickTop="1" thickBot="1" x14ac:dyDescent="0.35">
      <c r="A32" s="147">
        <v>27</v>
      </c>
      <c r="B32" s="148">
        <v>10184</v>
      </c>
      <c r="C32" s="148">
        <v>0</v>
      </c>
      <c r="D32" s="148">
        <v>1770</v>
      </c>
      <c r="E32" s="148">
        <v>271</v>
      </c>
      <c r="F32" s="148">
        <v>308</v>
      </c>
      <c r="G32" s="148">
        <v>448</v>
      </c>
      <c r="H32" s="148">
        <v>12981</v>
      </c>
      <c r="I32" s="148">
        <v>0</v>
      </c>
      <c r="J32" s="150"/>
      <c r="K32" s="147">
        <v>27</v>
      </c>
      <c r="L32" s="148">
        <v>5</v>
      </c>
      <c r="M32" s="148">
        <v>11</v>
      </c>
      <c r="N32" s="148">
        <v>6</v>
      </c>
      <c r="O32" s="148">
        <v>22</v>
      </c>
      <c r="P32" s="151">
        <v>6135</v>
      </c>
    </row>
    <row r="33" spans="1:16" ht="15.6" thickTop="1" thickBot="1" x14ac:dyDescent="0.35">
      <c r="A33" s="147">
        <v>28</v>
      </c>
      <c r="B33" s="148">
        <v>11861</v>
      </c>
      <c r="C33" s="148">
        <v>0</v>
      </c>
      <c r="D33" s="148">
        <v>1968</v>
      </c>
      <c r="E33" s="148">
        <v>233</v>
      </c>
      <c r="F33" s="148">
        <v>314</v>
      </c>
      <c r="G33" s="148">
        <v>433</v>
      </c>
      <c r="H33" s="148">
        <v>14809</v>
      </c>
      <c r="I33" s="148">
        <v>0</v>
      </c>
      <c r="J33" s="150"/>
      <c r="K33" s="147">
        <v>28</v>
      </c>
      <c r="L33" s="148">
        <v>10</v>
      </c>
      <c r="M33" s="148">
        <v>21</v>
      </c>
      <c r="N33" s="148">
        <v>2</v>
      </c>
      <c r="O33" s="148">
        <v>33</v>
      </c>
      <c r="P33" s="151">
        <v>6135</v>
      </c>
    </row>
    <row r="34" spans="1:16" ht="15.6" thickTop="1" thickBot="1" x14ac:dyDescent="0.35">
      <c r="A34" s="147">
        <v>29</v>
      </c>
      <c r="B34" s="148">
        <v>15312</v>
      </c>
      <c r="C34" s="148">
        <v>0</v>
      </c>
      <c r="D34" s="148">
        <v>1877</v>
      </c>
      <c r="E34" s="148">
        <v>231</v>
      </c>
      <c r="F34" s="148">
        <v>270</v>
      </c>
      <c r="G34" s="148">
        <v>379</v>
      </c>
      <c r="H34" s="148">
        <v>18069</v>
      </c>
      <c r="I34" s="148">
        <v>0</v>
      </c>
      <c r="J34" s="150"/>
      <c r="K34" s="147">
        <v>29</v>
      </c>
      <c r="L34" s="148">
        <v>1</v>
      </c>
      <c r="M34" s="148">
        <v>10</v>
      </c>
      <c r="N34" s="148">
        <v>5</v>
      </c>
      <c r="O34" s="148">
        <v>16</v>
      </c>
      <c r="P34" s="151">
        <v>6135</v>
      </c>
    </row>
    <row r="35" spans="1:16" ht="15.6" thickTop="1" thickBot="1" x14ac:dyDescent="0.35">
      <c r="A35" s="147">
        <v>30</v>
      </c>
      <c r="B35" s="148">
        <v>19750</v>
      </c>
      <c r="C35" s="148">
        <v>0</v>
      </c>
      <c r="D35" s="148">
        <v>1785</v>
      </c>
      <c r="E35" s="148">
        <v>199</v>
      </c>
      <c r="F35" s="148">
        <v>224</v>
      </c>
      <c r="G35" s="148">
        <v>228</v>
      </c>
      <c r="H35" s="148">
        <v>22186</v>
      </c>
      <c r="I35" s="148">
        <v>0</v>
      </c>
      <c r="J35" s="150"/>
      <c r="K35" s="147">
        <v>30</v>
      </c>
      <c r="L35" s="148">
        <v>4</v>
      </c>
      <c r="M35" s="148">
        <v>4</v>
      </c>
      <c r="N35" s="148">
        <v>6</v>
      </c>
      <c r="O35" s="148">
        <v>14</v>
      </c>
      <c r="P35" s="151">
        <v>6135</v>
      </c>
    </row>
    <row r="36" spans="1:16" ht="15.6" thickTop="1" thickBot="1" x14ac:dyDescent="0.35">
      <c r="A36" s="147">
        <v>31</v>
      </c>
      <c r="B36" s="148">
        <v>11104</v>
      </c>
      <c r="C36" s="148">
        <v>0</v>
      </c>
      <c r="D36" s="148">
        <v>893</v>
      </c>
      <c r="E36" s="148">
        <v>56</v>
      </c>
      <c r="F36" s="148">
        <v>114</v>
      </c>
      <c r="G36" s="148">
        <v>79</v>
      </c>
      <c r="H36" s="148">
        <v>12246</v>
      </c>
      <c r="I36" s="148">
        <v>0</v>
      </c>
      <c r="J36" s="150"/>
      <c r="K36" s="147">
        <v>31</v>
      </c>
      <c r="L36" s="153">
        <v>2</v>
      </c>
      <c r="M36" s="153">
        <v>6</v>
      </c>
      <c r="N36" s="153">
        <v>2</v>
      </c>
      <c r="O36" s="148">
        <v>10</v>
      </c>
      <c r="P36" s="151">
        <v>6135</v>
      </c>
    </row>
    <row r="37" spans="1:16" ht="15" thickTop="1" x14ac:dyDescent="0.3">
      <c r="A37" s="42" t="s">
        <v>19</v>
      </c>
      <c r="B37" s="55">
        <v>254630</v>
      </c>
      <c r="C37" s="55">
        <v>0</v>
      </c>
      <c r="D37" s="55">
        <v>50185</v>
      </c>
      <c r="E37" s="55">
        <v>7367</v>
      </c>
      <c r="F37" s="55">
        <v>8285</v>
      </c>
      <c r="G37" s="55">
        <v>11453</v>
      </c>
      <c r="H37" s="55">
        <v>331920</v>
      </c>
      <c r="I37" s="55">
        <v>0</v>
      </c>
      <c r="J37" s="55"/>
      <c r="K37" s="55"/>
      <c r="L37" s="55">
        <v>208</v>
      </c>
      <c r="M37" s="55">
        <v>432</v>
      </c>
      <c r="N37" s="55">
        <v>142</v>
      </c>
      <c r="O37" s="55">
        <v>782</v>
      </c>
      <c r="P37" s="55">
        <v>190185</v>
      </c>
    </row>
    <row r="38" spans="1:16" x14ac:dyDescent="0.3">
      <c r="A38" s="42" t="s">
        <v>19</v>
      </c>
      <c r="B38" s="166">
        <v>254630</v>
      </c>
      <c r="C38" s="166"/>
      <c r="D38" s="55">
        <v>50185</v>
      </c>
      <c r="E38" s="55">
        <v>7367</v>
      </c>
      <c r="F38" s="55">
        <v>8285</v>
      </c>
      <c r="G38" s="55">
        <v>11453</v>
      </c>
      <c r="H38" s="55">
        <v>331920</v>
      </c>
      <c r="I38" s="55">
        <v>0</v>
      </c>
      <c r="J38" s="66"/>
      <c r="K38" s="42"/>
      <c r="L38" s="67" t="s">
        <v>23</v>
      </c>
      <c r="M38" s="67" t="s">
        <v>24</v>
      </c>
      <c r="N38" s="67" t="s">
        <v>23</v>
      </c>
      <c r="O38" s="67" t="s">
        <v>24</v>
      </c>
      <c r="P38" s="60"/>
    </row>
    <row r="39" spans="1:16" x14ac:dyDescent="0.3">
      <c r="A39" s="68" t="s">
        <v>20</v>
      </c>
      <c r="B39" s="70"/>
      <c r="C39" s="70"/>
      <c r="D39" s="70"/>
      <c r="E39" s="70"/>
      <c r="F39" s="70"/>
      <c r="G39" s="70"/>
      <c r="H39" s="70"/>
      <c r="I39" s="60"/>
      <c r="J39" s="60"/>
      <c r="K39" s="60"/>
      <c r="L39" s="73"/>
      <c r="M39" s="60"/>
      <c r="N39" s="60"/>
      <c r="O39" s="60"/>
      <c r="P39" s="60"/>
    </row>
    <row r="40" spans="1:16" x14ac:dyDescent="0.3">
      <c r="A40" s="78"/>
      <c r="B40" s="79"/>
      <c r="C40" s="79"/>
      <c r="D40" s="79"/>
      <c r="E40" s="79"/>
      <c r="F40" s="79"/>
      <c r="G40" s="79"/>
      <c r="H40" s="79"/>
      <c r="I40" s="79"/>
      <c r="J40" s="73"/>
      <c r="K40" s="23"/>
      <c r="L40" s="22"/>
      <c r="M40" s="60"/>
      <c r="N40" s="60"/>
      <c r="O40" s="60"/>
      <c r="P40" s="60"/>
    </row>
    <row r="41" spans="1:16" x14ac:dyDescent="0.3">
      <c r="A41" s="69"/>
      <c r="B41" s="60"/>
      <c r="C41" s="60"/>
      <c r="D41" s="60"/>
      <c r="E41" s="60"/>
      <c r="F41" s="60"/>
      <c r="G41" s="60"/>
      <c r="H41" s="69"/>
      <c r="I41" s="60"/>
      <c r="J41" s="60"/>
      <c r="K41" s="23"/>
      <c r="L41" s="22"/>
      <c r="M41" s="60"/>
      <c r="N41" s="60"/>
      <c r="O41" s="60"/>
      <c r="P41" s="60"/>
    </row>
    <row r="42" spans="1:16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23"/>
      <c r="L42" s="22"/>
      <c r="M42" s="60"/>
      <c r="N42" s="60"/>
      <c r="O42" s="60"/>
      <c r="P42" s="60"/>
    </row>
    <row r="43" spans="1:16" x14ac:dyDescent="0.3">
      <c r="A43" s="60"/>
      <c r="B43" s="60"/>
      <c r="C43" s="60"/>
      <c r="D43" s="60"/>
      <c r="E43" s="60"/>
      <c r="F43" s="60"/>
      <c r="G43" s="94">
        <v>8626</v>
      </c>
      <c r="H43" s="60"/>
      <c r="I43" s="69"/>
      <c r="J43" s="69"/>
      <c r="K43" s="60"/>
      <c r="L43" s="60"/>
      <c r="M43" s="60"/>
      <c r="N43" s="60"/>
      <c r="O43" s="60"/>
      <c r="P43" s="60"/>
    </row>
    <row r="45" spans="1:16" x14ac:dyDescent="0.3">
      <c r="A45" s="77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</row>
    <row r="46" spans="1:16" x14ac:dyDescent="0.3">
      <c r="A46" s="77"/>
      <c r="B46" s="69"/>
      <c r="C46" s="69"/>
      <c r="D46" s="69"/>
      <c r="E46" s="69"/>
      <c r="F46" s="69"/>
      <c r="G46" s="69"/>
      <c r="H46" s="69"/>
      <c r="I46" s="69"/>
      <c r="J46" s="69"/>
      <c r="K46" s="74"/>
      <c r="L46" s="69"/>
      <c r="M46" s="69"/>
      <c r="N46" s="69"/>
      <c r="O46" s="69"/>
      <c r="P46" s="60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2022</vt:lpstr>
      <vt:lpstr>FEBRERO 2022</vt:lpstr>
      <vt:lpstr>MARZO 2022</vt:lpstr>
      <vt:lpstr>ABRIL 2022</vt:lpstr>
      <vt:lpstr>MAYO 2022</vt:lpstr>
      <vt:lpstr>JUNIO 2022</vt:lpstr>
      <vt:lpstr>JULIO 2022</vt:lpstr>
      <vt:lpstr>AGOSTO 2022</vt:lpstr>
      <vt:lpstr>SEPTIEMBRE 2022</vt:lpstr>
      <vt:lpstr>OCTUBRE 2022</vt:lpstr>
      <vt:lpstr>NOVIEMBRE  2022</vt:lpstr>
      <vt:lpstr>DICIEMBRE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Gonzalez</dc:creator>
  <cp:lastModifiedBy>ANDREA CAROLINA BUSTOS FUENTES</cp:lastModifiedBy>
  <dcterms:created xsi:type="dcterms:W3CDTF">2024-09-02T14:02:12Z</dcterms:created>
  <dcterms:modified xsi:type="dcterms:W3CDTF">2026-01-27T23:42:02Z</dcterms:modified>
</cp:coreProperties>
</file>